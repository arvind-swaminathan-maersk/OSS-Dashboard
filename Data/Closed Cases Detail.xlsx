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SW051\Downloads\"/>
    </mc:Choice>
  </mc:AlternateContent>
  <xr:revisionPtr revIDLastSave="0" documentId="13_ncr:1_{26F5ACE6-DAF4-47A3-9EC5-DA12AB177F0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APUI5 Export" sheetId="1" r:id="rId1"/>
    <sheet name="Insights &amp; Coaching" sheetId="3" r:id="rId2"/>
  </sheets>
  <definedNames>
    <definedName name="_xlnm._FilterDatabase" localSheetId="0" hidden="1">'SAPUI5 Export'!$A$1:$BX$719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3" l="1" a="1"/>
  <c r="G25" i="3" s="1"/>
  <c r="F25" i="3" a="1"/>
  <c r="F25" i="3" s="1"/>
  <c r="G24" i="3" a="1"/>
  <c r="G24" i="3" s="1"/>
  <c r="F24" i="3" a="1"/>
  <c r="F24" i="3" s="1"/>
  <c r="G23" i="3" a="1"/>
  <c r="G23" i="3" s="1"/>
  <c r="F23" i="3" a="1"/>
  <c r="F23" i="3" s="1"/>
  <c r="G22" i="3" a="1"/>
  <c r="G22" i="3" s="1"/>
  <c r="F22" i="3" a="1"/>
  <c r="F22" i="3" s="1"/>
  <c r="G21" i="3" a="1"/>
  <c r="G21" i="3" s="1"/>
  <c r="F21" i="3" a="1"/>
  <c r="F21" i="3" s="1"/>
  <c r="G20" i="3" a="1"/>
  <c r="G20" i="3" s="1"/>
  <c r="F20" i="3" a="1"/>
  <c r="F20" i="3" s="1"/>
  <c r="B17" i="3"/>
  <c r="B16" i="3"/>
  <c r="B15" i="3" a="1"/>
  <c r="B15" i="3" s="1"/>
  <c r="B42" i="3"/>
  <c r="C42" i="3"/>
  <c r="D42" i="3"/>
  <c r="E42" i="3"/>
  <c r="F42" i="3"/>
  <c r="G42" i="3"/>
  <c r="H42" i="3"/>
  <c r="I42" i="3"/>
  <c r="B41" i="3"/>
  <c r="C41" i="3"/>
  <c r="D41" i="3"/>
  <c r="E41" i="3"/>
  <c r="F41" i="3"/>
  <c r="G41" i="3"/>
  <c r="H41" i="3"/>
  <c r="I41" i="3"/>
  <c r="B40" i="3"/>
  <c r="C40" i="3"/>
  <c r="D40" i="3"/>
  <c r="E40" i="3"/>
  <c r="F40" i="3"/>
  <c r="G40" i="3"/>
  <c r="H40" i="3"/>
  <c r="I40" i="3"/>
  <c r="B39" i="3"/>
  <c r="C39" i="3"/>
  <c r="D39" i="3"/>
  <c r="E39" i="3"/>
  <c r="F39" i="3"/>
  <c r="G39" i="3"/>
  <c r="H39" i="3"/>
  <c r="I39" i="3"/>
  <c r="B38" i="3"/>
  <c r="C38" i="3"/>
  <c r="D38" i="3"/>
  <c r="E38" i="3"/>
  <c r="F38" i="3"/>
  <c r="G38" i="3"/>
  <c r="H38" i="3"/>
  <c r="I38" i="3"/>
  <c r="B37" i="3"/>
  <c r="C37" i="3"/>
  <c r="D37" i="3"/>
  <c r="E37" i="3"/>
  <c r="F37" i="3"/>
  <c r="G37" i="3"/>
  <c r="H37" i="3"/>
  <c r="I37" i="3"/>
  <c r="B36" i="3"/>
  <c r="C36" i="3"/>
  <c r="D36" i="3"/>
  <c r="E36" i="3"/>
  <c r="F36" i="3"/>
  <c r="G36" i="3"/>
  <c r="H36" i="3"/>
  <c r="I36" i="3"/>
  <c r="B35" i="3"/>
  <c r="C35" i="3"/>
  <c r="D35" i="3"/>
  <c r="E35" i="3"/>
  <c r="F35" i="3"/>
  <c r="G35" i="3"/>
  <c r="H35" i="3"/>
  <c r="I35" i="3"/>
  <c r="B34" i="3"/>
  <c r="C34" i="3"/>
  <c r="D34" i="3"/>
  <c r="E34" i="3"/>
  <c r="F34" i="3"/>
  <c r="G34" i="3"/>
  <c r="H34" i="3"/>
  <c r="I34" i="3"/>
  <c r="B33" i="3"/>
  <c r="C33" i="3"/>
  <c r="D33" i="3"/>
  <c r="E33" i="3"/>
  <c r="F33" i="3"/>
  <c r="G33" i="3"/>
  <c r="H33" i="3"/>
  <c r="I33" i="3"/>
  <c r="B32" i="3"/>
  <c r="C32" i="3"/>
  <c r="D32" i="3"/>
  <c r="E32" i="3"/>
  <c r="F32" i="3"/>
  <c r="G32" i="3"/>
  <c r="H32" i="3"/>
  <c r="I32" i="3"/>
  <c r="B31" i="3"/>
  <c r="C31" i="3"/>
  <c r="D31" i="3"/>
  <c r="E31" i="3"/>
  <c r="F31" i="3"/>
  <c r="G31" i="3"/>
  <c r="H31" i="3"/>
  <c r="I31" i="3"/>
  <c r="B30" i="3"/>
  <c r="C30" i="3"/>
  <c r="D30" i="3"/>
  <c r="E30" i="3"/>
  <c r="F30" i="3"/>
  <c r="G30" i="3"/>
  <c r="H30" i="3"/>
  <c r="I30" i="3"/>
  <c r="B29" i="3"/>
  <c r="C29" i="3"/>
  <c r="D29" i="3"/>
  <c r="E29" i="3"/>
  <c r="F29" i="3"/>
  <c r="G29" i="3"/>
  <c r="H29" i="3"/>
  <c r="I29" i="3"/>
  <c r="AD2" i="1" a="1"/>
  <c r="AD2" i="1" s="1"/>
  <c r="AD3" i="1" a="1"/>
  <c r="AD3" i="1" s="1"/>
  <c r="AD4" i="1" a="1"/>
  <c r="AD4" i="1" s="1"/>
  <c r="AD5" i="1" a="1"/>
  <c r="AD5" i="1"/>
  <c r="AD6" i="1" a="1"/>
  <c r="AD6" i="1" s="1"/>
  <c r="AD7" i="1" a="1"/>
  <c r="AD7" i="1" s="1"/>
  <c r="AD8" i="1" a="1"/>
  <c r="AD8" i="1" s="1"/>
  <c r="AD9" i="1" a="1"/>
  <c r="AD9" i="1" s="1"/>
  <c r="AD10" i="1" a="1"/>
  <c r="AD10" i="1" s="1"/>
  <c r="AD11" i="1" a="1"/>
  <c r="AD11" i="1" s="1"/>
  <c r="AD12" i="1" a="1"/>
  <c r="AD12" i="1" s="1"/>
  <c r="AD13" i="1" a="1"/>
  <c r="AD13" i="1" s="1"/>
  <c r="AD14" i="1" a="1"/>
  <c r="AD14" i="1" s="1"/>
  <c r="AD15" i="1" a="1"/>
  <c r="AD15" i="1" s="1"/>
  <c r="AD16" i="1" a="1"/>
  <c r="AD16" i="1" s="1"/>
  <c r="AD17" i="1" a="1"/>
  <c r="AD17" i="1" s="1"/>
  <c r="AD18" i="1" a="1"/>
  <c r="AD18" i="1" s="1"/>
  <c r="AD19" i="1" a="1"/>
  <c r="AD19" i="1" s="1"/>
  <c r="AD20" i="1" a="1"/>
  <c r="AD20" i="1" s="1"/>
  <c r="AD21" i="1" a="1"/>
  <c r="AD21" i="1" s="1"/>
  <c r="AD22" i="1" a="1"/>
  <c r="AD22" i="1" s="1"/>
  <c r="AD23" i="1" a="1"/>
  <c r="AD23" i="1" s="1"/>
  <c r="AD24" i="1" a="1"/>
  <c r="AD24" i="1" s="1"/>
  <c r="AD25" i="1" a="1"/>
  <c r="AD25" i="1" s="1"/>
  <c r="AD26" i="1" a="1"/>
  <c r="AD26" i="1" s="1"/>
  <c r="AD27" i="1" a="1"/>
  <c r="AD27" i="1" s="1"/>
  <c r="AD28" i="1" a="1"/>
  <c r="AD28" i="1" s="1"/>
  <c r="AD29" i="1" a="1"/>
  <c r="AD29" i="1"/>
  <c r="AD30" i="1" a="1"/>
  <c r="AD30" i="1" s="1"/>
  <c r="AD31" i="1" a="1"/>
  <c r="AD31" i="1" s="1"/>
  <c r="AD32" i="1" a="1"/>
  <c r="AD32" i="1" s="1"/>
  <c r="AD33" i="1" a="1"/>
  <c r="AD33" i="1"/>
  <c r="AD34" i="1" a="1"/>
  <c r="AD34" i="1" s="1"/>
  <c r="AD35" i="1" a="1"/>
  <c r="AD35" i="1" s="1"/>
  <c r="AD36" i="1" a="1"/>
  <c r="AD36" i="1" s="1"/>
  <c r="AD37" i="1" a="1"/>
  <c r="AD37" i="1"/>
  <c r="AD38" i="1" a="1"/>
  <c r="AD38" i="1" s="1"/>
  <c r="AD39" i="1" a="1"/>
  <c r="AD39" i="1" s="1"/>
  <c r="AD40" i="1" a="1"/>
  <c r="AD40" i="1" s="1"/>
  <c r="AD41" i="1" a="1"/>
  <c r="AD41" i="1" s="1"/>
  <c r="AD42" i="1" a="1"/>
  <c r="AD42" i="1" s="1"/>
  <c r="AD43" i="1" a="1"/>
  <c r="AD43" i="1" s="1"/>
  <c r="AD44" i="1" a="1"/>
  <c r="AD44" i="1" s="1"/>
  <c r="AD45" i="1" a="1"/>
  <c r="AD45" i="1" s="1"/>
  <c r="AD46" i="1" a="1"/>
  <c r="AD46" i="1" s="1"/>
  <c r="AD47" i="1" a="1"/>
  <c r="AD47" i="1" s="1"/>
  <c r="AD48" i="1" a="1"/>
  <c r="AD48" i="1" s="1"/>
  <c r="AD49" i="1" a="1"/>
  <c r="AD49" i="1" s="1"/>
  <c r="AD50" i="1" a="1"/>
  <c r="AD50" i="1" s="1"/>
  <c r="AD51" i="1" a="1"/>
  <c r="AD51" i="1" s="1"/>
  <c r="AD52" i="1" a="1"/>
  <c r="AD52" i="1" s="1"/>
  <c r="AD53" i="1" a="1"/>
  <c r="AD53" i="1" s="1"/>
  <c r="AD54" i="1" a="1"/>
  <c r="AD54" i="1" s="1"/>
  <c r="AD55" i="1" a="1"/>
  <c r="AD55" i="1" s="1"/>
  <c r="AD56" i="1" a="1"/>
  <c r="AD56" i="1" s="1"/>
  <c r="AD57" i="1" a="1"/>
  <c r="AD57" i="1" s="1"/>
  <c r="AD58" i="1" a="1"/>
  <c r="AD58" i="1" s="1"/>
  <c r="AD59" i="1" a="1"/>
  <c r="AD59" i="1" s="1"/>
  <c r="AD60" i="1" a="1"/>
  <c r="AD60" i="1" s="1"/>
  <c r="AD61" i="1" a="1"/>
  <c r="AD61" i="1"/>
  <c r="AD62" i="1" a="1"/>
  <c r="AD62" i="1" s="1"/>
  <c r="AD63" i="1" a="1"/>
  <c r="AD63" i="1" s="1"/>
  <c r="AD64" i="1" a="1"/>
  <c r="AD64" i="1" s="1"/>
  <c r="AD65" i="1" a="1"/>
  <c r="AD65" i="1"/>
  <c r="AD66" i="1" a="1"/>
  <c r="AD66" i="1" s="1"/>
  <c r="AD67" i="1" a="1"/>
  <c r="AD67" i="1" s="1"/>
  <c r="AD68" i="1" a="1"/>
  <c r="AD68" i="1" s="1"/>
  <c r="AD69" i="1" a="1"/>
  <c r="AD69" i="1"/>
  <c r="AD70" i="1" a="1"/>
  <c r="AD70" i="1" s="1"/>
  <c r="AD71" i="1" a="1"/>
  <c r="AD71" i="1" s="1"/>
  <c r="AD72" i="1" a="1"/>
  <c r="AD72" i="1" s="1"/>
  <c r="AD73" i="1" a="1"/>
  <c r="AD73" i="1" s="1"/>
  <c r="AD74" i="1" a="1"/>
  <c r="AD74" i="1" s="1"/>
  <c r="AD75" i="1" a="1"/>
  <c r="AD75" i="1" s="1"/>
  <c r="AD76" i="1" a="1"/>
  <c r="AD76" i="1" s="1"/>
  <c r="AD77" i="1" a="1"/>
  <c r="AD77" i="1" s="1"/>
  <c r="AD78" i="1" a="1"/>
  <c r="AD78" i="1" s="1"/>
  <c r="AD79" i="1" a="1"/>
  <c r="AD79" i="1" s="1"/>
  <c r="AD80" i="1" a="1"/>
  <c r="AD80" i="1" s="1"/>
  <c r="AD81" i="1" a="1"/>
  <c r="AD81" i="1" s="1"/>
  <c r="AD82" i="1" a="1"/>
  <c r="AD82" i="1" s="1"/>
  <c r="AD83" i="1" a="1"/>
  <c r="AD83" i="1" s="1"/>
  <c r="AD84" i="1" a="1"/>
  <c r="AD84" i="1" s="1"/>
  <c r="AD85" i="1" a="1"/>
  <c r="AD85" i="1" s="1"/>
  <c r="AD86" i="1" a="1"/>
  <c r="AD86" i="1" s="1"/>
  <c r="AD87" i="1" a="1"/>
  <c r="AD87" i="1" s="1"/>
  <c r="AD88" i="1" a="1"/>
  <c r="AD88" i="1" s="1"/>
  <c r="AD89" i="1" a="1"/>
  <c r="AD89" i="1" s="1"/>
  <c r="AD90" i="1" a="1"/>
  <c r="AD90" i="1" s="1"/>
  <c r="AD91" i="1" a="1"/>
  <c r="AD91" i="1" s="1"/>
  <c r="AD92" i="1" a="1"/>
  <c r="AD92" i="1" s="1"/>
  <c r="AD93" i="1" a="1"/>
  <c r="AD93" i="1"/>
  <c r="AD94" i="1" a="1"/>
  <c r="AD94" i="1" s="1"/>
  <c r="AD95" i="1" a="1"/>
  <c r="AD95" i="1" s="1"/>
  <c r="AD96" i="1" a="1"/>
  <c r="AD96" i="1" s="1"/>
  <c r="AD97" i="1" a="1"/>
  <c r="AD97" i="1"/>
  <c r="AD98" i="1" a="1"/>
  <c r="AD98" i="1" s="1"/>
  <c r="AD99" i="1" a="1"/>
  <c r="AD99" i="1" s="1"/>
  <c r="AD100" i="1" a="1"/>
  <c r="AD100" i="1" s="1"/>
  <c r="AD101" i="1" a="1"/>
  <c r="AD101" i="1"/>
  <c r="AD102" i="1" a="1"/>
  <c r="AD102" i="1" s="1"/>
  <c r="AD103" i="1" a="1"/>
  <c r="AD103" i="1" s="1"/>
  <c r="AD104" i="1" a="1"/>
  <c r="AD104" i="1" s="1"/>
  <c r="AD105" i="1" a="1"/>
  <c r="AD105" i="1" s="1"/>
  <c r="AD106" i="1" a="1"/>
  <c r="AD106" i="1" s="1"/>
  <c r="AD107" i="1" a="1"/>
  <c r="AD107" i="1" s="1"/>
  <c r="AD108" i="1" a="1"/>
  <c r="AD108" i="1" s="1"/>
  <c r="AD109" i="1" a="1"/>
  <c r="AD109" i="1" s="1"/>
  <c r="AD110" i="1" a="1"/>
  <c r="AD110" i="1" s="1"/>
  <c r="AD111" i="1" a="1"/>
  <c r="AD111" i="1" s="1"/>
  <c r="AD112" i="1" a="1"/>
  <c r="AD112" i="1" s="1"/>
  <c r="AD113" i="1" a="1"/>
  <c r="AD113" i="1" s="1"/>
  <c r="AD114" i="1" a="1"/>
  <c r="AD114" i="1" s="1"/>
  <c r="AD115" i="1" a="1"/>
  <c r="AD115" i="1" s="1"/>
  <c r="AD116" i="1" a="1"/>
  <c r="AD116" i="1" s="1"/>
  <c r="AD117" i="1" a="1"/>
  <c r="AD117" i="1" s="1"/>
  <c r="AD118" i="1" a="1"/>
  <c r="AD118" i="1" s="1"/>
  <c r="AD119" i="1" a="1"/>
  <c r="AD119" i="1" s="1"/>
  <c r="AD120" i="1" a="1"/>
  <c r="AD120" i="1" s="1"/>
  <c r="AD121" i="1" a="1"/>
  <c r="AD121" i="1" s="1"/>
  <c r="AD122" i="1" a="1"/>
  <c r="AD122" i="1" s="1"/>
  <c r="AD123" i="1" a="1"/>
  <c r="AD123" i="1" s="1"/>
  <c r="AD124" i="1" a="1"/>
  <c r="AD124" i="1" s="1"/>
  <c r="AD125" i="1" a="1"/>
  <c r="AD125" i="1"/>
  <c r="AD126" i="1" a="1"/>
  <c r="AD126" i="1" s="1"/>
  <c r="AD127" i="1" a="1"/>
  <c r="AD127" i="1" s="1"/>
  <c r="AD128" i="1" a="1"/>
  <c r="AD128" i="1" s="1"/>
  <c r="AD129" i="1" a="1"/>
  <c r="AD129" i="1"/>
  <c r="AD130" i="1" a="1"/>
  <c r="AD130" i="1" s="1"/>
  <c r="AD131" i="1" a="1"/>
  <c r="AD131" i="1" s="1"/>
  <c r="AD132" i="1" a="1"/>
  <c r="AD132" i="1" s="1"/>
  <c r="AD133" i="1" a="1"/>
  <c r="AD133" i="1"/>
  <c r="AD134" i="1" a="1"/>
  <c r="AD134" i="1" s="1"/>
  <c r="AD135" i="1" a="1"/>
  <c r="AD135" i="1" s="1"/>
  <c r="AD136" i="1" a="1"/>
  <c r="AD136" i="1" s="1"/>
  <c r="AD137" i="1" a="1"/>
  <c r="AD137" i="1" s="1"/>
  <c r="AD138" i="1" a="1"/>
  <c r="AD138" i="1" s="1"/>
  <c r="AD139" i="1" a="1"/>
  <c r="AD139" i="1" s="1"/>
  <c r="AD140" i="1" a="1"/>
  <c r="AD140" i="1" s="1"/>
  <c r="AD141" i="1" a="1"/>
  <c r="AD141" i="1" s="1"/>
  <c r="AD142" i="1" a="1"/>
  <c r="AD142" i="1" s="1"/>
  <c r="AD143" i="1" a="1"/>
  <c r="AD143" i="1" s="1"/>
  <c r="AD144" i="1" a="1"/>
  <c r="AD144" i="1" s="1"/>
  <c r="AD145" i="1" a="1"/>
  <c r="AD145" i="1" s="1"/>
  <c r="AD146" i="1" a="1"/>
  <c r="AD146" i="1" s="1"/>
  <c r="AD147" i="1" a="1"/>
  <c r="AD147" i="1" s="1"/>
  <c r="AD148" i="1" a="1"/>
  <c r="AD148" i="1" s="1"/>
  <c r="AD149" i="1" a="1"/>
  <c r="AD149" i="1" s="1"/>
  <c r="AD150" i="1" a="1"/>
  <c r="AD150" i="1" s="1"/>
  <c r="AD151" i="1" a="1"/>
  <c r="AD151" i="1" s="1"/>
  <c r="AD152" i="1" a="1"/>
  <c r="AD152" i="1" s="1"/>
  <c r="AD153" i="1" a="1"/>
  <c r="AD153" i="1" s="1"/>
  <c r="AD154" i="1" a="1"/>
  <c r="AD154" i="1" s="1"/>
  <c r="AD155" i="1" a="1"/>
  <c r="AD155" i="1" s="1"/>
  <c r="AD156" i="1" a="1"/>
  <c r="AD156" i="1" s="1"/>
  <c r="AD157" i="1" a="1"/>
  <c r="AD157" i="1"/>
  <c r="AD158" i="1" a="1"/>
  <c r="AD158" i="1" s="1"/>
  <c r="AD159" i="1" a="1"/>
  <c r="AD159" i="1" s="1"/>
  <c r="AD160" i="1" a="1"/>
  <c r="AD160" i="1" s="1"/>
  <c r="AD161" i="1" a="1"/>
  <c r="AD161" i="1"/>
  <c r="AD162" i="1" a="1"/>
  <c r="AD162" i="1" s="1"/>
  <c r="AD163" i="1" a="1"/>
  <c r="AD163" i="1" s="1"/>
  <c r="AD164" i="1" a="1"/>
  <c r="AD164" i="1" s="1"/>
  <c r="AD165" i="1" a="1"/>
  <c r="AD165" i="1"/>
  <c r="AD166" i="1" a="1"/>
  <c r="AD166" i="1" s="1"/>
  <c r="AD167" i="1" a="1"/>
  <c r="AD167" i="1" s="1"/>
  <c r="AD168" i="1" a="1"/>
  <c r="AD168" i="1" s="1"/>
  <c r="AD169" i="1" a="1"/>
  <c r="AD169" i="1" s="1"/>
  <c r="AD170" i="1" a="1"/>
  <c r="AD170" i="1" s="1"/>
  <c r="AD171" i="1" a="1"/>
  <c r="AD171" i="1" s="1"/>
  <c r="AD172" i="1" a="1"/>
  <c r="AD172" i="1" s="1"/>
  <c r="AD173" i="1" a="1"/>
  <c r="AD173" i="1" s="1"/>
  <c r="AD174" i="1" a="1"/>
  <c r="AD174" i="1" s="1"/>
  <c r="AD175" i="1" a="1"/>
  <c r="AD175" i="1" s="1"/>
  <c r="AD176" i="1" a="1"/>
  <c r="AD176" i="1" s="1"/>
  <c r="AD177" i="1" a="1"/>
  <c r="AD177" i="1" s="1"/>
  <c r="AD178" i="1" a="1"/>
  <c r="AD178" i="1" s="1"/>
  <c r="AD179" i="1" a="1"/>
  <c r="AD179" i="1" s="1"/>
  <c r="AD180" i="1" a="1"/>
  <c r="AD180" i="1" s="1"/>
  <c r="AD181" i="1" a="1"/>
  <c r="AD181" i="1" s="1"/>
  <c r="AD182" i="1" a="1"/>
  <c r="AD182" i="1" s="1"/>
  <c r="AD183" i="1" a="1"/>
  <c r="AD183" i="1" s="1"/>
  <c r="AD184" i="1" a="1"/>
  <c r="AD184" i="1" s="1"/>
  <c r="AD185" i="1" a="1"/>
  <c r="AD185" i="1" s="1"/>
  <c r="AD186" i="1" a="1"/>
  <c r="AD186" i="1" s="1"/>
  <c r="AD187" i="1" a="1"/>
  <c r="AD187" i="1" s="1"/>
  <c r="AD188" i="1" a="1"/>
  <c r="AD188" i="1" s="1"/>
  <c r="AD189" i="1" a="1"/>
  <c r="AD189" i="1"/>
  <c r="AD190" i="1" a="1"/>
  <c r="AD190" i="1" s="1"/>
  <c r="AD191" i="1" a="1"/>
  <c r="AD191" i="1" s="1"/>
  <c r="AD192" i="1" a="1"/>
  <c r="AD192" i="1" s="1"/>
  <c r="AD193" i="1" a="1"/>
  <c r="AD193" i="1"/>
  <c r="AD194" i="1" a="1"/>
  <c r="AD194" i="1" s="1"/>
  <c r="AD195" i="1" a="1"/>
  <c r="AD195" i="1" s="1"/>
  <c r="AD196" i="1" a="1"/>
  <c r="AD196" i="1" s="1"/>
  <c r="AD197" i="1" a="1"/>
  <c r="AD197" i="1"/>
  <c r="AD198" i="1" a="1"/>
  <c r="AD198" i="1" s="1"/>
  <c r="AD199" i="1" a="1"/>
  <c r="AD199" i="1" s="1"/>
  <c r="AD200" i="1" a="1"/>
  <c r="AD200" i="1" s="1"/>
  <c r="AD201" i="1" a="1"/>
  <c r="AD201" i="1" s="1"/>
  <c r="AD202" i="1" a="1"/>
  <c r="AD202" i="1" s="1"/>
  <c r="AD203" i="1" a="1"/>
  <c r="AD203" i="1" s="1"/>
  <c r="AD204" i="1" a="1"/>
  <c r="AD204" i="1" s="1"/>
  <c r="AD205" i="1" a="1"/>
  <c r="AD205" i="1" s="1"/>
  <c r="AD206" i="1" a="1"/>
  <c r="AD206" i="1" s="1"/>
  <c r="AD207" i="1" a="1"/>
  <c r="AD207" i="1" s="1"/>
  <c r="AD208" i="1" a="1"/>
  <c r="AD208" i="1" s="1"/>
  <c r="AD209" i="1" a="1"/>
  <c r="AD209" i="1" s="1"/>
  <c r="AD210" i="1" a="1"/>
  <c r="AD210" i="1" s="1"/>
  <c r="AD211" i="1" a="1"/>
  <c r="AD211" i="1" s="1"/>
  <c r="AD212" i="1" a="1"/>
  <c r="AD212" i="1" s="1"/>
  <c r="AD213" i="1" a="1"/>
  <c r="AD213" i="1" s="1"/>
  <c r="AD214" i="1" a="1"/>
  <c r="AD214" i="1" s="1"/>
  <c r="AD215" i="1" a="1"/>
  <c r="AD215" i="1" s="1"/>
  <c r="AD216" i="1" a="1"/>
  <c r="AD216" i="1" s="1"/>
  <c r="AD217" i="1" a="1"/>
  <c r="AD217" i="1" s="1"/>
  <c r="AD218" i="1" a="1"/>
  <c r="AD218" i="1" s="1"/>
  <c r="AD219" i="1" a="1"/>
  <c r="AD219" i="1" s="1"/>
  <c r="AD220" i="1" a="1"/>
  <c r="AD220" i="1" s="1"/>
  <c r="AD221" i="1" a="1"/>
  <c r="AD221" i="1"/>
  <c r="AD222" i="1" a="1"/>
  <c r="AD222" i="1" s="1"/>
  <c r="AD223" i="1" a="1"/>
  <c r="AD223" i="1" s="1"/>
  <c r="AD224" i="1" a="1"/>
  <c r="AD224" i="1" s="1"/>
  <c r="AD225" i="1" a="1"/>
  <c r="AD225" i="1"/>
  <c r="AD226" i="1" a="1"/>
  <c r="AD226" i="1" s="1"/>
  <c r="AD227" i="1" a="1"/>
  <c r="AD227" i="1" s="1"/>
  <c r="AD228" i="1" a="1"/>
  <c r="AD228" i="1" s="1"/>
  <c r="AD229" i="1" a="1"/>
  <c r="AD229" i="1"/>
  <c r="AD230" i="1" a="1"/>
  <c r="AD230" i="1" s="1"/>
  <c r="AD231" i="1" a="1"/>
  <c r="AD231" i="1" s="1"/>
  <c r="AD232" i="1" a="1"/>
  <c r="AD232" i="1" s="1"/>
  <c r="AD233" i="1" a="1"/>
  <c r="AD233" i="1" s="1"/>
  <c r="AD234" i="1" a="1"/>
  <c r="AD234" i="1" s="1"/>
  <c r="AD235" i="1" a="1"/>
  <c r="AD235" i="1" s="1"/>
  <c r="AD236" i="1" a="1"/>
  <c r="AD236" i="1" s="1"/>
  <c r="AD237" i="1" a="1"/>
  <c r="AD237" i="1" s="1"/>
  <c r="AD238" i="1" a="1"/>
  <c r="AD238" i="1" s="1"/>
  <c r="AD239" i="1" a="1"/>
  <c r="AD239" i="1" s="1"/>
  <c r="AD240" i="1" a="1"/>
  <c r="AD240" i="1" s="1"/>
  <c r="AD241" i="1" a="1"/>
  <c r="AD241" i="1" s="1"/>
  <c r="AD242" i="1" a="1"/>
  <c r="AD242" i="1" s="1"/>
  <c r="AD243" i="1" a="1"/>
  <c r="AD243" i="1" s="1"/>
  <c r="AD244" i="1" a="1"/>
  <c r="AD244" i="1" s="1"/>
  <c r="AD245" i="1" a="1"/>
  <c r="AD245" i="1" s="1"/>
  <c r="AD246" i="1" a="1"/>
  <c r="AD246" i="1" s="1"/>
  <c r="AD247" i="1" a="1"/>
  <c r="AD247" i="1" s="1"/>
  <c r="AD248" i="1" a="1"/>
  <c r="AD248" i="1" s="1"/>
  <c r="AD249" i="1" a="1"/>
  <c r="AD249" i="1" s="1"/>
  <c r="AD250" i="1" a="1"/>
  <c r="AD250" i="1" s="1"/>
  <c r="AD251" i="1" a="1"/>
  <c r="AD251" i="1" s="1"/>
  <c r="AD252" i="1" a="1"/>
  <c r="AD252" i="1" s="1"/>
  <c r="AD253" i="1" a="1"/>
  <c r="AD253" i="1"/>
  <c r="AD254" i="1" a="1"/>
  <c r="AD254" i="1" s="1"/>
  <c r="AD255" i="1" a="1"/>
  <c r="AD255" i="1" s="1"/>
  <c r="AD256" i="1" a="1"/>
  <c r="AD256" i="1" s="1"/>
  <c r="AD257" i="1" a="1"/>
  <c r="AD257" i="1"/>
  <c r="AD258" i="1" a="1"/>
  <c r="AD258" i="1" s="1"/>
  <c r="AD259" i="1" a="1"/>
  <c r="AD259" i="1" s="1"/>
  <c r="AD260" i="1" a="1"/>
  <c r="AD260" i="1" s="1"/>
  <c r="AD261" i="1" a="1"/>
  <c r="AD261" i="1"/>
  <c r="AD262" i="1" a="1"/>
  <c r="AD262" i="1" s="1"/>
  <c r="AD263" i="1" a="1"/>
  <c r="AD263" i="1" s="1"/>
  <c r="AD264" i="1" a="1"/>
  <c r="AD264" i="1" s="1"/>
  <c r="AD265" i="1" a="1"/>
  <c r="AD265" i="1" s="1"/>
  <c r="AD266" i="1" a="1"/>
  <c r="AD266" i="1" s="1"/>
  <c r="AD267" i="1" a="1"/>
  <c r="AD267" i="1" s="1"/>
  <c r="AD268" i="1" a="1"/>
  <c r="AD268" i="1" s="1"/>
  <c r="AD269" i="1" a="1"/>
  <c r="AD269" i="1" s="1"/>
  <c r="AD270" i="1" a="1"/>
  <c r="AD270" i="1" s="1"/>
  <c r="AD271" i="1" a="1"/>
  <c r="AD271" i="1" s="1"/>
  <c r="AD272" i="1" a="1"/>
  <c r="AD272" i="1" s="1"/>
  <c r="AD273" i="1" a="1"/>
  <c r="AD273" i="1" s="1"/>
  <c r="AD274" i="1" a="1"/>
  <c r="AD274" i="1" s="1"/>
  <c r="AD275" i="1" a="1"/>
  <c r="AD275" i="1" s="1"/>
  <c r="AD276" i="1" a="1"/>
  <c r="AD276" i="1" s="1"/>
  <c r="AD277" i="1" a="1"/>
  <c r="AD277" i="1" s="1"/>
  <c r="AD278" i="1" a="1"/>
  <c r="AD278" i="1" s="1"/>
  <c r="AD279" i="1" a="1"/>
  <c r="AD279" i="1" s="1"/>
  <c r="AD280" i="1" a="1"/>
  <c r="AD280" i="1" s="1"/>
  <c r="AD281" i="1" a="1"/>
  <c r="AD281" i="1"/>
  <c r="AD282" i="1" a="1"/>
  <c r="AD282" i="1" s="1"/>
  <c r="AD283" i="1" a="1"/>
  <c r="AD283" i="1" s="1"/>
  <c r="AD284" i="1" a="1"/>
  <c r="AD284" i="1" s="1"/>
  <c r="AD285" i="1" a="1"/>
  <c r="AD285" i="1" s="1"/>
  <c r="AD286" i="1" a="1"/>
  <c r="AD286" i="1" s="1"/>
  <c r="AD287" i="1" a="1"/>
  <c r="AD287" i="1" s="1"/>
  <c r="AD288" i="1" a="1"/>
  <c r="AD288" i="1" s="1"/>
  <c r="AD289" i="1" a="1"/>
  <c r="AD289" i="1"/>
  <c r="AD290" i="1" a="1"/>
  <c r="AD290" i="1" s="1"/>
  <c r="AD291" i="1" a="1"/>
  <c r="AD291" i="1" s="1"/>
  <c r="AD292" i="1" a="1"/>
  <c r="AD292" i="1" s="1"/>
  <c r="AD293" i="1" a="1"/>
  <c r="AD293" i="1" s="1"/>
  <c r="AD294" i="1" a="1"/>
  <c r="AD294" i="1" s="1"/>
  <c r="AD295" i="1" a="1"/>
  <c r="AD295" i="1" s="1"/>
  <c r="AD296" i="1" a="1"/>
  <c r="AD296" i="1" s="1"/>
  <c r="AD297" i="1" a="1"/>
  <c r="AD297" i="1"/>
  <c r="AD298" i="1" a="1"/>
  <c r="AD298" i="1" s="1"/>
  <c r="AD299" i="1" a="1"/>
  <c r="AD299" i="1" s="1"/>
  <c r="AD300" i="1" a="1"/>
  <c r="AD300" i="1" s="1"/>
  <c r="AD301" i="1" a="1"/>
  <c r="AD301" i="1" s="1"/>
  <c r="AD302" i="1" a="1"/>
  <c r="AD302" i="1" s="1"/>
  <c r="AD303" i="1" a="1"/>
  <c r="AD303" i="1" s="1"/>
  <c r="AD304" i="1" a="1"/>
  <c r="AD304" i="1" s="1"/>
  <c r="AD305" i="1" a="1"/>
  <c r="AD305" i="1"/>
  <c r="AD306" i="1" a="1"/>
  <c r="AD306" i="1" s="1"/>
  <c r="AD307" i="1" a="1"/>
  <c r="AD307" i="1" s="1"/>
  <c r="AD308" i="1" a="1"/>
  <c r="AD308" i="1" s="1"/>
  <c r="AD309" i="1" a="1"/>
  <c r="AD309" i="1" s="1"/>
  <c r="AD310" i="1" a="1"/>
  <c r="AD310" i="1" s="1"/>
  <c r="AD311" i="1" a="1"/>
  <c r="AD311" i="1" s="1"/>
  <c r="AD312" i="1" a="1"/>
  <c r="AD312" i="1" s="1"/>
  <c r="AD313" i="1" a="1"/>
  <c r="AD313" i="1"/>
  <c r="AD314" i="1" a="1"/>
  <c r="AD314" i="1" s="1"/>
  <c r="AD315" i="1" a="1"/>
  <c r="AD315" i="1" s="1"/>
  <c r="AD316" i="1" a="1"/>
  <c r="AD316" i="1" s="1"/>
  <c r="AD317" i="1" a="1"/>
  <c r="AD317" i="1" s="1"/>
  <c r="AD318" i="1" a="1"/>
  <c r="AD318" i="1" s="1"/>
  <c r="AD319" i="1" a="1"/>
  <c r="AD319" i="1" s="1"/>
  <c r="AD320" i="1" a="1"/>
  <c r="AD320" i="1" s="1"/>
  <c r="AD321" i="1" a="1"/>
  <c r="AD321" i="1"/>
  <c r="AD322" i="1" a="1"/>
  <c r="AD322" i="1" s="1"/>
  <c r="AD323" i="1" a="1"/>
  <c r="AD323" i="1" s="1"/>
  <c r="AD324" i="1" a="1"/>
  <c r="AD324" i="1" s="1"/>
  <c r="AD325" i="1" a="1"/>
  <c r="AD325" i="1" s="1"/>
  <c r="AD326" i="1" a="1"/>
  <c r="AD326" i="1" s="1"/>
  <c r="AD327" i="1" a="1"/>
  <c r="AD327" i="1" s="1"/>
  <c r="AD328" i="1" a="1"/>
  <c r="AD328" i="1" s="1"/>
  <c r="AD329" i="1" a="1"/>
  <c r="AD329" i="1"/>
  <c r="AD330" i="1" a="1"/>
  <c r="AD330" i="1" s="1"/>
  <c r="AD331" i="1" a="1"/>
  <c r="AD331" i="1" s="1"/>
  <c r="AD332" i="1" a="1"/>
  <c r="AD332" i="1" s="1"/>
  <c r="AD333" i="1" a="1"/>
  <c r="AD333" i="1" s="1"/>
  <c r="AD334" i="1" a="1"/>
  <c r="AD334" i="1" s="1"/>
  <c r="AD335" i="1" a="1"/>
  <c r="AD335" i="1" s="1"/>
  <c r="AD336" i="1" a="1"/>
  <c r="AD336" i="1" s="1"/>
  <c r="AD337" i="1" a="1"/>
  <c r="AD337" i="1"/>
  <c r="AD338" i="1" a="1"/>
  <c r="AD338" i="1" s="1"/>
  <c r="AD339" i="1" a="1"/>
  <c r="AD339" i="1" s="1"/>
  <c r="AD340" i="1" a="1"/>
  <c r="AD340" i="1" s="1"/>
  <c r="AD341" i="1" a="1"/>
  <c r="AD341" i="1"/>
  <c r="AD342" i="1" a="1"/>
  <c r="AD342" i="1"/>
  <c r="AD343" i="1" a="1"/>
  <c r="AD343" i="1"/>
  <c r="AD344" i="1" a="1"/>
  <c r="AD344" i="1" s="1"/>
  <c r="AD345" i="1" a="1"/>
  <c r="AD345" i="1" s="1"/>
  <c r="AD346" i="1" a="1"/>
  <c r="AD346" i="1" s="1"/>
  <c r="AD347" i="1" a="1"/>
  <c r="AD347" i="1" s="1"/>
  <c r="AD348" i="1" a="1"/>
  <c r="AD348" i="1" s="1"/>
  <c r="AD349" i="1" a="1"/>
  <c r="AD349" i="1" s="1"/>
  <c r="AD350" i="1" a="1"/>
  <c r="AD350" i="1"/>
  <c r="AD351" i="1" a="1"/>
  <c r="AD351" i="1"/>
  <c r="AD352" i="1" a="1"/>
  <c r="AD352" i="1" s="1"/>
  <c r="AD353" i="1" a="1"/>
  <c r="AD353" i="1" s="1"/>
  <c r="AD354" i="1" a="1"/>
  <c r="AD354" i="1" s="1"/>
  <c r="AD355" i="1" a="1"/>
  <c r="AD355" i="1" s="1"/>
  <c r="AD356" i="1" a="1"/>
  <c r="AD356" i="1" s="1"/>
  <c r="AD357" i="1" a="1"/>
  <c r="AD357" i="1"/>
  <c r="AD358" i="1" a="1"/>
  <c r="AD358" i="1" s="1"/>
  <c r="AD359" i="1" a="1"/>
  <c r="AD359" i="1"/>
  <c r="AD360" i="1" a="1"/>
  <c r="AD360" i="1" s="1"/>
  <c r="AD361" i="1" a="1"/>
  <c r="AD361" i="1" s="1"/>
  <c r="AD362" i="1" a="1"/>
  <c r="AD362" i="1" s="1"/>
  <c r="AD363" i="1" a="1"/>
  <c r="AD363" i="1" s="1"/>
  <c r="AD364" i="1" a="1"/>
  <c r="AD364" i="1" s="1"/>
  <c r="AD365" i="1" a="1"/>
  <c r="AD365" i="1"/>
  <c r="AD366" i="1" a="1"/>
  <c r="AD366" i="1"/>
  <c r="AD367" i="1" a="1"/>
  <c r="AD367" i="1" s="1"/>
  <c r="AD368" i="1" a="1"/>
  <c r="AD368" i="1" s="1"/>
  <c r="AD369" i="1" a="1"/>
  <c r="AD369" i="1" s="1"/>
  <c r="AD370" i="1" a="1"/>
  <c r="AD370" i="1" s="1"/>
  <c r="AD371" i="1" a="1"/>
  <c r="AD371" i="1" s="1"/>
  <c r="AD372" i="1" a="1"/>
  <c r="AD372" i="1" s="1"/>
  <c r="AD373" i="1" a="1"/>
  <c r="AD373" i="1"/>
  <c r="AD374" i="1" a="1"/>
  <c r="AD374" i="1"/>
  <c r="AD375" i="1" a="1"/>
  <c r="AD375" i="1"/>
  <c r="AD376" i="1" a="1"/>
  <c r="AD376" i="1" s="1"/>
  <c r="AD377" i="1" a="1"/>
  <c r="AD377" i="1" s="1"/>
  <c r="AD378" i="1" a="1"/>
  <c r="AD378" i="1" s="1"/>
  <c r="AD379" i="1" a="1"/>
  <c r="AD379" i="1" s="1"/>
  <c r="AD380" i="1" a="1"/>
  <c r="AD380" i="1" s="1"/>
  <c r="AD381" i="1" a="1"/>
  <c r="AD381" i="1" s="1"/>
  <c r="AD382" i="1" a="1"/>
  <c r="AD382" i="1"/>
  <c r="AD383" i="1" a="1"/>
  <c r="AD383" i="1"/>
  <c r="AD384" i="1" a="1"/>
  <c r="AD384" i="1" s="1"/>
  <c r="AD385" i="1" a="1"/>
  <c r="AD385" i="1" s="1"/>
  <c r="AD386" i="1" a="1"/>
  <c r="AD386" i="1"/>
  <c r="AD387" i="1" a="1"/>
  <c r="AD387" i="1" s="1"/>
  <c r="AD388" i="1" a="1"/>
  <c r="AD388" i="1" s="1"/>
  <c r="AD389" i="1" a="1"/>
  <c r="AD389" i="1"/>
  <c r="AD390" i="1" a="1"/>
  <c r="AD390" i="1" s="1"/>
  <c r="AD391" i="1" a="1"/>
  <c r="AD391" i="1"/>
  <c r="AD392" i="1" a="1"/>
  <c r="AD392" i="1" s="1"/>
  <c r="AD393" i="1" a="1"/>
  <c r="AD393" i="1" s="1"/>
  <c r="AD394" i="1" a="1"/>
  <c r="AD394" i="1" s="1"/>
  <c r="AD395" i="1" a="1"/>
  <c r="AD395" i="1"/>
  <c r="AD396" i="1" a="1"/>
  <c r="AD396" i="1" s="1"/>
  <c r="AD397" i="1" a="1"/>
  <c r="AD397" i="1"/>
  <c r="AD398" i="1" a="1"/>
  <c r="AD398" i="1"/>
  <c r="AD399" i="1" a="1"/>
  <c r="AD399" i="1" s="1"/>
  <c r="AD400" i="1" a="1"/>
  <c r="AD400" i="1" s="1"/>
  <c r="AD401" i="1" a="1"/>
  <c r="AD401" i="1" s="1"/>
  <c r="AD402" i="1" a="1"/>
  <c r="AD402" i="1" s="1"/>
  <c r="AD403" i="1" a="1"/>
  <c r="AD403" i="1" s="1"/>
  <c r="AD404" i="1" a="1"/>
  <c r="AD404" i="1" s="1"/>
  <c r="AD405" i="1" a="1"/>
  <c r="AD405" i="1"/>
  <c r="AD406" i="1" a="1"/>
  <c r="AD406" i="1"/>
  <c r="AD407" i="1" a="1"/>
  <c r="AD407" i="1"/>
  <c r="AD408" i="1" a="1"/>
  <c r="AD408" i="1" s="1"/>
  <c r="AD409" i="1" a="1"/>
  <c r="AD409" i="1"/>
  <c r="AD410" i="1" a="1"/>
  <c r="AD410" i="1" s="1"/>
  <c r="AD411" i="1" a="1"/>
  <c r="AD411" i="1" s="1"/>
  <c r="AD412" i="1" a="1"/>
  <c r="AD412" i="1" s="1"/>
  <c r="AD413" i="1" a="1"/>
  <c r="AD413" i="1" s="1"/>
  <c r="AD414" i="1" a="1"/>
  <c r="AD414" i="1"/>
  <c r="AD415" i="1" a="1"/>
  <c r="AD415" i="1"/>
  <c r="AD416" i="1" a="1"/>
  <c r="AD416" i="1" s="1"/>
  <c r="AD417" i="1" a="1"/>
  <c r="AD417" i="1" s="1"/>
  <c r="AD418" i="1" a="1"/>
  <c r="AD418" i="1"/>
  <c r="AD419" i="1" a="1"/>
  <c r="AD419" i="1" s="1"/>
  <c r="AD420" i="1" a="1"/>
  <c r="AD420" i="1" s="1"/>
  <c r="AD421" i="1" a="1"/>
  <c r="AD421" i="1"/>
  <c r="AD422" i="1" a="1"/>
  <c r="AD422" i="1" s="1"/>
  <c r="AD423" i="1" a="1"/>
  <c r="AD423" i="1"/>
  <c r="AD424" i="1" a="1"/>
  <c r="AD424" i="1" s="1"/>
  <c r="AD425" i="1" a="1"/>
  <c r="AD425" i="1" s="1"/>
  <c r="AD426" i="1" a="1"/>
  <c r="AD426" i="1" s="1"/>
  <c r="AD427" i="1" a="1"/>
  <c r="AD427" i="1"/>
  <c r="AD428" i="1" a="1"/>
  <c r="AD428" i="1" s="1"/>
  <c r="AD429" i="1" a="1"/>
  <c r="AD429" i="1"/>
  <c r="AD430" i="1" a="1"/>
  <c r="AD430" i="1"/>
  <c r="AD431" i="1" a="1"/>
  <c r="AD431" i="1" s="1"/>
  <c r="AD432" i="1" a="1"/>
  <c r="AD432" i="1" s="1"/>
  <c r="AD433" i="1" a="1"/>
  <c r="AD433" i="1" s="1"/>
  <c r="AD434" i="1" a="1"/>
  <c r="AD434" i="1" s="1"/>
  <c r="AD435" i="1" a="1"/>
  <c r="AD435" i="1" s="1"/>
  <c r="AD436" i="1" a="1"/>
  <c r="AD436" i="1" s="1"/>
  <c r="AD437" i="1" a="1"/>
  <c r="AD437" i="1"/>
  <c r="AD438" i="1" a="1"/>
  <c r="AD438" i="1"/>
  <c r="AD439" i="1" a="1"/>
  <c r="AD439" i="1"/>
  <c r="AD440" i="1" a="1"/>
  <c r="AD440" i="1" s="1"/>
  <c r="AD441" i="1" a="1"/>
  <c r="AD441" i="1"/>
  <c r="AD442" i="1" a="1"/>
  <c r="AD442" i="1" s="1"/>
  <c r="AD443" i="1" a="1"/>
  <c r="AD443" i="1" s="1"/>
  <c r="AD444" i="1" a="1"/>
  <c r="AD444" i="1" s="1"/>
  <c r="AD445" i="1" a="1"/>
  <c r="AD445" i="1" s="1"/>
  <c r="AD446" i="1" a="1"/>
  <c r="AD446" i="1"/>
  <c r="AD447" i="1" a="1"/>
  <c r="AD447" i="1"/>
  <c r="AD448" i="1" a="1"/>
  <c r="AD448" i="1" s="1"/>
  <c r="AD449" i="1" a="1"/>
  <c r="AD449" i="1" s="1"/>
  <c r="AD450" i="1" a="1"/>
  <c r="AD450" i="1"/>
  <c r="AD451" i="1" a="1"/>
  <c r="AD451" i="1" s="1"/>
  <c r="AD452" i="1" a="1"/>
  <c r="AD452" i="1" s="1"/>
  <c r="AD453" i="1" a="1"/>
  <c r="AD453" i="1"/>
  <c r="AD454" i="1" a="1"/>
  <c r="AD454" i="1" s="1"/>
  <c r="AD455" i="1" a="1"/>
  <c r="AD455" i="1"/>
  <c r="AD456" i="1" a="1"/>
  <c r="AD456" i="1" s="1"/>
  <c r="AD457" i="1" a="1"/>
  <c r="AD457" i="1" s="1"/>
  <c r="AD458" i="1" a="1"/>
  <c r="AD458" i="1" s="1"/>
  <c r="AD459" i="1" a="1"/>
  <c r="AD459" i="1"/>
  <c r="AD460" i="1" a="1"/>
  <c r="AD460" i="1" s="1"/>
  <c r="AD461" i="1" a="1"/>
  <c r="AD461" i="1"/>
  <c r="AD462" i="1" a="1"/>
  <c r="AD462" i="1"/>
  <c r="AD463" i="1" a="1"/>
  <c r="AD463" i="1" s="1"/>
  <c r="AD464" i="1" a="1"/>
  <c r="AD464" i="1" s="1"/>
  <c r="AD465" i="1" a="1"/>
  <c r="AD465" i="1" s="1"/>
  <c r="AD466" i="1" a="1"/>
  <c r="AD466" i="1" s="1"/>
  <c r="AD467" i="1" a="1"/>
  <c r="AD467" i="1" s="1"/>
  <c r="AD468" i="1" a="1"/>
  <c r="AD468" i="1" s="1"/>
  <c r="AD469" i="1" a="1"/>
  <c r="AD469" i="1"/>
  <c r="AD470" i="1" a="1"/>
  <c r="AD470" i="1"/>
  <c r="AD471" i="1" a="1"/>
  <c r="AD471" i="1"/>
  <c r="AD472" i="1" a="1"/>
  <c r="AD472" i="1" s="1"/>
  <c r="AD473" i="1" a="1"/>
  <c r="AD473" i="1"/>
  <c r="AD474" i="1" a="1"/>
  <c r="AD474" i="1" s="1"/>
  <c r="AD475" i="1" a="1"/>
  <c r="AD475" i="1" s="1"/>
  <c r="AD476" i="1" a="1"/>
  <c r="AD476" i="1" s="1"/>
  <c r="AD477" i="1" a="1"/>
  <c r="AD477" i="1" s="1"/>
  <c r="AD478" i="1" a="1"/>
  <c r="AD478" i="1"/>
  <c r="AD479" i="1" a="1"/>
  <c r="AD479" i="1"/>
  <c r="AD480" i="1" a="1"/>
  <c r="AD480" i="1" s="1"/>
  <c r="AD481" i="1" a="1"/>
  <c r="AD481" i="1" s="1"/>
  <c r="AD482" i="1" a="1"/>
  <c r="AD482" i="1"/>
  <c r="AD483" i="1" a="1"/>
  <c r="AD483" i="1" s="1"/>
  <c r="AD484" i="1" a="1"/>
  <c r="AD484" i="1" s="1"/>
  <c r="AD485" i="1" a="1"/>
  <c r="AD485" i="1"/>
  <c r="AD486" i="1" a="1"/>
  <c r="AD486" i="1" s="1"/>
  <c r="AD487" i="1" a="1"/>
  <c r="AD487" i="1"/>
  <c r="AD488" i="1" a="1"/>
  <c r="AD488" i="1" s="1"/>
  <c r="AD489" i="1" a="1"/>
  <c r="AD489" i="1" s="1"/>
  <c r="AD490" i="1" a="1"/>
  <c r="AD490" i="1" s="1"/>
  <c r="AD491" i="1" a="1"/>
  <c r="AD491" i="1"/>
  <c r="AD492" i="1" a="1"/>
  <c r="AD492" i="1" s="1"/>
  <c r="AD493" i="1" a="1"/>
  <c r="AD493" i="1"/>
  <c r="AD494" i="1" a="1"/>
  <c r="AD494" i="1"/>
  <c r="AD495" i="1" a="1"/>
  <c r="AD495" i="1" s="1"/>
  <c r="AD496" i="1" a="1"/>
  <c r="AD496" i="1" s="1"/>
  <c r="AD497" i="1" a="1"/>
  <c r="AD497" i="1" s="1"/>
  <c r="AD498" i="1" a="1"/>
  <c r="AD498" i="1" s="1"/>
  <c r="AD499" i="1" a="1"/>
  <c r="AD499" i="1" s="1"/>
  <c r="AD500" i="1" a="1"/>
  <c r="AD500" i="1" s="1"/>
  <c r="AD501" i="1" a="1"/>
  <c r="AD501" i="1"/>
  <c r="AD502" i="1" a="1"/>
  <c r="AD502" i="1"/>
  <c r="AD503" i="1" a="1"/>
  <c r="AD503" i="1"/>
  <c r="AD504" i="1" a="1"/>
  <c r="AD504" i="1" s="1"/>
  <c r="AD505" i="1" a="1"/>
  <c r="AD505" i="1"/>
  <c r="AD506" i="1" a="1"/>
  <c r="AD506" i="1" s="1"/>
  <c r="AD507" i="1" a="1"/>
  <c r="AD507" i="1" s="1"/>
  <c r="AD508" i="1" a="1"/>
  <c r="AD508" i="1" s="1"/>
  <c r="AD509" i="1" a="1"/>
  <c r="AD509" i="1" s="1"/>
  <c r="AD510" i="1" a="1"/>
  <c r="AD510" i="1"/>
  <c r="AD511" i="1" a="1"/>
  <c r="AD511" i="1"/>
  <c r="AD512" i="1" a="1"/>
  <c r="AD512" i="1" s="1"/>
  <c r="AD513" i="1" a="1"/>
  <c r="AD513" i="1" s="1"/>
  <c r="AD514" i="1" a="1"/>
  <c r="AD514" i="1"/>
  <c r="AD515" i="1" a="1"/>
  <c r="AD515" i="1" s="1"/>
  <c r="AD516" i="1" a="1"/>
  <c r="AD516" i="1" s="1"/>
  <c r="AD517" i="1" a="1"/>
  <c r="AD517" i="1"/>
  <c r="AD518" i="1" a="1"/>
  <c r="AD518" i="1" s="1"/>
  <c r="AD519" i="1" a="1"/>
  <c r="AD519" i="1"/>
  <c r="AD520" i="1" a="1"/>
  <c r="AD520" i="1" s="1"/>
  <c r="AD521" i="1" a="1"/>
  <c r="AD521" i="1" s="1"/>
  <c r="AD522" i="1" a="1"/>
  <c r="AD522" i="1" s="1"/>
  <c r="AD523" i="1" a="1"/>
  <c r="AD523" i="1"/>
  <c r="AD524" i="1" a="1"/>
  <c r="AD524" i="1" s="1"/>
  <c r="AD525" i="1" a="1"/>
  <c r="AD525" i="1"/>
  <c r="AD526" i="1" a="1"/>
  <c r="AD526" i="1"/>
  <c r="AD527" i="1" a="1"/>
  <c r="AD527" i="1" s="1"/>
  <c r="AD528" i="1" a="1"/>
  <c r="AD528" i="1" s="1"/>
  <c r="AD529" i="1" a="1"/>
  <c r="AD529" i="1" s="1"/>
  <c r="AD530" i="1" a="1"/>
  <c r="AD530" i="1" s="1"/>
  <c r="AD531" i="1" a="1"/>
  <c r="AD531" i="1" s="1"/>
  <c r="AD532" i="1" a="1"/>
  <c r="AD532" i="1" s="1"/>
  <c r="AD533" i="1" a="1"/>
  <c r="AD533" i="1"/>
  <c r="AD534" i="1" a="1"/>
  <c r="AD534" i="1"/>
  <c r="AD535" i="1" a="1"/>
  <c r="AD535" i="1"/>
  <c r="AD536" i="1" a="1"/>
  <c r="AD536" i="1" s="1"/>
  <c r="AD537" i="1" a="1"/>
  <c r="AD537" i="1"/>
  <c r="AD538" i="1" a="1"/>
  <c r="AD538" i="1" s="1"/>
  <c r="AD539" i="1" a="1"/>
  <c r="AD539" i="1" s="1"/>
  <c r="AD540" i="1" a="1"/>
  <c r="AD540" i="1" s="1"/>
  <c r="AD541" i="1" a="1"/>
  <c r="AD541" i="1" s="1"/>
  <c r="AD542" i="1" a="1"/>
  <c r="AD542" i="1"/>
  <c r="AD543" i="1" a="1"/>
  <c r="AD543" i="1"/>
  <c r="AD544" i="1" a="1"/>
  <c r="AD544" i="1" s="1"/>
  <c r="AD545" i="1" a="1"/>
  <c r="AD545" i="1" s="1"/>
  <c r="AD546" i="1" a="1"/>
  <c r="AD546" i="1"/>
  <c r="AD547" i="1" a="1"/>
  <c r="AD547" i="1" s="1"/>
  <c r="AD548" i="1" a="1"/>
  <c r="AD548" i="1" s="1"/>
  <c r="AD549" i="1" a="1"/>
  <c r="AD549" i="1"/>
  <c r="AD550" i="1" a="1"/>
  <c r="AD550" i="1" s="1"/>
  <c r="AD551" i="1" a="1"/>
  <c r="AD551" i="1"/>
  <c r="AD552" i="1" a="1"/>
  <c r="AD552" i="1" s="1"/>
  <c r="AD553" i="1" a="1"/>
  <c r="AD553" i="1" s="1"/>
  <c r="AD554" i="1" a="1"/>
  <c r="AD554" i="1" s="1"/>
  <c r="AD555" i="1" a="1"/>
  <c r="AD555" i="1"/>
  <c r="AD556" i="1" a="1"/>
  <c r="AD556" i="1" s="1"/>
  <c r="AD557" i="1" a="1"/>
  <c r="AD557" i="1"/>
  <c r="AD558" i="1" a="1"/>
  <c r="AD558" i="1"/>
  <c r="AD559" i="1" a="1"/>
  <c r="AD559" i="1" s="1"/>
  <c r="AD560" i="1" a="1"/>
  <c r="AD560" i="1" s="1"/>
  <c r="AD561" i="1" a="1"/>
  <c r="AD561" i="1" s="1"/>
  <c r="AD562" i="1" a="1"/>
  <c r="AD562" i="1" s="1"/>
  <c r="AD563" i="1" a="1"/>
  <c r="AD563" i="1" s="1"/>
  <c r="AD564" i="1" a="1"/>
  <c r="AD564" i="1" s="1"/>
  <c r="AD565" i="1" a="1"/>
  <c r="AD565" i="1"/>
  <c r="AD566" i="1" a="1"/>
  <c r="AD566" i="1"/>
  <c r="AD567" i="1" a="1"/>
  <c r="AD567" i="1"/>
  <c r="AD568" i="1" a="1"/>
  <c r="AD568" i="1" s="1"/>
  <c r="AD569" i="1" a="1"/>
  <c r="AD569" i="1"/>
  <c r="AD570" i="1" a="1"/>
  <c r="AD570" i="1" s="1"/>
  <c r="AD571" i="1" a="1"/>
  <c r="AD571" i="1" s="1"/>
  <c r="AD572" i="1" a="1"/>
  <c r="AD572" i="1" s="1"/>
  <c r="AD573" i="1" a="1"/>
  <c r="AD573" i="1" s="1"/>
  <c r="AD574" i="1" a="1"/>
  <c r="AD574" i="1"/>
  <c r="AD575" i="1" a="1"/>
  <c r="AD575" i="1"/>
  <c r="AD576" i="1" a="1"/>
  <c r="AD576" i="1" s="1"/>
  <c r="AD577" i="1" a="1"/>
  <c r="AD577" i="1" s="1"/>
  <c r="AD578" i="1" a="1"/>
  <c r="AD578" i="1"/>
  <c r="AD579" i="1" a="1"/>
  <c r="AD579" i="1" s="1"/>
  <c r="AD580" i="1" a="1"/>
  <c r="AD580" i="1" s="1"/>
  <c r="AD581" i="1" a="1"/>
  <c r="AD581" i="1"/>
  <c r="AD582" i="1" a="1"/>
  <c r="AD582" i="1" s="1"/>
  <c r="AD583" i="1" a="1"/>
  <c r="AD583" i="1"/>
  <c r="AD584" i="1" a="1"/>
  <c r="AD584" i="1" s="1"/>
  <c r="AD585" i="1" a="1"/>
  <c r="AD585" i="1" s="1"/>
  <c r="AD586" i="1" a="1"/>
  <c r="AD586" i="1" s="1"/>
  <c r="AD587" i="1" a="1"/>
  <c r="AD587" i="1"/>
  <c r="AD588" i="1" a="1"/>
  <c r="AD588" i="1" s="1"/>
  <c r="AD589" i="1" a="1"/>
  <c r="AD589" i="1"/>
  <c r="AD590" i="1" a="1"/>
  <c r="AD590" i="1"/>
  <c r="AD591" i="1" a="1"/>
  <c r="AD591" i="1" s="1"/>
  <c r="AD592" i="1" a="1"/>
  <c r="AD592" i="1" s="1"/>
  <c r="AD593" i="1" a="1"/>
  <c r="AD593" i="1" s="1"/>
  <c r="AD594" i="1" a="1"/>
  <c r="AD594" i="1" s="1"/>
  <c r="AD595" i="1" a="1"/>
  <c r="AD595" i="1" s="1"/>
  <c r="AD596" i="1" a="1"/>
  <c r="AD596" i="1" s="1"/>
  <c r="AD597" i="1" a="1"/>
  <c r="AD597" i="1"/>
  <c r="AD598" i="1" a="1"/>
  <c r="AD598" i="1"/>
  <c r="AD599" i="1" a="1"/>
  <c r="AD599" i="1"/>
  <c r="AD600" i="1" a="1"/>
  <c r="AD600" i="1" s="1"/>
  <c r="AD601" i="1" a="1"/>
  <c r="AD601" i="1"/>
  <c r="AD602" i="1" a="1"/>
  <c r="AD602" i="1" s="1"/>
  <c r="AD603" i="1" a="1"/>
  <c r="AD603" i="1" s="1"/>
  <c r="AD604" i="1" a="1"/>
  <c r="AD604" i="1" s="1"/>
  <c r="AD605" i="1" a="1"/>
  <c r="AD605" i="1" s="1"/>
  <c r="AD606" i="1" a="1"/>
  <c r="AD606" i="1"/>
  <c r="AD607" i="1" a="1"/>
  <c r="AD607" i="1"/>
  <c r="AD608" i="1" a="1"/>
  <c r="AD608" i="1" s="1"/>
  <c r="AD609" i="1" a="1"/>
  <c r="AD609" i="1" s="1"/>
  <c r="AD610" i="1" a="1"/>
  <c r="AD610" i="1"/>
  <c r="AD611" i="1" a="1"/>
  <c r="AD611" i="1" s="1"/>
  <c r="AD612" i="1" a="1"/>
  <c r="AD612" i="1" s="1"/>
  <c r="AD613" i="1" a="1"/>
  <c r="AD613" i="1"/>
  <c r="AD614" i="1" a="1"/>
  <c r="AD614" i="1" s="1"/>
  <c r="AD615" i="1" a="1"/>
  <c r="AD615" i="1"/>
  <c r="AD616" i="1" a="1"/>
  <c r="AD616" i="1" s="1"/>
  <c r="AD617" i="1" a="1"/>
  <c r="AD617" i="1" s="1"/>
  <c r="AD618" i="1" a="1"/>
  <c r="AD618" i="1" s="1"/>
  <c r="AD619" i="1" a="1"/>
  <c r="AD619" i="1"/>
  <c r="AD620" i="1" a="1"/>
  <c r="AD620" i="1" s="1"/>
  <c r="AD621" i="1" a="1"/>
  <c r="AD621" i="1"/>
  <c r="AD622" i="1" a="1"/>
  <c r="AD622" i="1"/>
  <c r="AD623" i="1" a="1"/>
  <c r="AD623" i="1" s="1"/>
  <c r="AD624" i="1" a="1"/>
  <c r="AD624" i="1" s="1"/>
  <c r="AD625" i="1" a="1"/>
  <c r="AD625" i="1" s="1"/>
  <c r="AD626" i="1" a="1"/>
  <c r="AD626" i="1" s="1"/>
  <c r="AD627" i="1" a="1"/>
  <c r="AD627" i="1" s="1"/>
  <c r="AD628" i="1" a="1"/>
  <c r="AD628" i="1" s="1"/>
  <c r="AD629" i="1" a="1"/>
  <c r="AD629" i="1"/>
  <c r="AD630" i="1" a="1"/>
  <c r="AD630" i="1"/>
  <c r="AD631" i="1" a="1"/>
  <c r="AD631" i="1"/>
  <c r="AD632" i="1" a="1"/>
  <c r="AD632" i="1" s="1"/>
  <c r="AD633" i="1" a="1"/>
  <c r="AD633" i="1"/>
  <c r="AD634" i="1" a="1"/>
  <c r="AD634" i="1" s="1"/>
  <c r="AD635" i="1" a="1"/>
  <c r="AD635" i="1" s="1"/>
  <c r="AD636" i="1" a="1"/>
  <c r="AD636" i="1" s="1"/>
  <c r="AD637" i="1" a="1"/>
  <c r="AD637" i="1" s="1"/>
  <c r="AD638" i="1" a="1"/>
  <c r="AD638" i="1"/>
  <c r="AD639" i="1" a="1"/>
  <c r="AD639" i="1"/>
  <c r="AD640" i="1" a="1"/>
  <c r="AD640" i="1"/>
  <c r="AD641" i="1" a="1"/>
  <c r="AD641" i="1" s="1"/>
  <c r="AD642" i="1" a="1"/>
  <c r="AD642" i="1"/>
  <c r="AD643" i="1" a="1"/>
  <c r="AD643" i="1"/>
  <c r="AD644" i="1" a="1"/>
  <c r="AD644" i="1"/>
  <c r="AD645" i="1" a="1"/>
  <c r="AD645" i="1" s="1"/>
  <c r="AD646" i="1" a="1"/>
  <c r="AD646" i="1"/>
  <c r="AD647" i="1" a="1"/>
  <c r="AD647" i="1"/>
  <c r="AD648" i="1" a="1"/>
  <c r="AD648" i="1"/>
  <c r="AD649" i="1" a="1"/>
  <c r="AD649" i="1" s="1"/>
  <c r="AD650" i="1" a="1"/>
  <c r="AD650" i="1"/>
  <c r="AD651" i="1" a="1"/>
  <c r="AD651" i="1"/>
  <c r="AD652" i="1" a="1"/>
  <c r="AD652" i="1"/>
  <c r="AD653" i="1" a="1"/>
  <c r="AD653" i="1" s="1"/>
  <c r="AD654" i="1" a="1"/>
  <c r="AD654" i="1"/>
  <c r="AD655" i="1" a="1"/>
  <c r="AD655" i="1"/>
  <c r="AD656" i="1" a="1"/>
  <c r="AD656" i="1"/>
  <c r="AD657" i="1" a="1"/>
  <c r="AD657" i="1" s="1"/>
  <c r="AD658" i="1" a="1"/>
  <c r="AD658" i="1"/>
  <c r="AD659" i="1" a="1"/>
  <c r="AD659" i="1"/>
  <c r="AD660" i="1" a="1"/>
  <c r="AD660" i="1"/>
  <c r="AD661" i="1" a="1"/>
  <c r="AD661" i="1" s="1"/>
  <c r="AD662" i="1" a="1"/>
  <c r="AD662" i="1"/>
  <c r="AD663" i="1" a="1"/>
  <c r="AD663" i="1"/>
  <c r="AD664" i="1" a="1"/>
  <c r="AD664" i="1"/>
  <c r="AD665" i="1" a="1"/>
  <c r="AD665" i="1" s="1"/>
  <c r="AD666" i="1" a="1"/>
  <c r="AD666" i="1"/>
  <c r="AD667" i="1" a="1"/>
  <c r="AD667" i="1"/>
  <c r="AD668" i="1" a="1"/>
  <c r="AD668" i="1"/>
  <c r="AD669" i="1" a="1"/>
  <c r="AD669" i="1" s="1"/>
  <c r="AD670" i="1" a="1"/>
  <c r="AD670" i="1"/>
  <c r="AD671" i="1" a="1"/>
  <c r="AD671" i="1"/>
  <c r="AD672" i="1" a="1"/>
  <c r="AD672" i="1"/>
  <c r="AD673" i="1" a="1"/>
  <c r="AD673" i="1" s="1"/>
  <c r="AD674" i="1" a="1"/>
  <c r="AD674" i="1"/>
  <c r="AD675" i="1" a="1"/>
  <c r="AD675" i="1"/>
  <c r="AD676" i="1" a="1"/>
  <c r="AD676" i="1"/>
  <c r="AD677" i="1" a="1"/>
  <c r="AD677" i="1" s="1"/>
  <c r="AD678" i="1" a="1"/>
  <c r="AD678" i="1"/>
  <c r="AD679" i="1" a="1"/>
  <c r="AD679" i="1"/>
  <c r="AD680" i="1" a="1"/>
  <c r="AD680" i="1"/>
  <c r="AD681" i="1" a="1"/>
  <c r="AD681" i="1" s="1"/>
  <c r="AD682" i="1" a="1"/>
  <c r="AD682" i="1"/>
  <c r="AD683" i="1" a="1"/>
  <c r="AD683" i="1"/>
  <c r="AD684" i="1" a="1"/>
  <c r="AD684" i="1"/>
  <c r="AD685" i="1" a="1"/>
  <c r="AD685" i="1" s="1"/>
  <c r="AD686" i="1" a="1"/>
  <c r="AD686" i="1"/>
  <c r="AD687" i="1" a="1"/>
  <c r="AD687" i="1"/>
  <c r="AD688" i="1" a="1"/>
  <c r="AD688" i="1"/>
  <c r="AD689" i="1" a="1"/>
  <c r="AD689" i="1" s="1"/>
  <c r="AD690" i="1" a="1"/>
  <c r="AD690" i="1"/>
  <c r="AD691" i="1" a="1"/>
  <c r="AD691" i="1"/>
  <c r="AD692" i="1" a="1"/>
  <c r="AD692" i="1"/>
  <c r="AD693" i="1" a="1"/>
  <c r="AD693" i="1" s="1"/>
  <c r="AD694" i="1" a="1"/>
  <c r="AD694" i="1"/>
  <c r="AD695" i="1" a="1"/>
  <c r="AD695" i="1"/>
  <c r="AD696" i="1" a="1"/>
  <c r="AD696" i="1"/>
  <c r="AD697" i="1" a="1"/>
  <c r="AD697" i="1" s="1"/>
  <c r="AD698" i="1" a="1"/>
  <c r="AD698" i="1"/>
  <c r="AD699" i="1" a="1"/>
  <c r="AD699" i="1"/>
  <c r="AD700" i="1" a="1"/>
  <c r="AD700" i="1"/>
  <c r="AD701" i="1" a="1"/>
  <c r="AD701" i="1" s="1"/>
  <c r="AD702" i="1" a="1"/>
  <c r="AD702" i="1"/>
  <c r="AD703" i="1" a="1"/>
  <c r="AD703" i="1"/>
  <c r="AD704" i="1" a="1"/>
  <c r="AD704" i="1"/>
  <c r="AD705" i="1" a="1"/>
  <c r="AD705" i="1" s="1"/>
  <c r="AD706" i="1" a="1"/>
  <c r="AD706" i="1"/>
  <c r="AD707" i="1" a="1"/>
  <c r="AD707" i="1"/>
  <c r="AD708" i="1" a="1"/>
  <c r="AD708" i="1"/>
  <c r="AD709" i="1" a="1"/>
  <c r="AD709" i="1" s="1"/>
  <c r="AD710" i="1" a="1"/>
  <c r="AD710" i="1"/>
  <c r="AD711" i="1" a="1"/>
  <c r="AD711" i="1"/>
  <c r="AD712" i="1" a="1"/>
  <c r="AD712" i="1"/>
  <c r="AD713" i="1" a="1"/>
  <c r="AD713" i="1" s="1"/>
  <c r="AD714" i="1" a="1"/>
  <c r="AD714" i="1"/>
  <c r="AD715" i="1" a="1"/>
  <c r="AD715" i="1"/>
  <c r="AD716" i="1" a="1"/>
  <c r="AD716" i="1"/>
  <c r="AD717" i="1" a="1"/>
  <c r="AD717" i="1" s="1"/>
  <c r="AD718" i="1" a="1"/>
  <c r="AD718" i="1"/>
  <c r="AD719" i="1" a="1"/>
  <c r="AD719" i="1"/>
  <c r="B20" i="3"/>
  <c r="C20" i="3" s="1"/>
  <c r="D20" i="3"/>
  <c r="B21" i="3"/>
  <c r="C21" i="3" s="1"/>
  <c r="D21" i="3"/>
  <c r="B22" i="3"/>
  <c r="C22" i="3" s="1"/>
  <c r="D22" i="3"/>
  <c r="B23" i="3"/>
  <c r="C23" i="3" s="1"/>
  <c r="D23" i="3"/>
  <c r="B24" i="3"/>
  <c r="C24" i="3" s="1"/>
  <c r="D24" i="3"/>
  <c r="B25" i="3"/>
  <c r="C25" i="3" s="1"/>
  <c r="D25" i="3"/>
  <c r="N7" i="3"/>
  <c r="M7" i="3"/>
  <c r="N6" i="3"/>
  <c r="M6" i="3"/>
  <c r="N5" i="3"/>
  <c r="M5" i="3"/>
  <c r="B5" i="3"/>
  <c r="B6" i="3"/>
  <c r="B7" i="3"/>
  <c r="B8" i="3"/>
  <c r="B9" i="3"/>
  <c r="B10" i="3"/>
  <c r="B11" i="3"/>
  <c r="B12" i="3"/>
  <c r="B13" i="3"/>
  <c r="B14" i="3"/>
  <c r="CD2" i="1"/>
  <c r="CD619" i="1"/>
  <c r="CD4" i="1"/>
  <c r="CD5" i="1"/>
  <c r="CD6" i="1"/>
  <c r="CD7" i="1"/>
  <c r="CD8" i="1"/>
  <c r="CD620" i="1"/>
  <c r="CD10" i="1"/>
  <c r="CD11" i="1"/>
  <c r="CD12" i="1"/>
  <c r="CD13" i="1"/>
  <c r="CD14" i="1"/>
  <c r="CD15" i="1"/>
  <c r="CD16" i="1"/>
  <c r="CD17" i="1"/>
  <c r="CD622" i="1"/>
  <c r="CD704" i="1"/>
  <c r="CD630" i="1"/>
  <c r="CD21" i="1"/>
  <c r="CD22" i="1"/>
  <c r="CD23" i="1"/>
  <c r="CD689" i="1"/>
  <c r="CD690" i="1"/>
  <c r="CD26" i="1"/>
  <c r="CD27" i="1"/>
  <c r="CD28" i="1"/>
  <c r="CD29" i="1"/>
  <c r="CD30" i="1"/>
  <c r="CD31" i="1"/>
  <c r="CD640" i="1"/>
  <c r="CD586" i="1"/>
  <c r="CD34" i="1"/>
  <c r="CD35" i="1"/>
  <c r="CD36" i="1"/>
  <c r="CD641" i="1"/>
  <c r="CD38" i="1"/>
  <c r="CD39" i="1"/>
  <c r="CD40" i="1"/>
  <c r="CD41" i="1"/>
  <c r="CD42" i="1"/>
  <c r="CD43" i="1"/>
  <c r="CD44" i="1"/>
  <c r="CD45" i="1"/>
  <c r="CD46" i="1"/>
  <c r="CD47" i="1"/>
  <c r="CD706" i="1"/>
  <c r="CD49" i="1"/>
  <c r="CD50" i="1"/>
  <c r="CD51" i="1"/>
  <c r="CD649" i="1"/>
  <c r="CD53" i="1"/>
  <c r="CD54" i="1"/>
  <c r="CD668" i="1"/>
  <c r="CD56" i="1"/>
  <c r="CD57" i="1"/>
  <c r="CD58" i="1"/>
  <c r="CD59" i="1"/>
  <c r="CD60" i="1"/>
  <c r="CD551" i="1"/>
  <c r="CD680" i="1"/>
  <c r="CD684" i="1"/>
  <c r="CD64" i="1"/>
  <c r="CD65" i="1"/>
  <c r="CD477" i="1"/>
  <c r="CD67" i="1"/>
  <c r="CD68" i="1"/>
  <c r="CD69" i="1"/>
  <c r="CD70" i="1"/>
  <c r="CD479" i="1"/>
  <c r="CD72" i="1"/>
  <c r="CD593" i="1"/>
  <c r="CD74" i="1"/>
  <c r="CD75" i="1"/>
  <c r="CD76" i="1"/>
  <c r="CD77" i="1"/>
  <c r="CD78" i="1"/>
  <c r="CD79" i="1"/>
  <c r="CD80" i="1"/>
  <c r="CD489" i="1"/>
  <c r="CD82" i="1"/>
  <c r="CD83" i="1"/>
  <c r="CD84" i="1"/>
  <c r="CD597" i="1"/>
  <c r="CD714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102" i="1"/>
  <c r="CD598" i="1"/>
  <c r="CD104" i="1"/>
  <c r="CD105" i="1"/>
  <c r="CD528" i="1"/>
  <c r="CD107" i="1"/>
  <c r="CD108" i="1"/>
  <c r="CD109" i="1"/>
  <c r="CD110" i="1"/>
  <c r="CD111" i="1"/>
  <c r="CD112" i="1"/>
  <c r="CD113" i="1"/>
  <c r="CD114" i="1"/>
  <c r="CD115" i="1"/>
  <c r="CD470" i="1"/>
  <c r="CD117" i="1"/>
  <c r="CD118" i="1"/>
  <c r="CD552" i="1"/>
  <c r="CD120" i="1"/>
  <c r="CD121" i="1"/>
  <c r="CD122" i="1"/>
  <c r="CD532" i="1"/>
  <c r="CD124" i="1"/>
  <c r="CD125" i="1"/>
  <c r="CD126" i="1"/>
  <c r="CD127" i="1"/>
  <c r="CD128" i="1"/>
  <c r="CD600" i="1"/>
  <c r="CD130" i="1"/>
  <c r="CD131" i="1"/>
  <c r="CD132" i="1"/>
  <c r="CD133" i="1"/>
  <c r="CD134" i="1"/>
  <c r="CD135" i="1"/>
  <c r="CD136" i="1"/>
  <c r="CD137" i="1"/>
  <c r="CD534" i="1"/>
  <c r="CD139" i="1"/>
  <c r="CD140" i="1"/>
  <c r="CD141" i="1"/>
  <c r="CD465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491" i="1"/>
  <c r="CD159" i="1"/>
  <c r="CD160" i="1"/>
  <c r="CD161" i="1"/>
  <c r="CD162" i="1"/>
  <c r="CD163" i="1"/>
  <c r="CD164" i="1"/>
  <c r="CD165" i="1"/>
  <c r="CD166" i="1"/>
  <c r="CD167" i="1"/>
  <c r="CD515" i="1"/>
  <c r="CD169" i="1"/>
  <c r="CD170" i="1"/>
  <c r="CD171" i="1"/>
  <c r="CD172" i="1"/>
  <c r="CD173" i="1"/>
  <c r="CD174" i="1"/>
  <c r="CD175" i="1"/>
  <c r="CD176" i="1"/>
  <c r="CD177" i="1"/>
  <c r="CD475" i="1"/>
  <c r="CD179" i="1"/>
  <c r="CD180" i="1"/>
  <c r="CD181" i="1"/>
  <c r="CD182" i="1"/>
  <c r="CD614" i="1"/>
  <c r="CD184" i="1"/>
  <c r="CD185" i="1"/>
  <c r="CD186" i="1"/>
  <c r="CD187" i="1"/>
  <c r="CD188" i="1"/>
  <c r="CD189" i="1"/>
  <c r="CD190" i="1"/>
  <c r="CD498" i="1"/>
  <c r="CD192" i="1"/>
  <c r="CD193" i="1"/>
  <c r="CD194" i="1"/>
  <c r="CD195" i="1"/>
  <c r="CD615" i="1"/>
  <c r="CD544" i="1"/>
  <c r="CD198" i="1"/>
  <c r="CD199" i="1"/>
  <c r="CD200" i="1"/>
  <c r="CD201" i="1"/>
  <c r="CD202" i="1"/>
  <c r="CD203" i="1"/>
  <c r="CD204" i="1"/>
  <c r="CD205" i="1"/>
  <c r="CD206" i="1"/>
  <c r="CD207" i="1"/>
  <c r="CD208" i="1"/>
  <c r="CD209" i="1"/>
  <c r="CD210" i="1"/>
  <c r="CD211" i="1"/>
  <c r="CD212" i="1"/>
  <c r="CD213" i="1"/>
  <c r="CD499" i="1"/>
  <c r="CD215" i="1"/>
  <c r="CD216" i="1"/>
  <c r="CD217" i="1"/>
  <c r="CD218" i="1"/>
  <c r="CD219" i="1"/>
  <c r="CD220" i="1"/>
  <c r="CD221" i="1"/>
  <c r="CD222" i="1"/>
  <c r="CD223" i="1"/>
  <c r="CD224" i="1"/>
  <c r="CD395" i="1"/>
  <c r="CD226" i="1"/>
  <c r="CD227" i="1"/>
  <c r="CD403" i="1"/>
  <c r="CD229" i="1"/>
  <c r="CD230" i="1"/>
  <c r="CD231" i="1"/>
  <c r="CD232" i="1"/>
  <c r="CD233" i="1"/>
  <c r="CD306" i="1"/>
  <c r="CD235" i="1"/>
  <c r="CD236" i="1"/>
  <c r="CD505" i="1"/>
  <c r="CD238" i="1"/>
  <c r="CD239" i="1"/>
  <c r="CD240" i="1"/>
  <c r="CD241" i="1"/>
  <c r="CD242" i="1"/>
  <c r="CD243" i="1"/>
  <c r="CD244" i="1"/>
  <c r="CD245" i="1"/>
  <c r="CD246" i="1"/>
  <c r="CD247" i="1"/>
  <c r="CD248" i="1"/>
  <c r="CD249" i="1"/>
  <c r="CD250" i="1"/>
  <c r="CD251" i="1"/>
  <c r="CD252" i="1"/>
  <c r="CD253" i="1"/>
  <c r="CD345" i="1"/>
  <c r="CD277" i="1"/>
  <c r="CD256" i="1"/>
  <c r="CD257" i="1"/>
  <c r="CD258" i="1"/>
  <c r="CD259" i="1"/>
  <c r="CD454" i="1"/>
  <c r="CD261" i="1"/>
  <c r="CD262" i="1"/>
  <c r="CD263" i="1"/>
  <c r="CD308" i="1"/>
  <c r="CD562" i="1"/>
  <c r="CD266" i="1"/>
  <c r="CD267" i="1"/>
  <c r="CD348" i="1"/>
  <c r="CD269" i="1"/>
  <c r="CD270" i="1"/>
  <c r="CD271" i="1"/>
  <c r="CD272" i="1"/>
  <c r="CD273" i="1"/>
  <c r="CD354" i="1"/>
  <c r="CD275" i="1"/>
  <c r="CD276" i="1"/>
  <c r="CD367" i="1"/>
  <c r="CD278" i="1"/>
  <c r="CD279" i="1"/>
  <c r="CD280" i="1"/>
  <c r="CD281" i="1"/>
  <c r="CD225" i="1"/>
  <c r="CD564" i="1"/>
  <c r="CD284" i="1"/>
  <c r="CD285" i="1"/>
  <c r="CD286" i="1"/>
  <c r="CD375" i="1"/>
  <c r="CD288" i="1"/>
  <c r="CD580" i="1"/>
  <c r="CD290" i="1"/>
  <c r="CD291" i="1"/>
  <c r="CD467" i="1"/>
  <c r="CD293" i="1"/>
  <c r="CD545" i="1"/>
  <c r="CD295" i="1"/>
  <c r="CD296" i="1"/>
  <c r="CD297" i="1"/>
  <c r="CD142" i="1"/>
  <c r="CD309" i="1"/>
  <c r="CD300" i="1"/>
  <c r="CD301" i="1"/>
  <c r="CD302" i="1"/>
  <c r="CD303" i="1"/>
  <c r="CD304" i="1"/>
  <c r="CD685" i="1"/>
  <c r="CD282" i="1"/>
  <c r="CD307" i="1"/>
  <c r="CD404" i="1"/>
  <c r="CD228" i="1"/>
  <c r="CD310" i="1"/>
  <c r="CD311" i="1"/>
  <c r="CD312" i="1"/>
  <c r="CD313" i="1"/>
  <c r="CD314" i="1"/>
  <c r="CD234" i="1"/>
  <c r="CD316" i="1"/>
  <c r="CD317" i="1"/>
  <c r="CD315" i="1"/>
  <c r="CD319" i="1"/>
  <c r="CD320" i="1"/>
  <c r="CD321" i="1"/>
  <c r="CD318" i="1"/>
  <c r="CD323" i="1"/>
  <c r="CD237" i="1"/>
  <c r="CD411" i="1"/>
  <c r="CD326" i="1"/>
  <c r="CD327" i="1"/>
  <c r="CD328" i="1"/>
  <c r="CD412" i="1"/>
  <c r="CD330" i="1"/>
  <c r="CD331" i="1"/>
  <c r="CD332" i="1"/>
  <c r="CD333" i="1"/>
  <c r="CD334" i="1"/>
  <c r="CD335" i="1"/>
  <c r="CD336" i="1"/>
  <c r="CD337" i="1"/>
  <c r="CD338" i="1"/>
  <c r="CD339" i="1"/>
  <c r="CD340" i="1"/>
  <c r="CD168" i="1"/>
  <c r="CD3" i="1"/>
  <c r="CD178" i="1"/>
  <c r="CD344" i="1"/>
  <c r="CD183" i="1"/>
  <c r="CD346" i="1"/>
  <c r="CD347" i="1"/>
  <c r="CD254" i="1"/>
  <c r="CD349" i="1"/>
  <c r="CD350" i="1"/>
  <c r="CD351" i="1"/>
  <c r="CD352" i="1"/>
  <c r="CD353" i="1"/>
  <c r="CD446" i="1"/>
  <c r="CD355" i="1"/>
  <c r="CD356" i="1"/>
  <c r="CD357" i="1"/>
  <c r="CD358" i="1"/>
  <c r="CD359" i="1"/>
  <c r="CD360" i="1"/>
  <c r="CD361" i="1"/>
  <c r="CD362" i="1"/>
  <c r="CD363" i="1"/>
  <c r="CD364" i="1"/>
  <c r="CD365" i="1"/>
  <c r="CD366" i="1"/>
  <c r="CD191" i="1"/>
  <c r="CD368" i="1"/>
  <c r="CD369" i="1"/>
  <c r="CD370" i="1"/>
  <c r="CD371" i="1"/>
  <c r="CD372" i="1"/>
  <c r="CD373" i="1"/>
  <c r="CD374" i="1"/>
  <c r="CD158" i="1"/>
  <c r="CD376" i="1"/>
  <c r="CD377" i="1"/>
  <c r="CD378" i="1"/>
  <c r="CD379" i="1"/>
  <c r="CD283" i="1"/>
  <c r="CD507" i="1"/>
  <c r="CD382" i="1"/>
  <c r="CD383" i="1"/>
  <c r="CD384" i="1"/>
  <c r="CD385" i="1"/>
  <c r="CD518" i="1"/>
  <c r="CD387" i="1"/>
  <c r="CD322" i="1"/>
  <c r="CD389" i="1"/>
  <c r="CD390" i="1"/>
  <c r="CD391" i="1"/>
  <c r="CD392" i="1"/>
  <c r="CD393" i="1"/>
  <c r="CD394" i="1"/>
  <c r="CD413" i="1"/>
  <c r="CD396" i="1"/>
  <c r="CD397" i="1"/>
  <c r="CD398" i="1"/>
  <c r="CD399" i="1"/>
  <c r="CD400" i="1"/>
  <c r="CD401" i="1"/>
  <c r="CD402" i="1"/>
  <c r="CD116" i="1"/>
  <c r="CD196" i="1"/>
  <c r="CD405" i="1"/>
  <c r="CD406" i="1"/>
  <c r="CD407" i="1"/>
  <c r="CD408" i="1"/>
  <c r="CD409" i="1"/>
  <c r="CD410" i="1"/>
  <c r="CD9" i="1"/>
  <c r="CD18" i="1"/>
  <c r="CD119" i="1"/>
  <c r="CD414" i="1"/>
  <c r="CD415" i="1"/>
  <c r="CD416" i="1"/>
  <c r="CD417" i="1"/>
  <c r="CD123" i="1"/>
  <c r="CD419" i="1"/>
  <c r="CD255" i="1"/>
  <c r="CD421" i="1"/>
  <c r="CD19" i="1"/>
  <c r="CD423" i="1"/>
  <c r="CD20" i="1"/>
  <c r="CD425" i="1"/>
  <c r="CD24" i="1"/>
  <c r="CD427" i="1"/>
  <c r="CD129" i="1"/>
  <c r="CD429" i="1"/>
  <c r="CD430" i="1"/>
  <c r="CD431" i="1"/>
  <c r="CD25" i="1"/>
  <c r="CD433" i="1"/>
  <c r="CD434" i="1"/>
  <c r="CD32" i="1"/>
  <c r="CD436" i="1"/>
  <c r="CD437" i="1"/>
  <c r="CD438" i="1"/>
  <c r="CD439" i="1"/>
  <c r="CD440" i="1"/>
  <c r="CD441" i="1"/>
  <c r="CD442" i="1"/>
  <c r="CD443" i="1"/>
  <c r="CD444" i="1"/>
  <c r="CD445" i="1"/>
  <c r="CD138" i="1"/>
  <c r="CD447" i="1"/>
  <c r="CD448" i="1"/>
  <c r="CD449" i="1"/>
  <c r="CD450" i="1"/>
  <c r="CD451" i="1"/>
  <c r="CD452" i="1"/>
  <c r="CD33" i="1"/>
  <c r="CD526" i="1"/>
  <c r="CD455" i="1"/>
  <c r="CD456" i="1"/>
  <c r="CD457" i="1"/>
  <c r="CD458" i="1"/>
  <c r="CD459" i="1"/>
  <c r="CD460" i="1"/>
  <c r="CD461" i="1"/>
  <c r="CD462" i="1"/>
  <c r="CD463" i="1"/>
  <c r="CD464" i="1"/>
  <c r="CD432" i="1"/>
  <c r="CD466" i="1"/>
  <c r="CD418" i="1"/>
  <c r="CD468" i="1"/>
  <c r="CD469" i="1"/>
  <c r="CD37" i="1"/>
  <c r="CD471" i="1"/>
  <c r="CD472" i="1"/>
  <c r="CD473" i="1"/>
  <c r="CD474" i="1"/>
  <c r="CD48" i="1"/>
  <c r="CD476" i="1"/>
  <c r="CD52" i="1"/>
  <c r="CD478" i="1"/>
  <c r="CD55" i="1"/>
  <c r="CD480" i="1"/>
  <c r="CD481" i="1"/>
  <c r="CD482" i="1"/>
  <c r="CD483" i="1"/>
  <c r="CD484" i="1"/>
  <c r="CD485" i="1"/>
  <c r="CD486" i="1"/>
  <c r="CD487" i="1"/>
  <c r="CD488" i="1"/>
  <c r="CD260" i="1"/>
  <c r="CD490" i="1"/>
  <c r="CD197" i="1"/>
  <c r="CD492" i="1"/>
  <c r="CD493" i="1"/>
  <c r="CD494" i="1"/>
  <c r="CD495" i="1"/>
  <c r="CD496" i="1"/>
  <c r="CD497" i="1"/>
  <c r="CD61" i="1"/>
  <c r="CD62" i="1"/>
  <c r="CD500" i="1"/>
  <c r="CD501" i="1"/>
  <c r="CD502" i="1"/>
  <c r="CD503" i="1"/>
  <c r="CD504" i="1"/>
  <c r="CD63" i="1"/>
  <c r="CD506" i="1"/>
  <c r="CD66" i="1"/>
  <c r="CD508" i="1"/>
  <c r="CD509" i="1"/>
  <c r="CD510" i="1"/>
  <c r="CD511" i="1"/>
  <c r="CD512" i="1"/>
  <c r="CD513" i="1"/>
  <c r="CD435" i="1"/>
  <c r="CD420" i="1"/>
  <c r="CD516" i="1"/>
  <c r="CD517" i="1"/>
  <c r="CD71" i="1"/>
  <c r="CD519" i="1"/>
  <c r="CD520" i="1"/>
  <c r="CD521" i="1"/>
  <c r="CD522" i="1"/>
  <c r="CD523" i="1"/>
  <c r="CD524" i="1"/>
  <c r="CD525" i="1"/>
  <c r="CD324" i="1"/>
  <c r="CD527" i="1"/>
  <c r="CD380" i="1"/>
  <c r="CD529" i="1"/>
  <c r="CD530" i="1"/>
  <c r="CD531" i="1"/>
  <c r="CD287" i="1"/>
  <c r="CD533" i="1"/>
  <c r="CD381" i="1"/>
  <c r="CD535" i="1"/>
  <c r="CD536" i="1"/>
  <c r="CD537" i="1"/>
  <c r="CD538" i="1"/>
  <c r="CD539" i="1"/>
  <c r="CD540" i="1"/>
  <c r="CD541" i="1"/>
  <c r="CD542" i="1"/>
  <c r="CD543" i="1"/>
  <c r="CD453" i="1"/>
  <c r="CD73" i="1"/>
  <c r="CD546" i="1"/>
  <c r="CD547" i="1"/>
  <c r="CD548" i="1"/>
  <c r="CD549" i="1"/>
  <c r="CD550" i="1"/>
  <c r="CD422" i="1"/>
  <c r="CD386" i="1"/>
  <c r="CD553" i="1"/>
  <c r="CD554" i="1"/>
  <c r="CD555" i="1"/>
  <c r="CD556" i="1"/>
  <c r="CD557" i="1"/>
  <c r="CD558" i="1"/>
  <c r="CD559" i="1"/>
  <c r="CD560" i="1"/>
  <c r="CD561" i="1"/>
  <c r="CD264" i="1"/>
  <c r="CD563" i="1"/>
  <c r="CD81" i="1"/>
  <c r="CD565" i="1"/>
  <c r="CD566" i="1"/>
  <c r="CD567" i="1"/>
  <c r="CD568" i="1"/>
  <c r="CD569" i="1"/>
  <c r="CD570" i="1"/>
  <c r="CD571" i="1"/>
  <c r="CD572" i="1"/>
  <c r="CD573" i="1"/>
  <c r="CD574" i="1"/>
  <c r="CD575" i="1"/>
  <c r="CD576" i="1"/>
  <c r="CD577" i="1"/>
  <c r="CD578" i="1"/>
  <c r="CD579" i="1"/>
  <c r="CD325" i="1"/>
  <c r="CD581" i="1"/>
  <c r="CD582" i="1"/>
  <c r="CD583" i="1"/>
  <c r="CD584" i="1"/>
  <c r="CD585" i="1"/>
  <c r="CD329" i="1"/>
  <c r="CD587" i="1"/>
  <c r="CD588" i="1"/>
  <c r="CD589" i="1"/>
  <c r="CD590" i="1"/>
  <c r="CD591" i="1"/>
  <c r="CD592" i="1"/>
  <c r="CD388" i="1"/>
  <c r="CD594" i="1"/>
  <c r="CD595" i="1"/>
  <c r="CD596" i="1"/>
  <c r="CD289" i="1"/>
  <c r="CD341" i="1"/>
  <c r="CD599" i="1"/>
  <c r="CD616" i="1"/>
  <c r="CD601" i="1"/>
  <c r="CD602" i="1"/>
  <c r="CD603" i="1"/>
  <c r="CD604" i="1"/>
  <c r="CD605" i="1"/>
  <c r="CD606" i="1"/>
  <c r="CD607" i="1"/>
  <c r="CD608" i="1"/>
  <c r="CD609" i="1"/>
  <c r="CD610" i="1"/>
  <c r="CD611" i="1"/>
  <c r="CD612" i="1"/>
  <c r="CD613" i="1"/>
  <c r="CD292" i="1"/>
  <c r="CD424" i="1"/>
  <c r="CD294" i="1"/>
  <c r="CD617" i="1"/>
  <c r="CD618" i="1"/>
  <c r="CD85" i="1"/>
  <c r="CD342" i="1"/>
  <c r="CD621" i="1"/>
  <c r="CD426" i="1"/>
  <c r="CD623" i="1"/>
  <c r="CD624" i="1"/>
  <c r="CD625" i="1"/>
  <c r="CD626" i="1"/>
  <c r="CD627" i="1"/>
  <c r="CD628" i="1"/>
  <c r="CD629" i="1"/>
  <c r="CD265" i="1"/>
  <c r="CD631" i="1"/>
  <c r="CD632" i="1"/>
  <c r="CD633" i="1"/>
  <c r="CD634" i="1"/>
  <c r="CD635" i="1"/>
  <c r="CD636" i="1"/>
  <c r="CD637" i="1"/>
  <c r="CD638" i="1"/>
  <c r="CD639" i="1"/>
  <c r="CD268" i="1"/>
  <c r="CD298" i="1"/>
  <c r="CD642" i="1"/>
  <c r="CD643" i="1"/>
  <c r="CD644" i="1"/>
  <c r="CD645" i="1"/>
  <c r="CD646" i="1"/>
  <c r="CD647" i="1"/>
  <c r="CD648" i="1"/>
  <c r="CD428" i="1"/>
  <c r="CD650" i="1"/>
  <c r="CD651" i="1"/>
  <c r="CD652" i="1"/>
  <c r="CD653" i="1"/>
  <c r="CD654" i="1"/>
  <c r="CD655" i="1"/>
  <c r="CD656" i="1"/>
  <c r="CD657" i="1"/>
  <c r="CD658" i="1"/>
  <c r="CD659" i="1"/>
  <c r="CD660" i="1"/>
  <c r="CD661" i="1"/>
  <c r="CD662" i="1"/>
  <c r="CD663" i="1"/>
  <c r="CD664" i="1"/>
  <c r="CD665" i="1"/>
  <c r="CD666" i="1"/>
  <c r="CD667" i="1"/>
  <c r="CD274" i="1"/>
  <c r="CD669" i="1"/>
  <c r="CD670" i="1"/>
  <c r="CD671" i="1"/>
  <c r="CD672" i="1"/>
  <c r="CD673" i="1"/>
  <c r="CD674" i="1"/>
  <c r="CD675" i="1"/>
  <c r="CD676" i="1"/>
  <c r="CD677" i="1"/>
  <c r="CD678" i="1"/>
  <c r="CD679" i="1"/>
  <c r="CD299" i="1"/>
  <c r="CD681" i="1"/>
  <c r="CD682" i="1"/>
  <c r="CD683" i="1"/>
  <c r="CD305" i="1"/>
  <c r="CD514" i="1"/>
  <c r="CD686" i="1"/>
  <c r="CD687" i="1"/>
  <c r="CD688" i="1"/>
  <c r="CD86" i="1"/>
  <c r="CD214" i="1"/>
  <c r="CD691" i="1"/>
  <c r="CD692" i="1"/>
  <c r="CD693" i="1"/>
  <c r="CD694" i="1"/>
  <c r="CD695" i="1"/>
  <c r="CD696" i="1"/>
  <c r="CD697" i="1"/>
  <c r="CD698" i="1"/>
  <c r="CD699" i="1"/>
  <c r="CD700" i="1"/>
  <c r="CD701" i="1"/>
  <c r="CD702" i="1"/>
  <c r="CD703" i="1"/>
  <c r="CD103" i="1"/>
  <c r="CD705" i="1"/>
  <c r="CD343" i="1"/>
  <c r="CD707" i="1"/>
  <c r="CD708" i="1"/>
  <c r="CD709" i="1"/>
  <c r="CD710" i="1"/>
  <c r="CD711" i="1"/>
  <c r="CD712" i="1"/>
  <c r="CD713" i="1"/>
  <c r="CD106" i="1"/>
  <c r="CD715" i="1"/>
  <c r="CD716" i="1"/>
  <c r="CD717" i="1"/>
  <c r="CD718" i="1"/>
  <c r="CD719" i="1"/>
  <c r="CC2" i="1"/>
  <c r="CC619" i="1"/>
  <c r="CC4" i="1"/>
  <c r="CC5" i="1"/>
  <c r="CC6" i="1"/>
  <c r="CC7" i="1"/>
  <c r="CC8" i="1"/>
  <c r="CC620" i="1"/>
  <c r="CC10" i="1"/>
  <c r="CC11" i="1"/>
  <c r="CC12" i="1"/>
  <c r="CC13" i="1"/>
  <c r="CC14" i="1"/>
  <c r="CC15" i="1"/>
  <c r="CC16" i="1"/>
  <c r="CC17" i="1"/>
  <c r="CC622" i="1"/>
  <c r="CC704" i="1"/>
  <c r="CC630" i="1"/>
  <c r="CC21" i="1"/>
  <c r="CC22" i="1"/>
  <c r="CC23" i="1"/>
  <c r="CC689" i="1"/>
  <c r="CC690" i="1"/>
  <c r="CC26" i="1"/>
  <c r="CC27" i="1"/>
  <c r="CC28" i="1"/>
  <c r="CC29" i="1"/>
  <c r="CC30" i="1"/>
  <c r="CC31" i="1"/>
  <c r="CC640" i="1"/>
  <c r="CC586" i="1"/>
  <c r="CC34" i="1"/>
  <c r="CC35" i="1"/>
  <c r="CC36" i="1"/>
  <c r="CC641" i="1"/>
  <c r="CC38" i="1"/>
  <c r="CC39" i="1"/>
  <c r="CC40" i="1"/>
  <c r="CC41" i="1"/>
  <c r="CC42" i="1"/>
  <c r="CC43" i="1"/>
  <c r="CC44" i="1"/>
  <c r="CC45" i="1"/>
  <c r="CC46" i="1"/>
  <c r="CC47" i="1"/>
  <c r="CC706" i="1"/>
  <c r="CC49" i="1"/>
  <c r="CC50" i="1"/>
  <c r="CC51" i="1"/>
  <c r="CC649" i="1"/>
  <c r="CC53" i="1"/>
  <c r="CC54" i="1"/>
  <c r="CC668" i="1"/>
  <c r="CC56" i="1"/>
  <c r="CC57" i="1"/>
  <c r="CC58" i="1"/>
  <c r="CC59" i="1"/>
  <c r="CC60" i="1"/>
  <c r="CC551" i="1"/>
  <c r="CC680" i="1"/>
  <c r="CC684" i="1"/>
  <c r="CC64" i="1"/>
  <c r="CC65" i="1"/>
  <c r="CC477" i="1"/>
  <c r="CC67" i="1"/>
  <c r="CC68" i="1"/>
  <c r="CC69" i="1"/>
  <c r="CC70" i="1"/>
  <c r="CC479" i="1"/>
  <c r="CC72" i="1"/>
  <c r="CC593" i="1"/>
  <c r="CC74" i="1"/>
  <c r="CC75" i="1"/>
  <c r="CC76" i="1"/>
  <c r="CC77" i="1"/>
  <c r="CC78" i="1"/>
  <c r="CC79" i="1"/>
  <c r="CC80" i="1"/>
  <c r="CC489" i="1"/>
  <c r="CC82" i="1"/>
  <c r="CC83" i="1"/>
  <c r="CC84" i="1"/>
  <c r="CC597" i="1"/>
  <c r="CC714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102" i="1"/>
  <c r="CC598" i="1"/>
  <c r="CC104" i="1"/>
  <c r="CC105" i="1"/>
  <c r="CC528" i="1"/>
  <c r="CC107" i="1"/>
  <c r="CC108" i="1"/>
  <c r="CC109" i="1"/>
  <c r="CC110" i="1"/>
  <c r="CC111" i="1"/>
  <c r="CC112" i="1"/>
  <c r="CC113" i="1"/>
  <c r="CC114" i="1"/>
  <c r="CC115" i="1"/>
  <c r="CC470" i="1"/>
  <c r="CC117" i="1"/>
  <c r="CC118" i="1"/>
  <c r="CC552" i="1"/>
  <c r="CC120" i="1"/>
  <c r="CC121" i="1"/>
  <c r="CC122" i="1"/>
  <c r="CC532" i="1"/>
  <c r="CC124" i="1"/>
  <c r="CC125" i="1"/>
  <c r="CC126" i="1"/>
  <c r="CC127" i="1"/>
  <c r="CC128" i="1"/>
  <c r="CC600" i="1"/>
  <c r="CC130" i="1"/>
  <c r="CC131" i="1"/>
  <c r="CC132" i="1"/>
  <c r="CC133" i="1"/>
  <c r="CC134" i="1"/>
  <c r="CC135" i="1"/>
  <c r="CC136" i="1"/>
  <c r="CC137" i="1"/>
  <c r="CC534" i="1"/>
  <c r="CC139" i="1"/>
  <c r="CC140" i="1"/>
  <c r="CC141" i="1"/>
  <c r="CC465" i="1"/>
  <c r="CC143" i="1"/>
  <c r="CC144" i="1"/>
  <c r="CC145" i="1"/>
  <c r="CC146" i="1"/>
  <c r="CC147" i="1"/>
  <c r="CC148" i="1"/>
  <c r="CC149" i="1"/>
  <c r="CC150" i="1"/>
  <c r="CC151" i="1"/>
  <c r="CC152" i="1"/>
  <c r="CC153" i="1"/>
  <c r="CC154" i="1"/>
  <c r="CC155" i="1"/>
  <c r="CC156" i="1"/>
  <c r="CC157" i="1"/>
  <c r="CC491" i="1"/>
  <c r="CC159" i="1"/>
  <c r="CC160" i="1"/>
  <c r="CC161" i="1"/>
  <c r="CC162" i="1"/>
  <c r="CC163" i="1"/>
  <c r="CC164" i="1"/>
  <c r="CC165" i="1"/>
  <c r="CC166" i="1"/>
  <c r="CC167" i="1"/>
  <c r="CC515" i="1"/>
  <c r="CC169" i="1"/>
  <c r="CC170" i="1"/>
  <c r="CC171" i="1"/>
  <c r="CC172" i="1"/>
  <c r="CC173" i="1"/>
  <c r="CC174" i="1"/>
  <c r="CC175" i="1"/>
  <c r="CC176" i="1"/>
  <c r="CC177" i="1"/>
  <c r="CC475" i="1"/>
  <c r="CC179" i="1"/>
  <c r="CC180" i="1"/>
  <c r="CC181" i="1"/>
  <c r="CC182" i="1"/>
  <c r="CC614" i="1"/>
  <c r="CC184" i="1"/>
  <c r="CC185" i="1"/>
  <c r="CC186" i="1"/>
  <c r="CC187" i="1"/>
  <c r="CC188" i="1"/>
  <c r="CC189" i="1"/>
  <c r="CC190" i="1"/>
  <c r="CC498" i="1"/>
  <c r="CC192" i="1"/>
  <c r="CC193" i="1"/>
  <c r="CC194" i="1"/>
  <c r="CC195" i="1"/>
  <c r="CC615" i="1"/>
  <c r="CC544" i="1"/>
  <c r="CC198" i="1"/>
  <c r="CC199" i="1"/>
  <c r="CC200" i="1"/>
  <c r="CC201" i="1"/>
  <c r="CC202" i="1"/>
  <c r="CC203" i="1"/>
  <c r="CC204" i="1"/>
  <c r="CC205" i="1"/>
  <c r="CC206" i="1"/>
  <c r="CC207" i="1"/>
  <c r="CC208" i="1"/>
  <c r="CC209" i="1"/>
  <c r="CC210" i="1"/>
  <c r="CC211" i="1"/>
  <c r="CC212" i="1"/>
  <c r="CC213" i="1"/>
  <c r="CC499" i="1"/>
  <c r="CC215" i="1"/>
  <c r="CC216" i="1"/>
  <c r="CC217" i="1"/>
  <c r="CC218" i="1"/>
  <c r="CC219" i="1"/>
  <c r="CC220" i="1"/>
  <c r="CC221" i="1"/>
  <c r="CC222" i="1"/>
  <c r="CC223" i="1"/>
  <c r="CC224" i="1"/>
  <c r="CC395" i="1"/>
  <c r="CC226" i="1"/>
  <c r="CC227" i="1"/>
  <c r="CC403" i="1"/>
  <c r="CC229" i="1"/>
  <c r="CC230" i="1"/>
  <c r="CC231" i="1"/>
  <c r="CC232" i="1"/>
  <c r="CC233" i="1"/>
  <c r="CC306" i="1"/>
  <c r="CC235" i="1"/>
  <c r="CC236" i="1"/>
  <c r="CC505" i="1"/>
  <c r="CC238" i="1"/>
  <c r="CC239" i="1"/>
  <c r="CC240" i="1"/>
  <c r="CC241" i="1"/>
  <c r="CC242" i="1"/>
  <c r="CC243" i="1"/>
  <c r="CC244" i="1"/>
  <c r="CC245" i="1"/>
  <c r="CC246" i="1"/>
  <c r="CC247" i="1"/>
  <c r="CC248" i="1"/>
  <c r="CC249" i="1"/>
  <c r="CC250" i="1"/>
  <c r="CC251" i="1"/>
  <c r="CC252" i="1"/>
  <c r="CC253" i="1"/>
  <c r="CC345" i="1"/>
  <c r="CC277" i="1"/>
  <c r="CC256" i="1"/>
  <c r="CC257" i="1"/>
  <c r="CC258" i="1"/>
  <c r="CC259" i="1"/>
  <c r="CC454" i="1"/>
  <c r="CC261" i="1"/>
  <c r="CC262" i="1"/>
  <c r="CC263" i="1"/>
  <c r="CC308" i="1"/>
  <c r="CC562" i="1"/>
  <c r="CC266" i="1"/>
  <c r="CC267" i="1"/>
  <c r="CC348" i="1"/>
  <c r="CC269" i="1"/>
  <c r="CC270" i="1"/>
  <c r="CC271" i="1"/>
  <c r="CC272" i="1"/>
  <c r="CC273" i="1"/>
  <c r="CC354" i="1"/>
  <c r="CC275" i="1"/>
  <c r="CC276" i="1"/>
  <c r="CC367" i="1"/>
  <c r="CC278" i="1"/>
  <c r="CC279" i="1"/>
  <c r="CC280" i="1"/>
  <c r="CC281" i="1"/>
  <c r="CC225" i="1"/>
  <c r="CC564" i="1"/>
  <c r="CC284" i="1"/>
  <c r="CC285" i="1"/>
  <c r="CC286" i="1"/>
  <c r="CC375" i="1"/>
  <c r="CC288" i="1"/>
  <c r="CC580" i="1"/>
  <c r="CC290" i="1"/>
  <c r="CC291" i="1"/>
  <c r="CC467" i="1"/>
  <c r="CC293" i="1"/>
  <c r="CC545" i="1"/>
  <c r="CC295" i="1"/>
  <c r="CC296" i="1"/>
  <c r="CC297" i="1"/>
  <c r="CC142" i="1"/>
  <c r="CC309" i="1"/>
  <c r="CC300" i="1"/>
  <c r="CC301" i="1"/>
  <c r="CC302" i="1"/>
  <c r="CC303" i="1"/>
  <c r="CC304" i="1"/>
  <c r="CC685" i="1"/>
  <c r="CC282" i="1"/>
  <c r="CC307" i="1"/>
  <c r="CC404" i="1"/>
  <c r="CC228" i="1"/>
  <c r="CC310" i="1"/>
  <c r="CC311" i="1"/>
  <c r="CC312" i="1"/>
  <c r="CC313" i="1"/>
  <c r="CC314" i="1"/>
  <c r="CC234" i="1"/>
  <c r="CC316" i="1"/>
  <c r="CC317" i="1"/>
  <c r="CC315" i="1"/>
  <c r="CC319" i="1"/>
  <c r="CC320" i="1"/>
  <c r="CC321" i="1"/>
  <c r="CC318" i="1"/>
  <c r="CC323" i="1"/>
  <c r="CC237" i="1"/>
  <c r="CC411" i="1"/>
  <c r="CC326" i="1"/>
  <c r="CC327" i="1"/>
  <c r="CC328" i="1"/>
  <c r="CC412" i="1"/>
  <c r="CC330" i="1"/>
  <c r="CC331" i="1"/>
  <c r="CC332" i="1"/>
  <c r="CC333" i="1"/>
  <c r="CC334" i="1"/>
  <c r="CC335" i="1"/>
  <c r="CC336" i="1"/>
  <c r="CC337" i="1"/>
  <c r="CC338" i="1"/>
  <c r="CC339" i="1"/>
  <c r="CC340" i="1"/>
  <c r="CC168" i="1"/>
  <c r="CC3" i="1"/>
  <c r="CC178" i="1"/>
  <c r="CC344" i="1"/>
  <c r="CC183" i="1"/>
  <c r="CC346" i="1"/>
  <c r="CC347" i="1"/>
  <c r="CC254" i="1"/>
  <c r="CC349" i="1"/>
  <c r="CC350" i="1"/>
  <c r="CC351" i="1"/>
  <c r="CC352" i="1"/>
  <c r="CC353" i="1"/>
  <c r="CC446" i="1"/>
  <c r="CC355" i="1"/>
  <c r="CC356" i="1"/>
  <c r="CC357" i="1"/>
  <c r="CC358" i="1"/>
  <c r="CC359" i="1"/>
  <c r="CC360" i="1"/>
  <c r="CC361" i="1"/>
  <c r="CC362" i="1"/>
  <c r="CC363" i="1"/>
  <c r="CC364" i="1"/>
  <c r="CC365" i="1"/>
  <c r="CC366" i="1"/>
  <c r="CC191" i="1"/>
  <c r="CC368" i="1"/>
  <c r="CC369" i="1"/>
  <c r="CC370" i="1"/>
  <c r="CC371" i="1"/>
  <c r="CC372" i="1"/>
  <c r="CC373" i="1"/>
  <c r="CC374" i="1"/>
  <c r="CC158" i="1"/>
  <c r="CC376" i="1"/>
  <c r="CC377" i="1"/>
  <c r="CC378" i="1"/>
  <c r="CC379" i="1"/>
  <c r="CC283" i="1"/>
  <c r="CC507" i="1"/>
  <c r="CC382" i="1"/>
  <c r="CC383" i="1"/>
  <c r="CC384" i="1"/>
  <c r="CC385" i="1"/>
  <c r="CC518" i="1"/>
  <c r="CC387" i="1"/>
  <c r="CC322" i="1"/>
  <c r="CC389" i="1"/>
  <c r="CC390" i="1"/>
  <c r="CC391" i="1"/>
  <c r="CC392" i="1"/>
  <c r="CC393" i="1"/>
  <c r="CC394" i="1"/>
  <c r="CC413" i="1"/>
  <c r="CC396" i="1"/>
  <c r="CC397" i="1"/>
  <c r="CC398" i="1"/>
  <c r="CC399" i="1"/>
  <c r="CC400" i="1"/>
  <c r="CC401" i="1"/>
  <c r="CC402" i="1"/>
  <c r="CC116" i="1"/>
  <c r="CC196" i="1"/>
  <c r="CC405" i="1"/>
  <c r="CC406" i="1"/>
  <c r="CC407" i="1"/>
  <c r="CC408" i="1"/>
  <c r="CC409" i="1"/>
  <c r="CC410" i="1"/>
  <c r="CC9" i="1"/>
  <c r="CC18" i="1"/>
  <c r="CC119" i="1"/>
  <c r="CC414" i="1"/>
  <c r="CC415" i="1"/>
  <c r="CC416" i="1"/>
  <c r="CC417" i="1"/>
  <c r="CC123" i="1"/>
  <c r="CC419" i="1"/>
  <c r="CC255" i="1"/>
  <c r="CC421" i="1"/>
  <c r="CC19" i="1"/>
  <c r="CC423" i="1"/>
  <c r="CC20" i="1"/>
  <c r="CC425" i="1"/>
  <c r="CC24" i="1"/>
  <c r="CC427" i="1"/>
  <c r="CC129" i="1"/>
  <c r="CC429" i="1"/>
  <c r="CC430" i="1"/>
  <c r="CC431" i="1"/>
  <c r="CC25" i="1"/>
  <c r="CC433" i="1"/>
  <c r="CC434" i="1"/>
  <c r="CC32" i="1"/>
  <c r="CC436" i="1"/>
  <c r="CC437" i="1"/>
  <c r="CC438" i="1"/>
  <c r="CC439" i="1"/>
  <c r="CC440" i="1"/>
  <c r="CC441" i="1"/>
  <c r="CC442" i="1"/>
  <c r="CC443" i="1"/>
  <c r="CC444" i="1"/>
  <c r="CC445" i="1"/>
  <c r="CC138" i="1"/>
  <c r="CC447" i="1"/>
  <c r="CC448" i="1"/>
  <c r="CC449" i="1"/>
  <c r="CC450" i="1"/>
  <c r="CC451" i="1"/>
  <c r="CC452" i="1"/>
  <c r="CC33" i="1"/>
  <c r="CC526" i="1"/>
  <c r="CC455" i="1"/>
  <c r="CC456" i="1"/>
  <c r="CC457" i="1"/>
  <c r="CC458" i="1"/>
  <c r="CC459" i="1"/>
  <c r="CC460" i="1"/>
  <c r="CC461" i="1"/>
  <c r="CC462" i="1"/>
  <c r="CC463" i="1"/>
  <c r="CC464" i="1"/>
  <c r="CC432" i="1"/>
  <c r="CC466" i="1"/>
  <c r="CC418" i="1"/>
  <c r="CC468" i="1"/>
  <c r="CC469" i="1"/>
  <c r="CC37" i="1"/>
  <c r="CC471" i="1"/>
  <c r="CC472" i="1"/>
  <c r="CC473" i="1"/>
  <c r="CC474" i="1"/>
  <c r="CC48" i="1"/>
  <c r="CC476" i="1"/>
  <c r="CC52" i="1"/>
  <c r="CC478" i="1"/>
  <c r="CC55" i="1"/>
  <c r="CC480" i="1"/>
  <c r="CC481" i="1"/>
  <c r="CC482" i="1"/>
  <c r="CC483" i="1"/>
  <c r="CC484" i="1"/>
  <c r="CC485" i="1"/>
  <c r="CC486" i="1"/>
  <c r="CC487" i="1"/>
  <c r="CC488" i="1"/>
  <c r="CC260" i="1"/>
  <c r="CC490" i="1"/>
  <c r="CC197" i="1"/>
  <c r="CC492" i="1"/>
  <c r="CC493" i="1"/>
  <c r="CC494" i="1"/>
  <c r="CC495" i="1"/>
  <c r="CC496" i="1"/>
  <c r="CC497" i="1"/>
  <c r="CC61" i="1"/>
  <c r="CC62" i="1"/>
  <c r="CC500" i="1"/>
  <c r="CC501" i="1"/>
  <c r="CC502" i="1"/>
  <c r="CC503" i="1"/>
  <c r="CC504" i="1"/>
  <c r="CC63" i="1"/>
  <c r="CC506" i="1"/>
  <c r="CC66" i="1"/>
  <c r="CC508" i="1"/>
  <c r="CC509" i="1"/>
  <c r="CC510" i="1"/>
  <c r="CC511" i="1"/>
  <c r="CC512" i="1"/>
  <c r="CC513" i="1"/>
  <c r="CC435" i="1"/>
  <c r="CC420" i="1"/>
  <c r="CC516" i="1"/>
  <c r="CC517" i="1"/>
  <c r="CC71" i="1"/>
  <c r="CC519" i="1"/>
  <c r="CC520" i="1"/>
  <c r="CC521" i="1"/>
  <c r="CC522" i="1"/>
  <c r="CC523" i="1"/>
  <c r="CC524" i="1"/>
  <c r="CC525" i="1"/>
  <c r="CC324" i="1"/>
  <c r="CC527" i="1"/>
  <c r="CC380" i="1"/>
  <c r="CC529" i="1"/>
  <c r="CC530" i="1"/>
  <c r="CC531" i="1"/>
  <c r="CC287" i="1"/>
  <c r="CC533" i="1"/>
  <c r="CC381" i="1"/>
  <c r="CC535" i="1"/>
  <c r="CC536" i="1"/>
  <c r="CC537" i="1"/>
  <c r="CC538" i="1"/>
  <c r="CC539" i="1"/>
  <c r="CC540" i="1"/>
  <c r="CC541" i="1"/>
  <c r="CC542" i="1"/>
  <c r="CC543" i="1"/>
  <c r="CC453" i="1"/>
  <c r="CC73" i="1"/>
  <c r="CC546" i="1"/>
  <c r="CC547" i="1"/>
  <c r="CC548" i="1"/>
  <c r="CC549" i="1"/>
  <c r="CC550" i="1"/>
  <c r="CC422" i="1"/>
  <c r="CC386" i="1"/>
  <c r="CC553" i="1"/>
  <c r="CC554" i="1"/>
  <c r="CC555" i="1"/>
  <c r="CC556" i="1"/>
  <c r="CC557" i="1"/>
  <c r="CC558" i="1"/>
  <c r="CC559" i="1"/>
  <c r="CC560" i="1"/>
  <c r="CC561" i="1"/>
  <c r="CC264" i="1"/>
  <c r="CC563" i="1"/>
  <c r="CC81" i="1"/>
  <c r="CC565" i="1"/>
  <c r="CC566" i="1"/>
  <c r="CC567" i="1"/>
  <c r="CC568" i="1"/>
  <c r="CC569" i="1"/>
  <c r="CC570" i="1"/>
  <c r="CC571" i="1"/>
  <c r="CC572" i="1"/>
  <c r="CC573" i="1"/>
  <c r="CC574" i="1"/>
  <c r="CC575" i="1"/>
  <c r="CC576" i="1"/>
  <c r="CC577" i="1"/>
  <c r="CC578" i="1"/>
  <c r="CC579" i="1"/>
  <c r="CC325" i="1"/>
  <c r="CC581" i="1"/>
  <c r="CC582" i="1"/>
  <c r="CC583" i="1"/>
  <c r="CC584" i="1"/>
  <c r="CC585" i="1"/>
  <c r="CC329" i="1"/>
  <c r="CC587" i="1"/>
  <c r="CC588" i="1"/>
  <c r="CC589" i="1"/>
  <c r="CC590" i="1"/>
  <c r="CC591" i="1"/>
  <c r="CC592" i="1"/>
  <c r="CC388" i="1"/>
  <c r="CC594" i="1"/>
  <c r="CC595" i="1"/>
  <c r="CC596" i="1"/>
  <c r="CC289" i="1"/>
  <c r="CC341" i="1"/>
  <c r="CC599" i="1"/>
  <c r="CC616" i="1"/>
  <c r="CC601" i="1"/>
  <c r="CC602" i="1"/>
  <c r="CC603" i="1"/>
  <c r="CC604" i="1"/>
  <c r="CC605" i="1"/>
  <c r="CC606" i="1"/>
  <c r="CC607" i="1"/>
  <c r="CC608" i="1"/>
  <c r="CC609" i="1"/>
  <c r="CC610" i="1"/>
  <c r="CC611" i="1"/>
  <c r="CC612" i="1"/>
  <c r="CC613" i="1"/>
  <c r="CC292" i="1"/>
  <c r="CC424" i="1"/>
  <c r="CC294" i="1"/>
  <c r="CC617" i="1"/>
  <c r="CC618" i="1"/>
  <c r="CC85" i="1"/>
  <c r="CC342" i="1"/>
  <c r="CC621" i="1"/>
  <c r="CC426" i="1"/>
  <c r="CC623" i="1"/>
  <c r="CC624" i="1"/>
  <c r="CC625" i="1"/>
  <c r="CC626" i="1"/>
  <c r="CC627" i="1"/>
  <c r="CC628" i="1"/>
  <c r="CC629" i="1"/>
  <c r="CC265" i="1"/>
  <c r="CC631" i="1"/>
  <c r="CC632" i="1"/>
  <c r="CC633" i="1"/>
  <c r="CC634" i="1"/>
  <c r="CC635" i="1"/>
  <c r="CC636" i="1"/>
  <c r="CC637" i="1"/>
  <c r="CC638" i="1"/>
  <c r="CC639" i="1"/>
  <c r="CC268" i="1"/>
  <c r="CC298" i="1"/>
  <c r="CC642" i="1"/>
  <c r="CC643" i="1"/>
  <c r="CC644" i="1"/>
  <c r="CC645" i="1"/>
  <c r="CC646" i="1"/>
  <c r="CC647" i="1"/>
  <c r="CC648" i="1"/>
  <c r="CC428" i="1"/>
  <c r="CC650" i="1"/>
  <c r="CC651" i="1"/>
  <c r="CC652" i="1"/>
  <c r="CC653" i="1"/>
  <c r="CC654" i="1"/>
  <c r="CC655" i="1"/>
  <c r="CC656" i="1"/>
  <c r="CC657" i="1"/>
  <c r="CC658" i="1"/>
  <c r="CC659" i="1"/>
  <c r="CC660" i="1"/>
  <c r="CC661" i="1"/>
  <c r="CC662" i="1"/>
  <c r="CC663" i="1"/>
  <c r="CC664" i="1"/>
  <c r="CC665" i="1"/>
  <c r="CC666" i="1"/>
  <c r="CC667" i="1"/>
  <c r="CC274" i="1"/>
  <c r="CC669" i="1"/>
  <c r="CC670" i="1"/>
  <c r="CC671" i="1"/>
  <c r="CC672" i="1"/>
  <c r="CC673" i="1"/>
  <c r="CC674" i="1"/>
  <c r="CC675" i="1"/>
  <c r="CC676" i="1"/>
  <c r="CC677" i="1"/>
  <c r="CC678" i="1"/>
  <c r="CC679" i="1"/>
  <c r="CC299" i="1"/>
  <c r="CC681" i="1"/>
  <c r="CC682" i="1"/>
  <c r="CC683" i="1"/>
  <c r="CC305" i="1"/>
  <c r="CC514" i="1"/>
  <c r="CC686" i="1"/>
  <c r="CC687" i="1"/>
  <c r="CC688" i="1"/>
  <c r="CC86" i="1"/>
  <c r="CC214" i="1"/>
  <c r="CC691" i="1"/>
  <c r="CC692" i="1"/>
  <c r="CC693" i="1"/>
  <c r="CC694" i="1"/>
  <c r="CC695" i="1"/>
  <c r="CC696" i="1"/>
  <c r="CC697" i="1"/>
  <c r="CC698" i="1"/>
  <c r="CC699" i="1"/>
  <c r="CC700" i="1"/>
  <c r="CC701" i="1"/>
  <c r="CC702" i="1"/>
  <c r="CC703" i="1"/>
  <c r="CC103" i="1"/>
  <c r="CC705" i="1"/>
  <c r="CC343" i="1"/>
  <c r="CC707" i="1"/>
  <c r="CC708" i="1"/>
  <c r="CC709" i="1"/>
  <c r="CC710" i="1"/>
  <c r="CC711" i="1"/>
  <c r="CC712" i="1"/>
  <c r="CC713" i="1"/>
  <c r="CC106" i="1"/>
  <c r="CC715" i="1"/>
  <c r="CC716" i="1"/>
  <c r="CC717" i="1"/>
  <c r="CC718" i="1"/>
  <c r="CC719" i="1"/>
  <c r="CB2" i="1"/>
  <c r="CB619" i="1"/>
  <c r="CB4" i="1"/>
  <c r="CB5" i="1"/>
  <c r="CB6" i="1"/>
  <c r="CB7" i="1"/>
  <c r="CB8" i="1"/>
  <c r="CB620" i="1"/>
  <c r="CB10" i="1"/>
  <c r="CB11" i="1"/>
  <c r="CB12" i="1"/>
  <c r="CB13" i="1"/>
  <c r="CB14" i="1"/>
  <c r="CB15" i="1"/>
  <c r="CB16" i="1"/>
  <c r="CB17" i="1"/>
  <c r="CB622" i="1"/>
  <c r="CB704" i="1"/>
  <c r="CB630" i="1"/>
  <c r="CB21" i="1"/>
  <c r="CB22" i="1"/>
  <c r="CB23" i="1"/>
  <c r="CB689" i="1"/>
  <c r="CB690" i="1"/>
  <c r="CB26" i="1"/>
  <c r="CB27" i="1"/>
  <c r="CB28" i="1"/>
  <c r="CB29" i="1"/>
  <c r="CB30" i="1"/>
  <c r="CB31" i="1"/>
  <c r="CB640" i="1"/>
  <c r="CB586" i="1"/>
  <c r="CB34" i="1"/>
  <c r="CB35" i="1"/>
  <c r="CB36" i="1"/>
  <c r="CB641" i="1"/>
  <c r="CB38" i="1"/>
  <c r="CB39" i="1"/>
  <c r="CB40" i="1"/>
  <c r="CB41" i="1"/>
  <c r="CB42" i="1"/>
  <c r="CB43" i="1"/>
  <c r="CB44" i="1"/>
  <c r="CB45" i="1"/>
  <c r="CB46" i="1"/>
  <c r="CB47" i="1"/>
  <c r="CB706" i="1"/>
  <c r="CB49" i="1"/>
  <c r="CB50" i="1"/>
  <c r="CB51" i="1"/>
  <c r="CB649" i="1"/>
  <c r="CB53" i="1"/>
  <c r="CB54" i="1"/>
  <c r="CB668" i="1"/>
  <c r="CB56" i="1"/>
  <c r="CB57" i="1"/>
  <c r="CB58" i="1"/>
  <c r="CB59" i="1"/>
  <c r="CB60" i="1"/>
  <c r="CB551" i="1"/>
  <c r="CB680" i="1"/>
  <c r="CB684" i="1"/>
  <c r="CB64" i="1"/>
  <c r="CB65" i="1"/>
  <c r="CB477" i="1"/>
  <c r="CB67" i="1"/>
  <c r="CB68" i="1"/>
  <c r="CB69" i="1"/>
  <c r="CB70" i="1"/>
  <c r="CB479" i="1"/>
  <c r="CB72" i="1"/>
  <c r="CB593" i="1"/>
  <c r="CB74" i="1"/>
  <c r="CB75" i="1"/>
  <c r="CB76" i="1"/>
  <c r="CB77" i="1"/>
  <c r="CB78" i="1"/>
  <c r="CB79" i="1"/>
  <c r="CB80" i="1"/>
  <c r="CB489" i="1"/>
  <c r="CB82" i="1"/>
  <c r="CB83" i="1"/>
  <c r="CB84" i="1"/>
  <c r="CB597" i="1"/>
  <c r="CB714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598" i="1"/>
  <c r="CB104" i="1"/>
  <c r="CB105" i="1"/>
  <c r="CB528" i="1"/>
  <c r="CB107" i="1"/>
  <c r="CB108" i="1"/>
  <c r="CB109" i="1"/>
  <c r="CB110" i="1"/>
  <c r="CB111" i="1"/>
  <c r="CB112" i="1"/>
  <c r="CB113" i="1"/>
  <c r="CB114" i="1"/>
  <c r="CB115" i="1"/>
  <c r="CB470" i="1"/>
  <c r="CB117" i="1"/>
  <c r="CB118" i="1"/>
  <c r="CB552" i="1"/>
  <c r="CB120" i="1"/>
  <c r="CB121" i="1"/>
  <c r="CB122" i="1"/>
  <c r="CB532" i="1"/>
  <c r="CB124" i="1"/>
  <c r="CB125" i="1"/>
  <c r="CB126" i="1"/>
  <c r="CB127" i="1"/>
  <c r="CB128" i="1"/>
  <c r="CB600" i="1"/>
  <c r="CB130" i="1"/>
  <c r="CB131" i="1"/>
  <c r="CB132" i="1"/>
  <c r="CB133" i="1"/>
  <c r="CB134" i="1"/>
  <c r="CB135" i="1"/>
  <c r="CB136" i="1"/>
  <c r="CB137" i="1"/>
  <c r="CB534" i="1"/>
  <c r="CB139" i="1"/>
  <c r="CB140" i="1"/>
  <c r="CB141" i="1"/>
  <c r="CB465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491" i="1"/>
  <c r="CB159" i="1"/>
  <c r="CB160" i="1"/>
  <c r="CB161" i="1"/>
  <c r="CB162" i="1"/>
  <c r="CB163" i="1"/>
  <c r="CB164" i="1"/>
  <c r="CB165" i="1"/>
  <c r="CB166" i="1"/>
  <c r="CB167" i="1"/>
  <c r="CB515" i="1"/>
  <c r="CB169" i="1"/>
  <c r="CB170" i="1"/>
  <c r="CB171" i="1"/>
  <c r="CB172" i="1"/>
  <c r="CB173" i="1"/>
  <c r="CB174" i="1"/>
  <c r="CB175" i="1"/>
  <c r="CB176" i="1"/>
  <c r="CB177" i="1"/>
  <c r="CB475" i="1"/>
  <c r="CB179" i="1"/>
  <c r="CB180" i="1"/>
  <c r="CB181" i="1"/>
  <c r="CB182" i="1"/>
  <c r="CB614" i="1"/>
  <c r="CB184" i="1"/>
  <c r="CB185" i="1"/>
  <c r="CB186" i="1"/>
  <c r="CB187" i="1"/>
  <c r="CB188" i="1"/>
  <c r="CB189" i="1"/>
  <c r="CB190" i="1"/>
  <c r="CB498" i="1"/>
  <c r="CB192" i="1"/>
  <c r="CB193" i="1"/>
  <c r="CB194" i="1"/>
  <c r="CB195" i="1"/>
  <c r="CB615" i="1"/>
  <c r="CB544" i="1"/>
  <c r="CB198" i="1"/>
  <c r="CB199" i="1"/>
  <c r="CB200" i="1"/>
  <c r="CB201" i="1"/>
  <c r="CB202" i="1"/>
  <c r="CB203" i="1"/>
  <c r="CB204" i="1"/>
  <c r="CB205" i="1"/>
  <c r="CB206" i="1"/>
  <c r="CB207" i="1"/>
  <c r="CB208" i="1"/>
  <c r="CB209" i="1"/>
  <c r="CB210" i="1"/>
  <c r="CB211" i="1"/>
  <c r="CB212" i="1"/>
  <c r="CB213" i="1"/>
  <c r="CB499" i="1"/>
  <c r="CB215" i="1"/>
  <c r="CB216" i="1"/>
  <c r="CB217" i="1"/>
  <c r="CB218" i="1"/>
  <c r="CB219" i="1"/>
  <c r="CB220" i="1"/>
  <c r="CB221" i="1"/>
  <c r="CB222" i="1"/>
  <c r="CB223" i="1"/>
  <c r="CB224" i="1"/>
  <c r="CB395" i="1"/>
  <c r="CB226" i="1"/>
  <c r="CB227" i="1"/>
  <c r="CB403" i="1"/>
  <c r="CB229" i="1"/>
  <c r="CB230" i="1"/>
  <c r="CB231" i="1"/>
  <c r="CB232" i="1"/>
  <c r="CB233" i="1"/>
  <c r="CB306" i="1"/>
  <c r="CB235" i="1"/>
  <c r="CB236" i="1"/>
  <c r="CB505" i="1"/>
  <c r="CB238" i="1"/>
  <c r="CB239" i="1"/>
  <c r="CB240" i="1"/>
  <c r="CB241" i="1"/>
  <c r="CB242" i="1"/>
  <c r="CB243" i="1"/>
  <c r="CB244" i="1"/>
  <c r="CB245" i="1"/>
  <c r="CB246" i="1"/>
  <c r="CB247" i="1"/>
  <c r="CB248" i="1"/>
  <c r="CB249" i="1"/>
  <c r="CB250" i="1"/>
  <c r="CB251" i="1"/>
  <c r="CB252" i="1"/>
  <c r="CB253" i="1"/>
  <c r="CB345" i="1"/>
  <c r="CB277" i="1"/>
  <c r="CB256" i="1"/>
  <c r="CB257" i="1"/>
  <c r="CB258" i="1"/>
  <c r="CB259" i="1"/>
  <c r="CB454" i="1"/>
  <c r="CB261" i="1"/>
  <c r="CB262" i="1"/>
  <c r="CB263" i="1"/>
  <c r="CB308" i="1"/>
  <c r="CB562" i="1"/>
  <c r="CB266" i="1"/>
  <c r="CB267" i="1"/>
  <c r="CB348" i="1"/>
  <c r="CB269" i="1"/>
  <c r="CB270" i="1"/>
  <c r="CB271" i="1"/>
  <c r="CB272" i="1"/>
  <c r="CB273" i="1"/>
  <c r="CB354" i="1"/>
  <c r="CB275" i="1"/>
  <c r="CB276" i="1"/>
  <c r="CB367" i="1"/>
  <c r="CB278" i="1"/>
  <c r="CB279" i="1"/>
  <c r="CB280" i="1"/>
  <c r="CB281" i="1"/>
  <c r="CB225" i="1"/>
  <c r="CB564" i="1"/>
  <c r="CB284" i="1"/>
  <c r="CB285" i="1"/>
  <c r="CB286" i="1"/>
  <c r="CB375" i="1"/>
  <c r="CB288" i="1"/>
  <c r="CB580" i="1"/>
  <c r="CB290" i="1"/>
  <c r="CB291" i="1"/>
  <c r="CB467" i="1"/>
  <c r="CB293" i="1"/>
  <c r="CB545" i="1"/>
  <c r="CB295" i="1"/>
  <c r="CB296" i="1"/>
  <c r="CB297" i="1"/>
  <c r="CB142" i="1"/>
  <c r="CB309" i="1"/>
  <c r="CB300" i="1"/>
  <c r="CB301" i="1"/>
  <c r="CB302" i="1"/>
  <c r="CB303" i="1"/>
  <c r="CB304" i="1"/>
  <c r="CB685" i="1"/>
  <c r="CB282" i="1"/>
  <c r="CB307" i="1"/>
  <c r="CB404" i="1"/>
  <c r="CB228" i="1"/>
  <c r="CB310" i="1"/>
  <c r="CB311" i="1"/>
  <c r="CB312" i="1"/>
  <c r="CB313" i="1"/>
  <c r="CB314" i="1"/>
  <c r="CB234" i="1"/>
  <c r="CB316" i="1"/>
  <c r="CB317" i="1"/>
  <c r="CB315" i="1"/>
  <c r="CB319" i="1"/>
  <c r="CB320" i="1"/>
  <c r="CB321" i="1"/>
  <c r="CB318" i="1"/>
  <c r="CB323" i="1"/>
  <c r="CB237" i="1"/>
  <c r="CB411" i="1"/>
  <c r="CB326" i="1"/>
  <c r="CB327" i="1"/>
  <c r="CB328" i="1"/>
  <c r="CB412" i="1"/>
  <c r="CB330" i="1"/>
  <c r="CB331" i="1"/>
  <c r="CB332" i="1"/>
  <c r="CB333" i="1"/>
  <c r="CB334" i="1"/>
  <c r="CB335" i="1"/>
  <c r="CB336" i="1"/>
  <c r="CB337" i="1"/>
  <c r="CB338" i="1"/>
  <c r="CB339" i="1"/>
  <c r="CB340" i="1"/>
  <c r="CB168" i="1"/>
  <c r="CB3" i="1"/>
  <c r="CB178" i="1"/>
  <c r="CB344" i="1"/>
  <c r="CB183" i="1"/>
  <c r="CB346" i="1"/>
  <c r="CB347" i="1"/>
  <c r="CB254" i="1"/>
  <c r="CB349" i="1"/>
  <c r="CB350" i="1"/>
  <c r="CB351" i="1"/>
  <c r="CB352" i="1"/>
  <c r="CB353" i="1"/>
  <c r="CB446" i="1"/>
  <c r="CB355" i="1"/>
  <c r="CB356" i="1"/>
  <c r="CB357" i="1"/>
  <c r="CB358" i="1"/>
  <c r="CB359" i="1"/>
  <c r="CB360" i="1"/>
  <c r="CB361" i="1"/>
  <c r="CB362" i="1"/>
  <c r="CB363" i="1"/>
  <c r="CB364" i="1"/>
  <c r="CB365" i="1"/>
  <c r="CB366" i="1"/>
  <c r="CB191" i="1"/>
  <c r="CB368" i="1"/>
  <c r="CB369" i="1"/>
  <c r="CB370" i="1"/>
  <c r="CB371" i="1"/>
  <c r="CB372" i="1"/>
  <c r="CB373" i="1"/>
  <c r="CB374" i="1"/>
  <c r="CB158" i="1"/>
  <c r="CB376" i="1"/>
  <c r="CB377" i="1"/>
  <c r="CB378" i="1"/>
  <c r="CB379" i="1"/>
  <c r="CB283" i="1"/>
  <c r="CB507" i="1"/>
  <c r="CB382" i="1"/>
  <c r="CB383" i="1"/>
  <c r="CB384" i="1"/>
  <c r="CB385" i="1"/>
  <c r="CB518" i="1"/>
  <c r="CB387" i="1"/>
  <c r="CB322" i="1"/>
  <c r="CB389" i="1"/>
  <c r="CB390" i="1"/>
  <c r="CB391" i="1"/>
  <c r="CB392" i="1"/>
  <c r="CB393" i="1"/>
  <c r="CB394" i="1"/>
  <c r="CB413" i="1"/>
  <c r="CB396" i="1"/>
  <c r="CB397" i="1"/>
  <c r="CB398" i="1"/>
  <c r="CB399" i="1"/>
  <c r="CB400" i="1"/>
  <c r="CB401" i="1"/>
  <c r="CB402" i="1"/>
  <c r="CB116" i="1"/>
  <c r="CB196" i="1"/>
  <c r="CB405" i="1"/>
  <c r="CB406" i="1"/>
  <c r="CB407" i="1"/>
  <c r="CB408" i="1"/>
  <c r="CB409" i="1"/>
  <c r="CB410" i="1"/>
  <c r="CB9" i="1"/>
  <c r="CB18" i="1"/>
  <c r="CB119" i="1"/>
  <c r="CB414" i="1"/>
  <c r="CB415" i="1"/>
  <c r="CB416" i="1"/>
  <c r="CB417" i="1"/>
  <c r="CB123" i="1"/>
  <c r="CB419" i="1"/>
  <c r="CB255" i="1"/>
  <c r="CB421" i="1"/>
  <c r="CB19" i="1"/>
  <c r="CB423" i="1"/>
  <c r="CB20" i="1"/>
  <c r="CB425" i="1"/>
  <c r="CB24" i="1"/>
  <c r="CB427" i="1"/>
  <c r="CB129" i="1"/>
  <c r="CB429" i="1"/>
  <c r="CB430" i="1"/>
  <c r="CB431" i="1"/>
  <c r="CB25" i="1"/>
  <c r="CB433" i="1"/>
  <c r="CB434" i="1"/>
  <c r="CB32" i="1"/>
  <c r="CB436" i="1"/>
  <c r="CB437" i="1"/>
  <c r="CB438" i="1"/>
  <c r="CB439" i="1"/>
  <c r="CB440" i="1"/>
  <c r="CB441" i="1"/>
  <c r="CB442" i="1"/>
  <c r="CB443" i="1"/>
  <c r="CB444" i="1"/>
  <c r="CB445" i="1"/>
  <c r="CB138" i="1"/>
  <c r="CB447" i="1"/>
  <c r="CB448" i="1"/>
  <c r="CB449" i="1"/>
  <c r="CB450" i="1"/>
  <c r="CB451" i="1"/>
  <c r="CB452" i="1"/>
  <c r="CB33" i="1"/>
  <c r="CB526" i="1"/>
  <c r="CB455" i="1"/>
  <c r="CB456" i="1"/>
  <c r="CB457" i="1"/>
  <c r="CB458" i="1"/>
  <c r="CB459" i="1"/>
  <c r="CB460" i="1"/>
  <c r="CB461" i="1"/>
  <c r="CB462" i="1"/>
  <c r="CB463" i="1"/>
  <c r="CB464" i="1"/>
  <c r="CB432" i="1"/>
  <c r="CB466" i="1"/>
  <c r="CB418" i="1"/>
  <c r="CB468" i="1"/>
  <c r="CB469" i="1"/>
  <c r="CB37" i="1"/>
  <c r="CB471" i="1"/>
  <c r="CB472" i="1"/>
  <c r="CB473" i="1"/>
  <c r="CB474" i="1"/>
  <c r="CB48" i="1"/>
  <c r="CB476" i="1"/>
  <c r="CB52" i="1"/>
  <c r="CB478" i="1"/>
  <c r="CB55" i="1"/>
  <c r="CB480" i="1"/>
  <c r="CB481" i="1"/>
  <c r="CB482" i="1"/>
  <c r="CB483" i="1"/>
  <c r="CB484" i="1"/>
  <c r="CB485" i="1"/>
  <c r="CB486" i="1"/>
  <c r="CB487" i="1"/>
  <c r="CB488" i="1"/>
  <c r="CB260" i="1"/>
  <c r="CB490" i="1"/>
  <c r="CB197" i="1"/>
  <c r="CB492" i="1"/>
  <c r="CB493" i="1"/>
  <c r="CB494" i="1"/>
  <c r="CB495" i="1"/>
  <c r="CB496" i="1"/>
  <c r="CB497" i="1"/>
  <c r="CB61" i="1"/>
  <c r="CB62" i="1"/>
  <c r="CB500" i="1"/>
  <c r="CB501" i="1"/>
  <c r="CB502" i="1"/>
  <c r="CB503" i="1"/>
  <c r="CB504" i="1"/>
  <c r="CB63" i="1"/>
  <c r="CB506" i="1"/>
  <c r="CB66" i="1"/>
  <c r="CB508" i="1"/>
  <c r="CB509" i="1"/>
  <c r="CB510" i="1"/>
  <c r="CB511" i="1"/>
  <c r="CB512" i="1"/>
  <c r="CB513" i="1"/>
  <c r="CB435" i="1"/>
  <c r="CB420" i="1"/>
  <c r="CB516" i="1"/>
  <c r="CB517" i="1"/>
  <c r="CB71" i="1"/>
  <c r="CB519" i="1"/>
  <c r="CB520" i="1"/>
  <c r="CB521" i="1"/>
  <c r="CB522" i="1"/>
  <c r="CB523" i="1"/>
  <c r="CB524" i="1"/>
  <c r="CB525" i="1"/>
  <c r="CB324" i="1"/>
  <c r="CB527" i="1"/>
  <c r="CB380" i="1"/>
  <c r="CB529" i="1"/>
  <c r="CB530" i="1"/>
  <c r="CB531" i="1"/>
  <c r="CB287" i="1"/>
  <c r="CB533" i="1"/>
  <c r="CB381" i="1"/>
  <c r="CB535" i="1"/>
  <c r="CB536" i="1"/>
  <c r="CB537" i="1"/>
  <c r="CB538" i="1"/>
  <c r="CB539" i="1"/>
  <c r="CB540" i="1"/>
  <c r="CB541" i="1"/>
  <c r="CB542" i="1"/>
  <c r="CB543" i="1"/>
  <c r="CB453" i="1"/>
  <c r="CB73" i="1"/>
  <c r="CB546" i="1"/>
  <c r="CB547" i="1"/>
  <c r="CB548" i="1"/>
  <c r="CB549" i="1"/>
  <c r="CB550" i="1"/>
  <c r="CB422" i="1"/>
  <c r="CB386" i="1"/>
  <c r="CB553" i="1"/>
  <c r="CB554" i="1"/>
  <c r="CB555" i="1"/>
  <c r="CB556" i="1"/>
  <c r="CB557" i="1"/>
  <c r="CB558" i="1"/>
  <c r="CB559" i="1"/>
  <c r="CB560" i="1"/>
  <c r="CB561" i="1"/>
  <c r="CB264" i="1"/>
  <c r="CB563" i="1"/>
  <c r="CB81" i="1"/>
  <c r="CB565" i="1"/>
  <c r="CB566" i="1"/>
  <c r="CB567" i="1"/>
  <c r="CB568" i="1"/>
  <c r="CB569" i="1"/>
  <c r="CB570" i="1"/>
  <c r="CB571" i="1"/>
  <c r="CB572" i="1"/>
  <c r="CB573" i="1"/>
  <c r="CB574" i="1"/>
  <c r="CB575" i="1"/>
  <c r="CB576" i="1"/>
  <c r="CB577" i="1"/>
  <c r="CB578" i="1"/>
  <c r="CB579" i="1"/>
  <c r="CB325" i="1"/>
  <c r="CB581" i="1"/>
  <c r="CB582" i="1"/>
  <c r="CB583" i="1"/>
  <c r="CB584" i="1"/>
  <c r="CB585" i="1"/>
  <c r="CB329" i="1"/>
  <c r="CB587" i="1"/>
  <c r="CB588" i="1"/>
  <c r="CB589" i="1"/>
  <c r="CB590" i="1"/>
  <c r="CB591" i="1"/>
  <c r="CB592" i="1"/>
  <c r="CB388" i="1"/>
  <c r="CB594" i="1"/>
  <c r="CB595" i="1"/>
  <c r="CB596" i="1"/>
  <c r="CB289" i="1"/>
  <c r="CB341" i="1"/>
  <c r="CB599" i="1"/>
  <c r="CB616" i="1"/>
  <c r="CB601" i="1"/>
  <c r="CB602" i="1"/>
  <c r="CB603" i="1"/>
  <c r="CB604" i="1"/>
  <c r="CB605" i="1"/>
  <c r="CB606" i="1"/>
  <c r="CB607" i="1"/>
  <c r="CB608" i="1"/>
  <c r="CB609" i="1"/>
  <c r="CB610" i="1"/>
  <c r="CB611" i="1"/>
  <c r="CB612" i="1"/>
  <c r="CB613" i="1"/>
  <c r="CB292" i="1"/>
  <c r="CB424" i="1"/>
  <c r="CB294" i="1"/>
  <c r="CB617" i="1"/>
  <c r="CB618" i="1"/>
  <c r="CB85" i="1"/>
  <c r="CB342" i="1"/>
  <c r="CB621" i="1"/>
  <c r="CB426" i="1"/>
  <c r="CB623" i="1"/>
  <c r="CB624" i="1"/>
  <c r="CB625" i="1"/>
  <c r="CB626" i="1"/>
  <c r="CB627" i="1"/>
  <c r="CB628" i="1"/>
  <c r="CB629" i="1"/>
  <c r="CB265" i="1"/>
  <c r="CB631" i="1"/>
  <c r="CB632" i="1"/>
  <c r="CB633" i="1"/>
  <c r="CB634" i="1"/>
  <c r="CB635" i="1"/>
  <c r="CB636" i="1"/>
  <c r="CB637" i="1"/>
  <c r="CB638" i="1"/>
  <c r="CB639" i="1"/>
  <c r="CB268" i="1"/>
  <c r="CB298" i="1"/>
  <c r="CB642" i="1"/>
  <c r="CB643" i="1"/>
  <c r="CB644" i="1"/>
  <c r="CB645" i="1"/>
  <c r="CB646" i="1"/>
  <c r="CB647" i="1"/>
  <c r="CB648" i="1"/>
  <c r="CB428" i="1"/>
  <c r="CB650" i="1"/>
  <c r="CB651" i="1"/>
  <c r="CB652" i="1"/>
  <c r="CB653" i="1"/>
  <c r="CB654" i="1"/>
  <c r="CB655" i="1"/>
  <c r="CB656" i="1"/>
  <c r="CB657" i="1"/>
  <c r="CB658" i="1"/>
  <c r="CB659" i="1"/>
  <c r="CB660" i="1"/>
  <c r="CB661" i="1"/>
  <c r="CB662" i="1"/>
  <c r="CB663" i="1"/>
  <c r="CB664" i="1"/>
  <c r="CB665" i="1"/>
  <c r="CB666" i="1"/>
  <c r="CB667" i="1"/>
  <c r="CB274" i="1"/>
  <c r="CB669" i="1"/>
  <c r="CB670" i="1"/>
  <c r="CB671" i="1"/>
  <c r="CB672" i="1"/>
  <c r="CB673" i="1"/>
  <c r="CB674" i="1"/>
  <c r="CB675" i="1"/>
  <c r="CB676" i="1"/>
  <c r="CB677" i="1"/>
  <c r="CB678" i="1"/>
  <c r="CB679" i="1"/>
  <c r="CB299" i="1"/>
  <c r="CB681" i="1"/>
  <c r="CB682" i="1"/>
  <c r="CB683" i="1"/>
  <c r="CB305" i="1"/>
  <c r="CB514" i="1"/>
  <c r="CB686" i="1"/>
  <c r="CB687" i="1"/>
  <c r="CB688" i="1"/>
  <c r="CB86" i="1"/>
  <c r="CB214" i="1"/>
  <c r="CB691" i="1"/>
  <c r="CB692" i="1"/>
  <c r="CB693" i="1"/>
  <c r="CB694" i="1"/>
  <c r="CB695" i="1"/>
  <c r="CB696" i="1"/>
  <c r="CB697" i="1"/>
  <c r="CB698" i="1"/>
  <c r="CB699" i="1"/>
  <c r="CB700" i="1"/>
  <c r="CB701" i="1"/>
  <c r="CB702" i="1"/>
  <c r="CB703" i="1"/>
  <c r="CB103" i="1"/>
  <c r="CB705" i="1"/>
  <c r="CB343" i="1"/>
  <c r="CB707" i="1"/>
  <c r="CB708" i="1"/>
  <c r="CB709" i="1"/>
  <c r="CB710" i="1"/>
  <c r="CB711" i="1"/>
  <c r="CB712" i="1"/>
  <c r="CB713" i="1"/>
  <c r="CB106" i="1"/>
  <c r="CB715" i="1"/>
  <c r="CB716" i="1"/>
  <c r="CB717" i="1"/>
  <c r="CB718" i="1"/>
  <c r="CB719" i="1"/>
  <c r="CA2" i="1"/>
  <c r="CA619" i="1"/>
  <c r="CA4" i="1"/>
  <c r="CA5" i="1"/>
  <c r="CA6" i="1"/>
  <c r="CA7" i="1"/>
  <c r="CA8" i="1"/>
  <c r="CA620" i="1"/>
  <c r="CA10" i="1"/>
  <c r="CA11" i="1"/>
  <c r="CA12" i="1"/>
  <c r="CA13" i="1"/>
  <c r="CA14" i="1"/>
  <c r="CA15" i="1"/>
  <c r="CA16" i="1"/>
  <c r="CA17" i="1"/>
  <c r="CA622" i="1"/>
  <c r="CA704" i="1"/>
  <c r="CA630" i="1"/>
  <c r="CA21" i="1"/>
  <c r="CA22" i="1"/>
  <c r="CA23" i="1"/>
  <c r="CA689" i="1"/>
  <c r="CA690" i="1"/>
  <c r="CA26" i="1"/>
  <c r="CA27" i="1"/>
  <c r="CA28" i="1"/>
  <c r="CA29" i="1"/>
  <c r="CA30" i="1"/>
  <c r="CA31" i="1"/>
  <c r="CA640" i="1"/>
  <c r="CA586" i="1"/>
  <c r="CA34" i="1"/>
  <c r="CA35" i="1"/>
  <c r="CA36" i="1"/>
  <c r="CA641" i="1"/>
  <c r="CA38" i="1"/>
  <c r="CA39" i="1"/>
  <c r="CA40" i="1"/>
  <c r="CA41" i="1"/>
  <c r="CA42" i="1"/>
  <c r="CA43" i="1"/>
  <c r="CA44" i="1"/>
  <c r="CA45" i="1"/>
  <c r="CA46" i="1"/>
  <c r="CA47" i="1"/>
  <c r="CA706" i="1"/>
  <c r="CA49" i="1"/>
  <c r="CA50" i="1"/>
  <c r="CA51" i="1"/>
  <c r="CA649" i="1"/>
  <c r="CA53" i="1"/>
  <c r="CA54" i="1"/>
  <c r="CA668" i="1"/>
  <c r="CA56" i="1"/>
  <c r="CA57" i="1"/>
  <c r="CA58" i="1"/>
  <c r="CA59" i="1"/>
  <c r="CA60" i="1"/>
  <c r="CA551" i="1"/>
  <c r="CA680" i="1"/>
  <c r="CA684" i="1"/>
  <c r="CA64" i="1"/>
  <c r="CA65" i="1"/>
  <c r="CA477" i="1"/>
  <c r="CA67" i="1"/>
  <c r="CA68" i="1"/>
  <c r="CA69" i="1"/>
  <c r="CA70" i="1"/>
  <c r="CA479" i="1"/>
  <c r="CA72" i="1"/>
  <c r="CA593" i="1"/>
  <c r="CA74" i="1"/>
  <c r="CA75" i="1"/>
  <c r="CA76" i="1"/>
  <c r="CA77" i="1"/>
  <c r="CA78" i="1"/>
  <c r="CA79" i="1"/>
  <c r="CA80" i="1"/>
  <c r="CA489" i="1"/>
  <c r="CA82" i="1"/>
  <c r="CA83" i="1"/>
  <c r="CA84" i="1"/>
  <c r="CA597" i="1"/>
  <c r="CA714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598" i="1"/>
  <c r="CA104" i="1"/>
  <c r="CA105" i="1"/>
  <c r="CA528" i="1"/>
  <c r="CA107" i="1"/>
  <c r="CA108" i="1"/>
  <c r="CA109" i="1"/>
  <c r="CA110" i="1"/>
  <c r="CA111" i="1"/>
  <c r="CA112" i="1"/>
  <c r="CA113" i="1"/>
  <c r="CA114" i="1"/>
  <c r="CA115" i="1"/>
  <c r="CA470" i="1"/>
  <c r="CA117" i="1"/>
  <c r="CA118" i="1"/>
  <c r="CA552" i="1"/>
  <c r="CA120" i="1"/>
  <c r="CA121" i="1"/>
  <c r="CA122" i="1"/>
  <c r="CA532" i="1"/>
  <c r="CA124" i="1"/>
  <c r="CA125" i="1"/>
  <c r="CA126" i="1"/>
  <c r="CA127" i="1"/>
  <c r="CA128" i="1"/>
  <c r="CA600" i="1"/>
  <c r="CA130" i="1"/>
  <c r="CA131" i="1"/>
  <c r="CA132" i="1"/>
  <c r="CA133" i="1"/>
  <c r="CA134" i="1"/>
  <c r="CA135" i="1"/>
  <c r="CA136" i="1"/>
  <c r="CA137" i="1"/>
  <c r="CA534" i="1"/>
  <c r="CA139" i="1"/>
  <c r="CA140" i="1"/>
  <c r="CA141" i="1"/>
  <c r="CA465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491" i="1"/>
  <c r="CA159" i="1"/>
  <c r="CA160" i="1"/>
  <c r="CA161" i="1"/>
  <c r="CA162" i="1"/>
  <c r="CA163" i="1"/>
  <c r="CA164" i="1"/>
  <c r="CA165" i="1"/>
  <c r="CA166" i="1"/>
  <c r="CA167" i="1"/>
  <c r="CA515" i="1"/>
  <c r="CA169" i="1"/>
  <c r="CA170" i="1"/>
  <c r="CA171" i="1"/>
  <c r="CA172" i="1"/>
  <c r="CA173" i="1"/>
  <c r="CA174" i="1"/>
  <c r="CA175" i="1"/>
  <c r="CA176" i="1"/>
  <c r="CA177" i="1"/>
  <c r="CA475" i="1"/>
  <c r="CA179" i="1"/>
  <c r="CA180" i="1"/>
  <c r="CA181" i="1"/>
  <c r="CA182" i="1"/>
  <c r="CA614" i="1"/>
  <c r="CA184" i="1"/>
  <c r="CA185" i="1"/>
  <c r="CA186" i="1"/>
  <c r="CA187" i="1"/>
  <c r="CA188" i="1"/>
  <c r="CA189" i="1"/>
  <c r="CA190" i="1"/>
  <c r="CA498" i="1"/>
  <c r="CA192" i="1"/>
  <c r="CA193" i="1"/>
  <c r="CA194" i="1"/>
  <c r="CA195" i="1"/>
  <c r="CA615" i="1"/>
  <c r="CA544" i="1"/>
  <c r="CA198" i="1"/>
  <c r="CA199" i="1"/>
  <c r="CA200" i="1"/>
  <c r="CA201" i="1"/>
  <c r="CA202" i="1"/>
  <c r="CA203" i="1"/>
  <c r="CA204" i="1"/>
  <c r="CA205" i="1"/>
  <c r="CA206" i="1"/>
  <c r="CA207" i="1"/>
  <c r="CA208" i="1"/>
  <c r="CA209" i="1"/>
  <c r="CA210" i="1"/>
  <c r="CA211" i="1"/>
  <c r="CA212" i="1"/>
  <c r="CA213" i="1"/>
  <c r="CA499" i="1"/>
  <c r="CA215" i="1"/>
  <c r="CA216" i="1"/>
  <c r="CA217" i="1"/>
  <c r="CA218" i="1"/>
  <c r="CA219" i="1"/>
  <c r="CA220" i="1"/>
  <c r="CA221" i="1"/>
  <c r="CA222" i="1"/>
  <c r="CA223" i="1"/>
  <c r="CA224" i="1"/>
  <c r="CA395" i="1"/>
  <c r="CA226" i="1"/>
  <c r="CA227" i="1"/>
  <c r="CA403" i="1"/>
  <c r="CA229" i="1"/>
  <c r="CA230" i="1"/>
  <c r="CA231" i="1"/>
  <c r="CA232" i="1"/>
  <c r="CA233" i="1"/>
  <c r="CA306" i="1"/>
  <c r="CA235" i="1"/>
  <c r="CA236" i="1"/>
  <c r="CA505" i="1"/>
  <c r="CA238" i="1"/>
  <c r="CA239" i="1"/>
  <c r="CA240" i="1"/>
  <c r="CA241" i="1"/>
  <c r="CA242" i="1"/>
  <c r="CA243" i="1"/>
  <c r="CA244" i="1"/>
  <c r="CA245" i="1"/>
  <c r="CA246" i="1"/>
  <c r="CA247" i="1"/>
  <c r="CA248" i="1"/>
  <c r="CA249" i="1"/>
  <c r="CA250" i="1"/>
  <c r="CA251" i="1"/>
  <c r="CA252" i="1"/>
  <c r="CA253" i="1"/>
  <c r="CA345" i="1"/>
  <c r="CA277" i="1"/>
  <c r="CA256" i="1"/>
  <c r="CA257" i="1"/>
  <c r="CA258" i="1"/>
  <c r="CA259" i="1"/>
  <c r="CA454" i="1"/>
  <c r="CA261" i="1"/>
  <c r="CA262" i="1"/>
  <c r="CA263" i="1"/>
  <c r="CA308" i="1"/>
  <c r="CA562" i="1"/>
  <c r="CA266" i="1"/>
  <c r="CA267" i="1"/>
  <c r="CA348" i="1"/>
  <c r="CA269" i="1"/>
  <c r="CA270" i="1"/>
  <c r="CA271" i="1"/>
  <c r="CA272" i="1"/>
  <c r="CA273" i="1"/>
  <c r="CA354" i="1"/>
  <c r="CA275" i="1"/>
  <c r="CA276" i="1"/>
  <c r="CA367" i="1"/>
  <c r="CA278" i="1"/>
  <c r="CA279" i="1"/>
  <c r="CA280" i="1"/>
  <c r="CA281" i="1"/>
  <c r="CA225" i="1"/>
  <c r="CA564" i="1"/>
  <c r="CA284" i="1"/>
  <c r="CA285" i="1"/>
  <c r="CA286" i="1"/>
  <c r="CA375" i="1"/>
  <c r="CA288" i="1"/>
  <c r="CA580" i="1"/>
  <c r="CA290" i="1"/>
  <c r="CA291" i="1"/>
  <c r="CA467" i="1"/>
  <c r="CA293" i="1"/>
  <c r="CA545" i="1"/>
  <c r="CA295" i="1"/>
  <c r="CA296" i="1"/>
  <c r="CA297" i="1"/>
  <c r="CA142" i="1"/>
  <c r="CA309" i="1"/>
  <c r="CA300" i="1"/>
  <c r="CA301" i="1"/>
  <c r="CA302" i="1"/>
  <c r="CA303" i="1"/>
  <c r="CA304" i="1"/>
  <c r="CA685" i="1"/>
  <c r="CA282" i="1"/>
  <c r="CA307" i="1"/>
  <c r="CA404" i="1"/>
  <c r="CA228" i="1"/>
  <c r="CA310" i="1"/>
  <c r="CA311" i="1"/>
  <c r="CA312" i="1"/>
  <c r="CA313" i="1"/>
  <c r="CA314" i="1"/>
  <c r="CA234" i="1"/>
  <c r="CA316" i="1"/>
  <c r="CA317" i="1"/>
  <c r="CA315" i="1"/>
  <c r="CA319" i="1"/>
  <c r="CA320" i="1"/>
  <c r="CA321" i="1"/>
  <c r="CA318" i="1"/>
  <c r="CA323" i="1"/>
  <c r="CA237" i="1"/>
  <c r="CA411" i="1"/>
  <c r="CA326" i="1"/>
  <c r="CA327" i="1"/>
  <c r="CA328" i="1"/>
  <c r="CA412" i="1"/>
  <c r="CA330" i="1"/>
  <c r="CA331" i="1"/>
  <c r="CA332" i="1"/>
  <c r="CA333" i="1"/>
  <c r="CA334" i="1"/>
  <c r="CA335" i="1"/>
  <c r="CA336" i="1"/>
  <c r="CA337" i="1"/>
  <c r="CA338" i="1"/>
  <c r="CA339" i="1"/>
  <c r="CA340" i="1"/>
  <c r="CA168" i="1"/>
  <c r="CA3" i="1"/>
  <c r="CA178" i="1"/>
  <c r="CA344" i="1"/>
  <c r="CA183" i="1"/>
  <c r="CA346" i="1"/>
  <c r="CA347" i="1"/>
  <c r="CA254" i="1"/>
  <c r="CA349" i="1"/>
  <c r="CA350" i="1"/>
  <c r="CA351" i="1"/>
  <c r="CA352" i="1"/>
  <c r="CA353" i="1"/>
  <c r="CA446" i="1"/>
  <c r="CA355" i="1"/>
  <c r="CA356" i="1"/>
  <c r="CA357" i="1"/>
  <c r="CA358" i="1"/>
  <c r="CA359" i="1"/>
  <c r="CA360" i="1"/>
  <c r="CA361" i="1"/>
  <c r="CA362" i="1"/>
  <c r="CA363" i="1"/>
  <c r="CA364" i="1"/>
  <c r="CA365" i="1"/>
  <c r="CA366" i="1"/>
  <c r="CA191" i="1"/>
  <c r="CA368" i="1"/>
  <c r="CA369" i="1"/>
  <c r="CA370" i="1"/>
  <c r="CA371" i="1"/>
  <c r="CA372" i="1"/>
  <c r="CA373" i="1"/>
  <c r="CA374" i="1"/>
  <c r="CA158" i="1"/>
  <c r="CA376" i="1"/>
  <c r="CA377" i="1"/>
  <c r="CA378" i="1"/>
  <c r="CA379" i="1"/>
  <c r="CA283" i="1"/>
  <c r="CA507" i="1"/>
  <c r="CA382" i="1"/>
  <c r="CA383" i="1"/>
  <c r="CA384" i="1"/>
  <c r="CA385" i="1"/>
  <c r="CA518" i="1"/>
  <c r="CA387" i="1"/>
  <c r="CA322" i="1"/>
  <c r="CA389" i="1"/>
  <c r="CA390" i="1"/>
  <c r="CA391" i="1"/>
  <c r="CA392" i="1"/>
  <c r="CA393" i="1"/>
  <c r="CA394" i="1"/>
  <c r="CA413" i="1"/>
  <c r="CA396" i="1"/>
  <c r="CA397" i="1"/>
  <c r="CA398" i="1"/>
  <c r="CA399" i="1"/>
  <c r="CA400" i="1"/>
  <c r="CA401" i="1"/>
  <c r="CA402" i="1"/>
  <c r="CA116" i="1"/>
  <c r="CA196" i="1"/>
  <c r="CA405" i="1"/>
  <c r="CA406" i="1"/>
  <c r="CA407" i="1"/>
  <c r="CA408" i="1"/>
  <c r="CA409" i="1"/>
  <c r="CA410" i="1"/>
  <c r="CA9" i="1"/>
  <c r="CA18" i="1"/>
  <c r="CA119" i="1"/>
  <c r="CA414" i="1"/>
  <c r="CA415" i="1"/>
  <c r="CA416" i="1"/>
  <c r="CA417" i="1"/>
  <c r="CA123" i="1"/>
  <c r="CA419" i="1"/>
  <c r="CA255" i="1"/>
  <c r="CA421" i="1"/>
  <c r="CA19" i="1"/>
  <c r="CA423" i="1"/>
  <c r="CA20" i="1"/>
  <c r="CA425" i="1"/>
  <c r="CA24" i="1"/>
  <c r="CA427" i="1"/>
  <c r="CA129" i="1"/>
  <c r="CA429" i="1"/>
  <c r="CA430" i="1"/>
  <c r="CA431" i="1"/>
  <c r="CA25" i="1"/>
  <c r="CA433" i="1"/>
  <c r="CA434" i="1"/>
  <c r="CA32" i="1"/>
  <c r="CA436" i="1"/>
  <c r="CA437" i="1"/>
  <c r="CA438" i="1"/>
  <c r="CA439" i="1"/>
  <c r="CA440" i="1"/>
  <c r="CA441" i="1"/>
  <c r="CA442" i="1"/>
  <c r="CA443" i="1"/>
  <c r="CA444" i="1"/>
  <c r="CA445" i="1"/>
  <c r="CA138" i="1"/>
  <c r="CA447" i="1"/>
  <c r="CA448" i="1"/>
  <c r="CA449" i="1"/>
  <c r="CA450" i="1"/>
  <c r="CA451" i="1"/>
  <c r="CA452" i="1"/>
  <c r="CA33" i="1"/>
  <c r="CA526" i="1"/>
  <c r="CA455" i="1"/>
  <c r="CA456" i="1"/>
  <c r="CA457" i="1"/>
  <c r="CA458" i="1"/>
  <c r="CA459" i="1"/>
  <c r="CA460" i="1"/>
  <c r="CA461" i="1"/>
  <c r="CA462" i="1"/>
  <c r="CA463" i="1"/>
  <c r="CA464" i="1"/>
  <c r="CA432" i="1"/>
  <c r="CA466" i="1"/>
  <c r="CA418" i="1"/>
  <c r="CA468" i="1"/>
  <c r="CA469" i="1"/>
  <c r="CA37" i="1"/>
  <c r="CA471" i="1"/>
  <c r="CA472" i="1"/>
  <c r="CA473" i="1"/>
  <c r="CA474" i="1"/>
  <c r="CA48" i="1"/>
  <c r="CA476" i="1"/>
  <c r="CA52" i="1"/>
  <c r="CA478" i="1"/>
  <c r="CA55" i="1"/>
  <c r="CA480" i="1"/>
  <c r="CA481" i="1"/>
  <c r="CA482" i="1"/>
  <c r="CA483" i="1"/>
  <c r="CA484" i="1"/>
  <c r="CA485" i="1"/>
  <c r="CA486" i="1"/>
  <c r="CA487" i="1"/>
  <c r="CA488" i="1"/>
  <c r="CA260" i="1"/>
  <c r="CA490" i="1"/>
  <c r="CA197" i="1"/>
  <c r="CA492" i="1"/>
  <c r="CA493" i="1"/>
  <c r="CA494" i="1"/>
  <c r="CA495" i="1"/>
  <c r="CA496" i="1"/>
  <c r="CA497" i="1"/>
  <c r="CA61" i="1"/>
  <c r="CA62" i="1"/>
  <c r="CA500" i="1"/>
  <c r="CA501" i="1"/>
  <c r="CA502" i="1"/>
  <c r="CA503" i="1"/>
  <c r="CA504" i="1"/>
  <c r="CA63" i="1"/>
  <c r="CA506" i="1"/>
  <c r="CA66" i="1"/>
  <c r="CA508" i="1"/>
  <c r="CA509" i="1"/>
  <c r="CA510" i="1"/>
  <c r="CA511" i="1"/>
  <c r="CA512" i="1"/>
  <c r="CA513" i="1"/>
  <c r="CA435" i="1"/>
  <c r="CA420" i="1"/>
  <c r="CA516" i="1"/>
  <c r="CA517" i="1"/>
  <c r="CA71" i="1"/>
  <c r="CA519" i="1"/>
  <c r="CA520" i="1"/>
  <c r="CA521" i="1"/>
  <c r="CA522" i="1"/>
  <c r="CA523" i="1"/>
  <c r="CA524" i="1"/>
  <c r="CA525" i="1"/>
  <c r="CA324" i="1"/>
  <c r="CA527" i="1"/>
  <c r="CA380" i="1"/>
  <c r="CA529" i="1"/>
  <c r="CA530" i="1"/>
  <c r="CA531" i="1"/>
  <c r="CA287" i="1"/>
  <c r="CA533" i="1"/>
  <c r="CA381" i="1"/>
  <c r="CA535" i="1"/>
  <c r="CA536" i="1"/>
  <c r="CA537" i="1"/>
  <c r="CA538" i="1"/>
  <c r="CA539" i="1"/>
  <c r="CA540" i="1"/>
  <c r="CA541" i="1"/>
  <c r="CA542" i="1"/>
  <c r="CA543" i="1"/>
  <c r="CA453" i="1"/>
  <c r="CA73" i="1"/>
  <c r="CA546" i="1"/>
  <c r="CA547" i="1"/>
  <c r="CA548" i="1"/>
  <c r="CA549" i="1"/>
  <c r="CA550" i="1"/>
  <c r="CA422" i="1"/>
  <c r="CA386" i="1"/>
  <c r="CA553" i="1"/>
  <c r="CA554" i="1"/>
  <c r="CA555" i="1"/>
  <c r="CA556" i="1"/>
  <c r="CA557" i="1"/>
  <c r="CA558" i="1"/>
  <c r="CA559" i="1"/>
  <c r="CA560" i="1"/>
  <c r="CA561" i="1"/>
  <c r="CA264" i="1"/>
  <c r="CA563" i="1"/>
  <c r="CA81" i="1"/>
  <c r="CA565" i="1"/>
  <c r="CA566" i="1"/>
  <c r="CA567" i="1"/>
  <c r="CA568" i="1"/>
  <c r="CA569" i="1"/>
  <c r="CA570" i="1"/>
  <c r="CA571" i="1"/>
  <c r="CA572" i="1"/>
  <c r="CA573" i="1"/>
  <c r="CA574" i="1"/>
  <c r="CA575" i="1"/>
  <c r="CA576" i="1"/>
  <c r="CA577" i="1"/>
  <c r="CA578" i="1"/>
  <c r="CA579" i="1"/>
  <c r="CA325" i="1"/>
  <c r="CA581" i="1"/>
  <c r="CA582" i="1"/>
  <c r="CA583" i="1"/>
  <c r="CA584" i="1"/>
  <c r="CA585" i="1"/>
  <c r="CA329" i="1"/>
  <c r="CA587" i="1"/>
  <c r="CA588" i="1"/>
  <c r="CA589" i="1"/>
  <c r="CA590" i="1"/>
  <c r="CA591" i="1"/>
  <c r="CA592" i="1"/>
  <c r="CA388" i="1"/>
  <c r="CA594" i="1"/>
  <c r="CA595" i="1"/>
  <c r="CA596" i="1"/>
  <c r="CA289" i="1"/>
  <c r="CA341" i="1"/>
  <c r="CA599" i="1"/>
  <c r="CA616" i="1"/>
  <c r="CA601" i="1"/>
  <c r="CA602" i="1"/>
  <c r="CA603" i="1"/>
  <c r="CA604" i="1"/>
  <c r="CA605" i="1"/>
  <c r="CA606" i="1"/>
  <c r="CA607" i="1"/>
  <c r="CA608" i="1"/>
  <c r="CA609" i="1"/>
  <c r="CA610" i="1"/>
  <c r="CA611" i="1"/>
  <c r="CA612" i="1"/>
  <c r="CA613" i="1"/>
  <c r="CA292" i="1"/>
  <c r="CA424" i="1"/>
  <c r="CA294" i="1"/>
  <c r="CA617" i="1"/>
  <c r="CA618" i="1"/>
  <c r="CA85" i="1"/>
  <c r="CA342" i="1"/>
  <c r="CA621" i="1"/>
  <c r="CA426" i="1"/>
  <c r="CA623" i="1"/>
  <c r="CA624" i="1"/>
  <c r="CA625" i="1"/>
  <c r="CA626" i="1"/>
  <c r="CA627" i="1"/>
  <c r="CA628" i="1"/>
  <c r="CA629" i="1"/>
  <c r="CA265" i="1"/>
  <c r="CA631" i="1"/>
  <c r="CA632" i="1"/>
  <c r="CA633" i="1"/>
  <c r="CA634" i="1"/>
  <c r="CA635" i="1"/>
  <c r="CA636" i="1"/>
  <c r="CA637" i="1"/>
  <c r="CA638" i="1"/>
  <c r="CA639" i="1"/>
  <c r="CA268" i="1"/>
  <c r="CA298" i="1"/>
  <c r="CA642" i="1"/>
  <c r="CA643" i="1"/>
  <c r="CA644" i="1"/>
  <c r="CA645" i="1"/>
  <c r="CA646" i="1"/>
  <c r="CA647" i="1"/>
  <c r="CA648" i="1"/>
  <c r="CA428" i="1"/>
  <c r="CA650" i="1"/>
  <c r="CA651" i="1"/>
  <c r="CA652" i="1"/>
  <c r="CA653" i="1"/>
  <c r="CA654" i="1"/>
  <c r="CA655" i="1"/>
  <c r="CA656" i="1"/>
  <c r="CA657" i="1"/>
  <c r="CA658" i="1"/>
  <c r="CA659" i="1"/>
  <c r="CA660" i="1"/>
  <c r="CA661" i="1"/>
  <c r="CA662" i="1"/>
  <c r="CA663" i="1"/>
  <c r="CA664" i="1"/>
  <c r="CA665" i="1"/>
  <c r="CA666" i="1"/>
  <c r="CA667" i="1"/>
  <c r="CA274" i="1"/>
  <c r="CA669" i="1"/>
  <c r="CA670" i="1"/>
  <c r="CA671" i="1"/>
  <c r="CA672" i="1"/>
  <c r="CA673" i="1"/>
  <c r="CA674" i="1"/>
  <c r="CA675" i="1"/>
  <c r="CA676" i="1"/>
  <c r="CA677" i="1"/>
  <c r="CA678" i="1"/>
  <c r="CA679" i="1"/>
  <c r="CA299" i="1"/>
  <c r="CA681" i="1"/>
  <c r="CA682" i="1"/>
  <c r="CA683" i="1"/>
  <c r="CA305" i="1"/>
  <c r="CA514" i="1"/>
  <c r="CA686" i="1"/>
  <c r="CA687" i="1"/>
  <c r="CA688" i="1"/>
  <c r="CA86" i="1"/>
  <c r="CA214" i="1"/>
  <c r="CA691" i="1"/>
  <c r="CA692" i="1"/>
  <c r="CA693" i="1"/>
  <c r="CA694" i="1"/>
  <c r="CA695" i="1"/>
  <c r="CA696" i="1"/>
  <c r="CA697" i="1"/>
  <c r="CA698" i="1"/>
  <c r="CA699" i="1"/>
  <c r="CA700" i="1"/>
  <c r="CA701" i="1"/>
  <c r="CA702" i="1"/>
  <c r="CA703" i="1"/>
  <c r="CA103" i="1"/>
  <c r="CA705" i="1"/>
  <c r="CA343" i="1"/>
  <c r="CA707" i="1"/>
  <c r="CA708" i="1"/>
  <c r="CA709" i="1"/>
  <c r="CA710" i="1"/>
  <c r="CA711" i="1"/>
  <c r="CA712" i="1"/>
  <c r="CA713" i="1"/>
  <c r="CA106" i="1"/>
  <c r="CA715" i="1"/>
  <c r="CA716" i="1"/>
  <c r="CA717" i="1"/>
  <c r="CA718" i="1"/>
  <c r="CA719" i="1"/>
  <c r="BZ2" i="1"/>
  <c r="BZ619" i="1"/>
  <c r="BZ4" i="1"/>
  <c r="BZ5" i="1"/>
  <c r="BZ6" i="1"/>
  <c r="BZ7" i="1"/>
  <c r="BZ8" i="1"/>
  <c r="BZ620" i="1"/>
  <c r="BZ10" i="1"/>
  <c r="BZ11" i="1"/>
  <c r="BZ12" i="1"/>
  <c r="BZ13" i="1"/>
  <c r="BZ14" i="1"/>
  <c r="BZ15" i="1"/>
  <c r="BZ16" i="1"/>
  <c r="BZ17" i="1"/>
  <c r="BZ622" i="1"/>
  <c r="BZ704" i="1"/>
  <c r="BZ630" i="1"/>
  <c r="BZ21" i="1"/>
  <c r="BZ22" i="1"/>
  <c r="BZ23" i="1"/>
  <c r="BZ689" i="1"/>
  <c r="BZ690" i="1"/>
  <c r="BZ26" i="1"/>
  <c r="BZ27" i="1"/>
  <c r="BZ28" i="1"/>
  <c r="BZ29" i="1"/>
  <c r="BZ30" i="1"/>
  <c r="BZ31" i="1"/>
  <c r="BZ640" i="1"/>
  <c r="BZ586" i="1"/>
  <c r="BZ34" i="1"/>
  <c r="BZ35" i="1"/>
  <c r="BZ36" i="1"/>
  <c r="BZ641" i="1"/>
  <c r="BZ38" i="1"/>
  <c r="BZ39" i="1"/>
  <c r="BZ40" i="1"/>
  <c r="BZ41" i="1"/>
  <c r="BZ42" i="1"/>
  <c r="BZ43" i="1"/>
  <c r="BZ44" i="1"/>
  <c r="BZ45" i="1"/>
  <c r="BZ46" i="1"/>
  <c r="BZ47" i="1"/>
  <c r="BZ706" i="1"/>
  <c r="BZ49" i="1"/>
  <c r="BZ50" i="1"/>
  <c r="BZ51" i="1"/>
  <c r="BZ649" i="1"/>
  <c r="BZ53" i="1"/>
  <c r="BZ54" i="1"/>
  <c r="BZ668" i="1"/>
  <c r="BZ56" i="1"/>
  <c r="BZ57" i="1"/>
  <c r="BZ58" i="1"/>
  <c r="BZ59" i="1"/>
  <c r="BZ60" i="1"/>
  <c r="BZ551" i="1"/>
  <c r="BZ680" i="1"/>
  <c r="BZ684" i="1"/>
  <c r="BZ64" i="1"/>
  <c r="BZ65" i="1"/>
  <c r="BZ477" i="1"/>
  <c r="BZ67" i="1"/>
  <c r="BZ68" i="1"/>
  <c r="BZ69" i="1"/>
  <c r="BZ70" i="1"/>
  <c r="BZ479" i="1"/>
  <c r="BZ72" i="1"/>
  <c r="BZ593" i="1"/>
  <c r="BZ74" i="1"/>
  <c r="BZ75" i="1"/>
  <c r="BZ76" i="1"/>
  <c r="BZ77" i="1"/>
  <c r="BZ78" i="1"/>
  <c r="BZ79" i="1"/>
  <c r="BZ80" i="1"/>
  <c r="BZ489" i="1"/>
  <c r="BZ82" i="1"/>
  <c r="BZ83" i="1"/>
  <c r="BZ84" i="1"/>
  <c r="BZ597" i="1"/>
  <c r="BZ714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102" i="1"/>
  <c r="BZ598" i="1"/>
  <c r="BZ104" i="1"/>
  <c r="BZ105" i="1"/>
  <c r="BZ528" i="1"/>
  <c r="BZ107" i="1"/>
  <c r="BZ108" i="1"/>
  <c r="BZ109" i="1"/>
  <c r="BZ110" i="1"/>
  <c r="BZ111" i="1"/>
  <c r="BZ112" i="1"/>
  <c r="BZ113" i="1"/>
  <c r="BZ114" i="1"/>
  <c r="BZ115" i="1"/>
  <c r="BZ470" i="1"/>
  <c r="BZ117" i="1"/>
  <c r="BZ118" i="1"/>
  <c r="BZ552" i="1"/>
  <c r="BZ120" i="1"/>
  <c r="BZ121" i="1"/>
  <c r="BZ122" i="1"/>
  <c r="BZ532" i="1"/>
  <c r="BZ124" i="1"/>
  <c r="BZ125" i="1"/>
  <c r="BZ126" i="1"/>
  <c r="BZ127" i="1"/>
  <c r="BZ128" i="1"/>
  <c r="BZ600" i="1"/>
  <c r="BZ130" i="1"/>
  <c r="BZ131" i="1"/>
  <c r="BZ132" i="1"/>
  <c r="BZ133" i="1"/>
  <c r="BZ134" i="1"/>
  <c r="BZ135" i="1"/>
  <c r="BZ136" i="1"/>
  <c r="BZ137" i="1"/>
  <c r="BZ534" i="1"/>
  <c r="BZ139" i="1"/>
  <c r="BZ140" i="1"/>
  <c r="BZ141" i="1"/>
  <c r="BZ465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491" i="1"/>
  <c r="BZ159" i="1"/>
  <c r="BZ160" i="1"/>
  <c r="BZ161" i="1"/>
  <c r="BZ162" i="1"/>
  <c r="BZ163" i="1"/>
  <c r="BZ164" i="1"/>
  <c r="BZ165" i="1"/>
  <c r="BZ166" i="1"/>
  <c r="BZ167" i="1"/>
  <c r="BZ515" i="1"/>
  <c r="BZ169" i="1"/>
  <c r="BZ170" i="1"/>
  <c r="BZ171" i="1"/>
  <c r="BZ172" i="1"/>
  <c r="BZ173" i="1"/>
  <c r="BZ174" i="1"/>
  <c r="BZ175" i="1"/>
  <c r="BZ176" i="1"/>
  <c r="BZ177" i="1"/>
  <c r="BZ475" i="1"/>
  <c r="BZ179" i="1"/>
  <c r="BZ180" i="1"/>
  <c r="BZ181" i="1"/>
  <c r="BZ182" i="1"/>
  <c r="BZ614" i="1"/>
  <c r="BZ184" i="1"/>
  <c r="BZ185" i="1"/>
  <c r="BZ186" i="1"/>
  <c r="BZ187" i="1"/>
  <c r="BZ188" i="1"/>
  <c r="BZ189" i="1"/>
  <c r="BZ190" i="1"/>
  <c r="BZ498" i="1"/>
  <c r="BZ192" i="1"/>
  <c r="BZ193" i="1"/>
  <c r="BZ194" i="1"/>
  <c r="BZ195" i="1"/>
  <c r="BZ615" i="1"/>
  <c r="BZ544" i="1"/>
  <c r="BZ198" i="1"/>
  <c r="BZ199" i="1"/>
  <c r="BZ200" i="1"/>
  <c r="BZ201" i="1"/>
  <c r="BZ202" i="1"/>
  <c r="BZ203" i="1"/>
  <c r="BZ204" i="1"/>
  <c r="BZ205" i="1"/>
  <c r="BZ206" i="1"/>
  <c r="BZ207" i="1"/>
  <c r="BZ208" i="1"/>
  <c r="BZ209" i="1"/>
  <c r="BZ210" i="1"/>
  <c r="BZ211" i="1"/>
  <c r="BZ212" i="1"/>
  <c r="BZ213" i="1"/>
  <c r="BZ499" i="1"/>
  <c r="BZ215" i="1"/>
  <c r="BZ216" i="1"/>
  <c r="BZ217" i="1"/>
  <c r="BZ218" i="1"/>
  <c r="BZ219" i="1"/>
  <c r="BZ220" i="1"/>
  <c r="BZ221" i="1"/>
  <c r="BZ222" i="1"/>
  <c r="BZ223" i="1"/>
  <c r="BZ224" i="1"/>
  <c r="BZ395" i="1"/>
  <c r="BZ226" i="1"/>
  <c r="BZ227" i="1"/>
  <c r="BZ403" i="1"/>
  <c r="BZ229" i="1"/>
  <c r="BZ230" i="1"/>
  <c r="BZ231" i="1"/>
  <c r="BZ232" i="1"/>
  <c r="BZ233" i="1"/>
  <c r="BZ306" i="1"/>
  <c r="BZ235" i="1"/>
  <c r="BZ236" i="1"/>
  <c r="BZ505" i="1"/>
  <c r="BZ238" i="1"/>
  <c r="BZ239" i="1"/>
  <c r="BZ240" i="1"/>
  <c r="BZ241" i="1"/>
  <c r="BZ242" i="1"/>
  <c r="BZ243" i="1"/>
  <c r="BZ244" i="1"/>
  <c r="BZ245" i="1"/>
  <c r="BZ246" i="1"/>
  <c r="BZ247" i="1"/>
  <c r="BZ248" i="1"/>
  <c r="BZ249" i="1"/>
  <c r="BZ250" i="1"/>
  <c r="BZ251" i="1"/>
  <c r="BZ252" i="1"/>
  <c r="BZ253" i="1"/>
  <c r="BZ345" i="1"/>
  <c r="BZ277" i="1"/>
  <c r="BZ256" i="1"/>
  <c r="BZ257" i="1"/>
  <c r="BZ258" i="1"/>
  <c r="BZ259" i="1"/>
  <c r="BZ454" i="1"/>
  <c r="BZ261" i="1"/>
  <c r="BZ262" i="1"/>
  <c r="BZ263" i="1"/>
  <c r="BZ308" i="1"/>
  <c r="BZ562" i="1"/>
  <c r="BZ266" i="1"/>
  <c r="BZ267" i="1"/>
  <c r="BZ348" i="1"/>
  <c r="BZ269" i="1"/>
  <c r="BZ270" i="1"/>
  <c r="BZ271" i="1"/>
  <c r="BZ272" i="1"/>
  <c r="BZ273" i="1"/>
  <c r="BZ354" i="1"/>
  <c r="BZ275" i="1"/>
  <c r="BZ276" i="1"/>
  <c r="BZ367" i="1"/>
  <c r="BZ278" i="1"/>
  <c r="BZ279" i="1"/>
  <c r="BZ280" i="1"/>
  <c r="BZ281" i="1"/>
  <c r="BZ225" i="1"/>
  <c r="BZ564" i="1"/>
  <c r="BZ284" i="1"/>
  <c r="BZ285" i="1"/>
  <c r="BZ286" i="1"/>
  <c r="BZ375" i="1"/>
  <c r="BZ288" i="1"/>
  <c r="BZ580" i="1"/>
  <c r="BZ290" i="1"/>
  <c r="BZ291" i="1"/>
  <c r="BZ467" i="1"/>
  <c r="BZ293" i="1"/>
  <c r="BZ545" i="1"/>
  <c r="BZ295" i="1"/>
  <c r="BZ296" i="1"/>
  <c r="BZ297" i="1"/>
  <c r="BZ142" i="1"/>
  <c r="BZ309" i="1"/>
  <c r="BZ300" i="1"/>
  <c r="BZ301" i="1"/>
  <c r="BZ302" i="1"/>
  <c r="BZ303" i="1"/>
  <c r="BZ304" i="1"/>
  <c r="BZ685" i="1"/>
  <c r="BZ282" i="1"/>
  <c r="BZ307" i="1"/>
  <c r="BZ404" i="1"/>
  <c r="BZ228" i="1"/>
  <c r="BZ310" i="1"/>
  <c r="BZ311" i="1"/>
  <c r="BZ312" i="1"/>
  <c r="BZ313" i="1"/>
  <c r="BZ314" i="1"/>
  <c r="BZ234" i="1"/>
  <c r="BZ316" i="1"/>
  <c r="BZ317" i="1"/>
  <c r="BZ315" i="1"/>
  <c r="BZ319" i="1"/>
  <c r="BZ320" i="1"/>
  <c r="BZ321" i="1"/>
  <c r="BZ318" i="1"/>
  <c r="BZ323" i="1"/>
  <c r="BZ237" i="1"/>
  <c r="BZ411" i="1"/>
  <c r="BZ326" i="1"/>
  <c r="BZ327" i="1"/>
  <c r="BZ328" i="1"/>
  <c r="BZ412" i="1"/>
  <c r="BZ330" i="1"/>
  <c r="BZ331" i="1"/>
  <c r="BZ332" i="1"/>
  <c r="BZ333" i="1"/>
  <c r="BZ334" i="1"/>
  <c r="BZ335" i="1"/>
  <c r="BZ336" i="1"/>
  <c r="BZ337" i="1"/>
  <c r="BZ338" i="1"/>
  <c r="BZ339" i="1"/>
  <c r="BZ340" i="1"/>
  <c r="BZ168" i="1"/>
  <c r="BZ3" i="1"/>
  <c r="BZ178" i="1"/>
  <c r="BZ344" i="1"/>
  <c r="BZ183" i="1"/>
  <c r="BZ346" i="1"/>
  <c r="BZ347" i="1"/>
  <c r="BZ254" i="1"/>
  <c r="BZ349" i="1"/>
  <c r="BZ350" i="1"/>
  <c r="BZ351" i="1"/>
  <c r="BZ352" i="1"/>
  <c r="BZ353" i="1"/>
  <c r="BZ446" i="1"/>
  <c r="BZ355" i="1"/>
  <c r="BZ356" i="1"/>
  <c r="BZ357" i="1"/>
  <c r="BZ358" i="1"/>
  <c r="BZ359" i="1"/>
  <c r="BZ360" i="1"/>
  <c r="BZ361" i="1"/>
  <c r="BZ362" i="1"/>
  <c r="BZ363" i="1"/>
  <c r="BZ364" i="1"/>
  <c r="BZ365" i="1"/>
  <c r="BZ366" i="1"/>
  <c r="BZ191" i="1"/>
  <c r="BZ368" i="1"/>
  <c r="BZ369" i="1"/>
  <c r="BZ370" i="1"/>
  <c r="BZ371" i="1"/>
  <c r="BZ372" i="1"/>
  <c r="BZ373" i="1"/>
  <c r="BZ374" i="1"/>
  <c r="BZ158" i="1"/>
  <c r="BZ376" i="1"/>
  <c r="BZ377" i="1"/>
  <c r="BZ378" i="1"/>
  <c r="BZ379" i="1"/>
  <c r="BZ283" i="1"/>
  <c r="BZ507" i="1"/>
  <c r="BZ382" i="1"/>
  <c r="BZ383" i="1"/>
  <c r="BZ384" i="1"/>
  <c r="BZ385" i="1"/>
  <c r="BZ518" i="1"/>
  <c r="BZ387" i="1"/>
  <c r="BZ322" i="1"/>
  <c r="BZ389" i="1"/>
  <c r="BZ390" i="1"/>
  <c r="BZ391" i="1"/>
  <c r="BZ392" i="1"/>
  <c r="BZ393" i="1"/>
  <c r="BZ394" i="1"/>
  <c r="BZ413" i="1"/>
  <c r="BZ396" i="1"/>
  <c r="BZ397" i="1"/>
  <c r="BZ398" i="1"/>
  <c r="BZ399" i="1"/>
  <c r="BZ400" i="1"/>
  <c r="BZ401" i="1"/>
  <c r="BZ402" i="1"/>
  <c r="BZ116" i="1"/>
  <c r="BZ196" i="1"/>
  <c r="BZ405" i="1"/>
  <c r="BZ406" i="1"/>
  <c r="BZ407" i="1"/>
  <c r="BZ408" i="1"/>
  <c r="BZ409" i="1"/>
  <c r="BZ410" i="1"/>
  <c r="BZ9" i="1"/>
  <c r="BZ18" i="1"/>
  <c r="BZ119" i="1"/>
  <c r="BZ414" i="1"/>
  <c r="BZ415" i="1"/>
  <c r="BZ416" i="1"/>
  <c r="BZ417" i="1"/>
  <c r="BZ123" i="1"/>
  <c r="BZ419" i="1"/>
  <c r="BZ255" i="1"/>
  <c r="BZ421" i="1"/>
  <c r="BZ19" i="1"/>
  <c r="BZ423" i="1"/>
  <c r="BZ20" i="1"/>
  <c r="BZ425" i="1"/>
  <c r="BZ24" i="1"/>
  <c r="BZ427" i="1"/>
  <c r="BZ129" i="1"/>
  <c r="BZ429" i="1"/>
  <c r="BZ430" i="1"/>
  <c r="BZ431" i="1"/>
  <c r="BZ25" i="1"/>
  <c r="BZ433" i="1"/>
  <c r="BZ434" i="1"/>
  <c r="BZ32" i="1"/>
  <c r="BZ436" i="1"/>
  <c r="BZ437" i="1"/>
  <c r="BZ438" i="1"/>
  <c r="BZ439" i="1"/>
  <c r="BZ440" i="1"/>
  <c r="BZ441" i="1"/>
  <c r="BZ442" i="1"/>
  <c r="BZ443" i="1"/>
  <c r="BZ444" i="1"/>
  <c r="BZ445" i="1"/>
  <c r="BZ138" i="1"/>
  <c r="BZ447" i="1"/>
  <c r="BZ448" i="1"/>
  <c r="BZ449" i="1"/>
  <c r="BZ450" i="1"/>
  <c r="BZ451" i="1"/>
  <c r="BZ452" i="1"/>
  <c r="BZ33" i="1"/>
  <c r="BZ526" i="1"/>
  <c r="BZ455" i="1"/>
  <c r="BZ456" i="1"/>
  <c r="BZ457" i="1"/>
  <c r="BZ458" i="1"/>
  <c r="BZ459" i="1"/>
  <c r="BZ460" i="1"/>
  <c r="BZ461" i="1"/>
  <c r="BZ462" i="1"/>
  <c r="BZ463" i="1"/>
  <c r="BZ464" i="1"/>
  <c r="BZ432" i="1"/>
  <c r="BZ466" i="1"/>
  <c r="BZ418" i="1"/>
  <c r="BZ468" i="1"/>
  <c r="BZ469" i="1"/>
  <c r="BZ37" i="1"/>
  <c r="BZ471" i="1"/>
  <c r="BZ472" i="1"/>
  <c r="BZ473" i="1"/>
  <c r="BZ474" i="1"/>
  <c r="BZ48" i="1"/>
  <c r="BZ476" i="1"/>
  <c r="BZ52" i="1"/>
  <c r="BZ478" i="1"/>
  <c r="BZ55" i="1"/>
  <c r="BZ480" i="1"/>
  <c r="BZ481" i="1"/>
  <c r="BZ482" i="1"/>
  <c r="BZ483" i="1"/>
  <c r="BZ484" i="1"/>
  <c r="BZ485" i="1"/>
  <c r="BZ486" i="1"/>
  <c r="BZ487" i="1"/>
  <c r="BZ488" i="1"/>
  <c r="BZ260" i="1"/>
  <c r="BZ490" i="1"/>
  <c r="BZ197" i="1"/>
  <c r="BZ492" i="1"/>
  <c r="BZ493" i="1"/>
  <c r="BZ494" i="1"/>
  <c r="BZ495" i="1"/>
  <c r="BZ496" i="1"/>
  <c r="BZ497" i="1"/>
  <c r="BZ61" i="1"/>
  <c r="BZ62" i="1"/>
  <c r="BZ500" i="1"/>
  <c r="BZ501" i="1"/>
  <c r="BZ502" i="1"/>
  <c r="BZ503" i="1"/>
  <c r="BZ504" i="1"/>
  <c r="BZ63" i="1"/>
  <c r="BZ506" i="1"/>
  <c r="BZ66" i="1"/>
  <c r="BZ508" i="1"/>
  <c r="BZ509" i="1"/>
  <c r="BZ510" i="1"/>
  <c r="BZ511" i="1"/>
  <c r="BZ512" i="1"/>
  <c r="BZ513" i="1"/>
  <c r="BZ435" i="1"/>
  <c r="BZ420" i="1"/>
  <c r="BZ516" i="1"/>
  <c r="BZ517" i="1"/>
  <c r="BZ71" i="1"/>
  <c r="BZ519" i="1"/>
  <c r="BZ520" i="1"/>
  <c r="BZ521" i="1"/>
  <c r="BZ522" i="1"/>
  <c r="BZ523" i="1"/>
  <c r="BZ524" i="1"/>
  <c r="BZ525" i="1"/>
  <c r="BZ324" i="1"/>
  <c r="BZ527" i="1"/>
  <c r="BZ380" i="1"/>
  <c r="BZ529" i="1"/>
  <c r="BZ530" i="1"/>
  <c r="BZ531" i="1"/>
  <c r="BZ287" i="1"/>
  <c r="BZ533" i="1"/>
  <c r="BZ381" i="1"/>
  <c r="BZ535" i="1"/>
  <c r="BZ536" i="1"/>
  <c r="BZ537" i="1"/>
  <c r="BZ538" i="1"/>
  <c r="BZ539" i="1"/>
  <c r="BZ540" i="1"/>
  <c r="BZ541" i="1"/>
  <c r="BZ542" i="1"/>
  <c r="BZ543" i="1"/>
  <c r="BZ453" i="1"/>
  <c r="BZ73" i="1"/>
  <c r="BZ546" i="1"/>
  <c r="BZ547" i="1"/>
  <c r="BZ548" i="1"/>
  <c r="BZ549" i="1"/>
  <c r="BZ550" i="1"/>
  <c r="BZ422" i="1"/>
  <c r="BZ386" i="1"/>
  <c r="BZ553" i="1"/>
  <c r="BZ554" i="1"/>
  <c r="BZ555" i="1"/>
  <c r="BZ556" i="1"/>
  <c r="BZ557" i="1"/>
  <c r="BZ558" i="1"/>
  <c r="BZ559" i="1"/>
  <c r="BZ560" i="1"/>
  <c r="BZ561" i="1"/>
  <c r="BZ264" i="1"/>
  <c r="BZ563" i="1"/>
  <c r="BZ81" i="1"/>
  <c r="BZ565" i="1"/>
  <c r="BZ566" i="1"/>
  <c r="BZ567" i="1"/>
  <c r="BZ568" i="1"/>
  <c r="BZ569" i="1"/>
  <c r="BZ570" i="1"/>
  <c r="BZ571" i="1"/>
  <c r="BZ572" i="1"/>
  <c r="BZ573" i="1"/>
  <c r="BZ574" i="1"/>
  <c r="BZ575" i="1"/>
  <c r="BZ576" i="1"/>
  <c r="BZ577" i="1"/>
  <c r="BZ578" i="1"/>
  <c r="BZ579" i="1"/>
  <c r="BZ325" i="1"/>
  <c r="BZ581" i="1"/>
  <c r="BZ582" i="1"/>
  <c r="BZ583" i="1"/>
  <c r="BZ584" i="1"/>
  <c r="BZ585" i="1"/>
  <c r="BZ329" i="1"/>
  <c r="BZ587" i="1"/>
  <c r="BZ588" i="1"/>
  <c r="BZ589" i="1"/>
  <c r="BZ590" i="1"/>
  <c r="BZ591" i="1"/>
  <c r="BZ592" i="1"/>
  <c r="BZ388" i="1"/>
  <c r="BZ594" i="1"/>
  <c r="BZ595" i="1"/>
  <c r="BZ596" i="1"/>
  <c r="BZ289" i="1"/>
  <c r="BZ341" i="1"/>
  <c r="BZ599" i="1"/>
  <c r="BZ616" i="1"/>
  <c r="BZ601" i="1"/>
  <c r="BZ602" i="1"/>
  <c r="BZ603" i="1"/>
  <c r="BZ604" i="1"/>
  <c r="BZ605" i="1"/>
  <c r="BZ606" i="1"/>
  <c r="BZ607" i="1"/>
  <c r="BZ608" i="1"/>
  <c r="BZ609" i="1"/>
  <c r="BZ610" i="1"/>
  <c r="BZ611" i="1"/>
  <c r="BZ612" i="1"/>
  <c r="BZ613" i="1"/>
  <c r="BZ292" i="1"/>
  <c r="BZ424" i="1"/>
  <c r="BZ294" i="1"/>
  <c r="BZ617" i="1"/>
  <c r="BZ618" i="1"/>
  <c r="BZ85" i="1"/>
  <c r="BZ342" i="1"/>
  <c r="BZ621" i="1"/>
  <c r="BZ426" i="1"/>
  <c r="BZ623" i="1"/>
  <c r="BZ624" i="1"/>
  <c r="BZ625" i="1"/>
  <c r="BZ626" i="1"/>
  <c r="BZ627" i="1"/>
  <c r="BZ628" i="1"/>
  <c r="BZ629" i="1"/>
  <c r="BZ265" i="1"/>
  <c r="BZ631" i="1"/>
  <c r="BZ632" i="1"/>
  <c r="BZ633" i="1"/>
  <c r="BZ634" i="1"/>
  <c r="BZ635" i="1"/>
  <c r="BZ636" i="1"/>
  <c r="BZ637" i="1"/>
  <c r="BZ638" i="1"/>
  <c r="BZ639" i="1"/>
  <c r="BZ268" i="1"/>
  <c r="BZ298" i="1"/>
  <c r="BZ642" i="1"/>
  <c r="BZ643" i="1"/>
  <c r="BZ644" i="1"/>
  <c r="BZ645" i="1"/>
  <c r="BZ646" i="1"/>
  <c r="BZ647" i="1"/>
  <c r="BZ648" i="1"/>
  <c r="BZ428" i="1"/>
  <c r="BZ650" i="1"/>
  <c r="BZ651" i="1"/>
  <c r="BZ652" i="1"/>
  <c r="BZ653" i="1"/>
  <c r="BZ654" i="1"/>
  <c r="BZ655" i="1"/>
  <c r="BZ656" i="1"/>
  <c r="BZ657" i="1"/>
  <c r="BZ658" i="1"/>
  <c r="BZ659" i="1"/>
  <c r="BZ660" i="1"/>
  <c r="BZ661" i="1"/>
  <c r="BZ662" i="1"/>
  <c r="BZ663" i="1"/>
  <c r="BZ664" i="1"/>
  <c r="BZ665" i="1"/>
  <c r="BZ666" i="1"/>
  <c r="BZ667" i="1"/>
  <c r="BZ274" i="1"/>
  <c r="BZ669" i="1"/>
  <c r="BZ670" i="1"/>
  <c r="BZ671" i="1"/>
  <c r="BZ672" i="1"/>
  <c r="BZ673" i="1"/>
  <c r="BZ674" i="1"/>
  <c r="BZ675" i="1"/>
  <c r="BZ676" i="1"/>
  <c r="BZ677" i="1"/>
  <c r="BZ678" i="1"/>
  <c r="BZ679" i="1"/>
  <c r="BZ299" i="1"/>
  <c r="BZ681" i="1"/>
  <c r="BZ682" i="1"/>
  <c r="BZ683" i="1"/>
  <c r="BZ305" i="1"/>
  <c r="BZ514" i="1"/>
  <c r="BZ686" i="1"/>
  <c r="BZ687" i="1"/>
  <c r="BZ688" i="1"/>
  <c r="BZ86" i="1"/>
  <c r="BZ214" i="1"/>
  <c r="BZ691" i="1"/>
  <c r="BZ692" i="1"/>
  <c r="BZ693" i="1"/>
  <c r="BZ694" i="1"/>
  <c r="BZ695" i="1"/>
  <c r="BZ696" i="1"/>
  <c r="BZ697" i="1"/>
  <c r="BZ698" i="1"/>
  <c r="BZ699" i="1"/>
  <c r="BZ700" i="1"/>
  <c r="BZ701" i="1"/>
  <c r="BZ702" i="1"/>
  <c r="BZ703" i="1"/>
  <c r="BZ103" i="1"/>
  <c r="BZ705" i="1"/>
  <c r="BZ343" i="1"/>
  <c r="BZ707" i="1"/>
  <c r="BZ708" i="1"/>
  <c r="BZ709" i="1"/>
  <c r="BZ710" i="1"/>
  <c r="BZ711" i="1"/>
  <c r="BZ712" i="1"/>
  <c r="BZ713" i="1"/>
  <c r="BZ106" i="1"/>
  <c r="BZ715" i="1"/>
  <c r="BZ716" i="1"/>
  <c r="BZ717" i="1"/>
  <c r="BZ718" i="1"/>
  <c r="BZ719" i="1"/>
  <c r="BY2" i="1"/>
  <c r="BY619" i="1"/>
  <c r="BY4" i="1"/>
  <c r="BY5" i="1"/>
  <c r="BY6" i="1"/>
  <c r="BY7" i="1"/>
  <c r="BY8" i="1"/>
  <c r="BY620" i="1"/>
  <c r="BY10" i="1"/>
  <c r="BY11" i="1"/>
  <c r="BY12" i="1"/>
  <c r="BY13" i="1"/>
  <c r="BY14" i="1"/>
  <c r="BY15" i="1"/>
  <c r="BY16" i="1"/>
  <c r="BY17" i="1"/>
  <c r="BY622" i="1"/>
  <c r="BY704" i="1"/>
  <c r="BY630" i="1"/>
  <c r="BY21" i="1"/>
  <c r="BY22" i="1"/>
  <c r="BY23" i="1"/>
  <c r="BY689" i="1"/>
  <c r="BY690" i="1"/>
  <c r="BY26" i="1"/>
  <c r="BY27" i="1"/>
  <c r="BY28" i="1"/>
  <c r="BY29" i="1"/>
  <c r="BY30" i="1"/>
  <c r="BY31" i="1"/>
  <c r="BY640" i="1"/>
  <c r="BY586" i="1"/>
  <c r="BY34" i="1"/>
  <c r="BY35" i="1"/>
  <c r="BY36" i="1"/>
  <c r="BY641" i="1"/>
  <c r="BY38" i="1"/>
  <c r="BY39" i="1"/>
  <c r="BY40" i="1"/>
  <c r="BY41" i="1"/>
  <c r="BY42" i="1"/>
  <c r="BY43" i="1"/>
  <c r="BY44" i="1"/>
  <c r="BY45" i="1"/>
  <c r="BY46" i="1"/>
  <c r="BY47" i="1"/>
  <c r="BY706" i="1"/>
  <c r="BY49" i="1"/>
  <c r="BY50" i="1"/>
  <c r="BY51" i="1"/>
  <c r="BY649" i="1"/>
  <c r="BY53" i="1"/>
  <c r="BY54" i="1"/>
  <c r="BY668" i="1"/>
  <c r="BY56" i="1"/>
  <c r="BY57" i="1"/>
  <c r="BY58" i="1"/>
  <c r="BY59" i="1"/>
  <c r="BY60" i="1"/>
  <c r="BY551" i="1"/>
  <c r="BY680" i="1"/>
  <c r="BY684" i="1"/>
  <c r="BY64" i="1"/>
  <c r="BY65" i="1"/>
  <c r="BY477" i="1"/>
  <c r="BY67" i="1"/>
  <c r="BY68" i="1"/>
  <c r="BY69" i="1"/>
  <c r="BY70" i="1"/>
  <c r="BY479" i="1"/>
  <c r="BY72" i="1"/>
  <c r="BY593" i="1"/>
  <c r="BY74" i="1"/>
  <c r="BY75" i="1"/>
  <c r="BY76" i="1"/>
  <c r="BY77" i="1"/>
  <c r="BY78" i="1"/>
  <c r="BY79" i="1"/>
  <c r="BY80" i="1"/>
  <c r="BY489" i="1"/>
  <c r="BY82" i="1"/>
  <c r="BY83" i="1"/>
  <c r="BY84" i="1"/>
  <c r="BY597" i="1"/>
  <c r="BY714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598" i="1"/>
  <c r="BY104" i="1"/>
  <c r="BY105" i="1"/>
  <c r="BY528" i="1"/>
  <c r="BY107" i="1"/>
  <c r="BY108" i="1"/>
  <c r="BY109" i="1"/>
  <c r="BY110" i="1"/>
  <c r="BY111" i="1"/>
  <c r="BY112" i="1"/>
  <c r="BY113" i="1"/>
  <c r="BY114" i="1"/>
  <c r="BY115" i="1"/>
  <c r="BY470" i="1"/>
  <c r="BY117" i="1"/>
  <c r="BY118" i="1"/>
  <c r="BY552" i="1"/>
  <c r="BY120" i="1"/>
  <c r="BY121" i="1"/>
  <c r="BY122" i="1"/>
  <c r="BY532" i="1"/>
  <c r="BY124" i="1"/>
  <c r="BY125" i="1"/>
  <c r="BY126" i="1"/>
  <c r="BY127" i="1"/>
  <c r="BY128" i="1"/>
  <c r="BY600" i="1"/>
  <c r="BY130" i="1"/>
  <c r="BY131" i="1"/>
  <c r="BY132" i="1"/>
  <c r="BY133" i="1"/>
  <c r="BY134" i="1"/>
  <c r="BY135" i="1"/>
  <c r="BY136" i="1"/>
  <c r="BY137" i="1"/>
  <c r="BY534" i="1"/>
  <c r="BY139" i="1"/>
  <c r="BY140" i="1"/>
  <c r="BY141" i="1"/>
  <c r="BY465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491" i="1"/>
  <c r="BY159" i="1"/>
  <c r="BY160" i="1"/>
  <c r="BY161" i="1"/>
  <c r="BY162" i="1"/>
  <c r="BY163" i="1"/>
  <c r="BY164" i="1"/>
  <c r="BY165" i="1"/>
  <c r="BY166" i="1"/>
  <c r="BY167" i="1"/>
  <c r="BY515" i="1"/>
  <c r="BY169" i="1"/>
  <c r="BY170" i="1"/>
  <c r="BY171" i="1"/>
  <c r="BY172" i="1"/>
  <c r="BY173" i="1"/>
  <c r="BY174" i="1"/>
  <c r="BY175" i="1"/>
  <c r="BY176" i="1"/>
  <c r="BY177" i="1"/>
  <c r="BY475" i="1"/>
  <c r="BY179" i="1"/>
  <c r="BY180" i="1"/>
  <c r="BY181" i="1"/>
  <c r="BY182" i="1"/>
  <c r="BY614" i="1"/>
  <c r="BY184" i="1"/>
  <c r="BY185" i="1"/>
  <c r="BY186" i="1"/>
  <c r="BY187" i="1"/>
  <c r="BY188" i="1"/>
  <c r="BY189" i="1"/>
  <c r="BY190" i="1"/>
  <c r="BY498" i="1"/>
  <c r="BY192" i="1"/>
  <c r="BY193" i="1"/>
  <c r="BY194" i="1"/>
  <c r="BY195" i="1"/>
  <c r="BY615" i="1"/>
  <c r="BY544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BY212" i="1"/>
  <c r="BY213" i="1"/>
  <c r="BY499" i="1"/>
  <c r="BY215" i="1"/>
  <c r="BY216" i="1"/>
  <c r="BY217" i="1"/>
  <c r="BY218" i="1"/>
  <c r="BY219" i="1"/>
  <c r="BY220" i="1"/>
  <c r="BY221" i="1"/>
  <c r="BY222" i="1"/>
  <c r="BY223" i="1"/>
  <c r="BY224" i="1"/>
  <c r="BY395" i="1"/>
  <c r="BY226" i="1"/>
  <c r="BY227" i="1"/>
  <c r="BY403" i="1"/>
  <c r="BY229" i="1"/>
  <c r="BY230" i="1"/>
  <c r="BY231" i="1"/>
  <c r="BY232" i="1"/>
  <c r="BY233" i="1"/>
  <c r="BY306" i="1"/>
  <c r="BY235" i="1"/>
  <c r="BY236" i="1"/>
  <c r="BY505" i="1"/>
  <c r="BY238" i="1"/>
  <c r="BY239" i="1"/>
  <c r="BY240" i="1"/>
  <c r="BY241" i="1"/>
  <c r="BY242" i="1"/>
  <c r="BY243" i="1"/>
  <c r="BY244" i="1"/>
  <c r="BY245" i="1"/>
  <c r="BY246" i="1"/>
  <c r="BY247" i="1"/>
  <c r="BY248" i="1"/>
  <c r="BY249" i="1"/>
  <c r="BY250" i="1"/>
  <c r="BY251" i="1"/>
  <c r="BY252" i="1"/>
  <c r="BY253" i="1"/>
  <c r="BY345" i="1"/>
  <c r="BY277" i="1"/>
  <c r="BY256" i="1"/>
  <c r="BY257" i="1"/>
  <c r="BY258" i="1"/>
  <c r="BY259" i="1"/>
  <c r="BY454" i="1"/>
  <c r="BY261" i="1"/>
  <c r="BY262" i="1"/>
  <c r="BY263" i="1"/>
  <c r="BY308" i="1"/>
  <c r="BY562" i="1"/>
  <c r="BY266" i="1"/>
  <c r="BY267" i="1"/>
  <c r="BY348" i="1"/>
  <c r="BY269" i="1"/>
  <c r="BY270" i="1"/>
  <c r="BY271" i="1"/>
  <c r="BY272" i="1"/>
  <c r="BY273" i="1"/>
  <c r="BY354" i="1"/>
  <c r="BY275" i="1"/>
  <c r="BY276" i="1"/>
  <c r="BY367" i="1"/>
  <c r="BY278" i="1"/>
  <c r="BY279" i="1"/>
  <c r="BY280" i="1"/>
  <c r="BY281" i="1"/>
  <c r="BY225" i="1"/>
  <c r="BY564" i="1"/>
  <c r="BY284" i="1"/>
  <c r="BY285" i="1"/>
  <c r="BY286" i="1"/>
  <c r="BY375" i="1"/>
  <c r="BY288" i="1"/>
  <c r="BY580" i="1"/>
  <c r="BY290" i="1"/>
  <c r="BY291" i="1"/>
  <c r="BY467" i="1"/>
  <c r="BY293" i="1"/>
  <c r="BY545" i="1"/>
  <c r="BY295" i="1"/>
  <c r="BY296" i="1"/>
  <c r="BY297" i="1"/>
  <c r="BY142" i="1"/>
  <c r="BY309" i="1"/>
  <c r="BY300" i="1"/>
  <c r="BY301" i="1"/>
  <c r="BY302" i="1"/>
  <c r="BY303" i="1"/>
  <c r="BY304" i="1"/>
  <c r="BY685" i="1"/>
  <c r="BY282" i="1"/>
  <c r="BY307" i="1"/>
  <c r="BY404" i="1"/>
  <c r="BY228" i="1"/>
  <c r="BY310" i="1"/>
  <c r="BY311" i="1"/>
  <c r="BY312" i="1"/>
  <c r="BY313" i="1"/>
  <c r="BY314" i="1"/>
  <c r="BY234" i="1"/>
  <c r="BY316" i="1"/>
  <c r="BY317" i="1"/>
  <c r="BY315" i="1"/>
  <c r="BY319" i="1"/>
  <c r="BY320" i="1"/>
  <c r="BY321" i="1"/>
  <c r="BY318" i="1"/>
  <c r="BY323" i="1"/>
  <c r="BY237" i="1"/>
  <c r="BY411" i="1"/>
  <c r="BY326" i="1"/>
  <c r="BY327" i="1"/>
  <c r="BY328" i="1"/>
  <c r="BY412" i="1"/>
  <c r="BY330" i="1"/>
  <c r="BY331" i="1"/>
  <c r="BY332" i="1"/>
  <c r="BY333" i="1"/>
  <c r="BY334" i="1"/>
  <c r="BY335" i="1"/>
  <c r="BY336" i="1"/>
  <c r="BY337" i="1"/>
  <c r="BY338" i="1"/>
  <c r="BY339" i="1"/>
  <c r="BY340" i="1"/>
  <c r="BY168" i="1"/>
  <c r="BY3" i="1"/>
  <c r="BY178" i="1"/>
  <c r="BY344" i="1"/>
  <c r="BY183" i="1"/>
  <c r="BY346" i="1"/>
  <c r="BY347" i="1"/>
  <c r="BY254" i="1"/>
  <c r="BY349" i="1"/>
  <c r="BY350" i="1"/>
  <c r="BY351" i="1"/>
  <c r="BY352" i="1"/>
  <c r="BY353" i="1"/>
  <c r="BY446" i="1"/>
  <c r="BY355" i="1"/>
  <c r="BY356" i="1"/>
  <c r="BY357" i="1"/>
  <c r="BY358" i="1"/>
  <c r="BY359" i="1"/>
  <c r="BY360" i="1"/>
  <c r="BY361" i="1"/>
  <c r="BY362" i="1"/>
  <c r="BY363" i="1"/>
  <c r="BY364" i="1"/>
  <c r="BY365" i="1"/>
  <c r="BY366" i="1"/>
  <c r="BY191" i="1"/>
  <c r="BY368" i="1"/>
  <c r="BY369" i="1"/>
  <c r="BY370" i="1"/>
  <c r="BY371" i="1"/>
  <c r="BY372" i="1"/>
  <c r="BY373" i="1"/>
  <c r="BY374" i="1"/>
  <c r="BY158" i="1"/>
  <c r="BY376" i="1"/>
  <c r="BY377" i="1"/>
  <c r="BY378" i="1"/>
  <c r="BY379" i="1"/>
  <c r="BY283" i="1"/>
  <c r="BY507" i="1"/>
  <c r="BY382" i="1"/>
  <c r="BY383" i="1"/>
  <c r="BY384" i="1"/>
  <c r="BY385" i="1"/>
  <c r="BY518" i="1"/>
  <c r="BY387" i="1"/>
  <c r="BY322" i="1"/>
  <c r="BY389" i="1"/>
  <c r="BY390" i="1"/>
  <c r="BY391" i="1"/>
  <c r="BY392" i="1"/>
  <c r="BY393" i="1"/>
  <c r="BY394" i="1"/>
  <c r="BY413" i="1"/>
  <c r="BY396" i="1"/>
  <c r="BY397" i="1"/>
  <c r="BY398" i="1"/>
  <c r="BY399" i="1"/>
  <c r="BY400" i="1"/>
  <c r="BY401" i="1"/>
  <c r="BY402" i="1"/>
  <c r="BY116" i="1"/>
  <c r="BY196" i="1"/>
  <c r="BY405" i="1"/>
  <c r="BY406" i="1"/>
  <c r="BY407" i="1"/>
  <c r="BY408" i="1"/>
  <c r="BY409" i="1"/>
  <c r="BY410" i="1"/>
  <c r="BY9" i="1"/>
  <c r="BY18" i="1"/>
  <c r="BY119" i="1"/>
  <c r="BY414" i="1"/>
  <c r="BY415" i="1"/>
  <c r="BY416" i="1"/>
  <c r="BY417" i="1"/>
  <c r="BY123" i="1"/>
  <c r="BY419" i="1"/>
  <c r="BY255" i="1"/>
  <c r="BY421" i="1"/>
  <c r="BY19" i="1"/>
  <c r="BY423" i="1"/>
  <c r="BY20" i="1"/>
  <c r="BY425" i="1"/>
  <c r="BY24" i="1"/>
  <c r="BY427" i="1"/>
  <c r="BY129" i="1"/>
  <c r="BY429" i="1"/>
  <c r="BY430" i="1"/>
  <c r="BY431" i="1"/>
  <c r="BY25" i="1"/>
  <c r="BY433" i="1"/>
  <c r="BY434" i="1"/>
  <c r="BY32" i="1"/>
  <c r="BY436" i="1"/>
  <c r="BY437" i="1"/>
  <c r="BY438" i="1"/>
  <c r="BY439" i="1"/>
  <c r="BY440" i="1"/>
  <c r="BY441" i="1"/>
  <c r="BY442" i="1"/>
  <c r="BY443" i="1"/>
  <c r="BY444" i="1"/>
  <c r="BY445" i="1"/>
  <c r="BY138" i="1"/>
  <c r="BY447" i="1"/>
  <c r="BY448" i="1"/>
  <c r="BY449" i="1"/>
  <c r="BY450" i="1"/>
  <c r="BY451" i="1"/>
  <c r="BY452" i="1"/>
  <c r="BY33" i="1"/>
  <c r="BY526" i="1"/>
  <c r="BY455" i="1"/>
  <c r="BY456" i="1"/>
  <c r="BY457" i="1"/>
  <c r="BY458" i="1"/>
  <c r="BY459" i="1"/>
  <c r="BY460" i="1"/>
  <c r="BY461" i="1"/>
  <c r="BY462" i="1"/>
  <c r="BY463" i="1"/>
  <c r="BY464" i="1"/>
  <c r="BY432" i="1"/>
  <c r="BY466" i="1"/>
  <c r="BY418" i="1"/>
  <c r="BY468" i="1"/>
  <c r="BY469" i="1"/>
  <c r="BY37" i="1"/>
  <c r="BY471" i="1"/>
  <c r="BY472" i="1"/>
  <c r="BY473" i="1"/>
  <c r="BY474" i="1"/>
  <c r="BY48" i="1"/>
  <c r="BY476" i="1"/>
  <c r="BY52" i="1"/>
  <c r="BY478" i="1"/>
  <c r="BY55" i="1"/>
  <c r="BY480" i="1"/>
  <c r="BY481" i="1"/>
  <c r="BY482" i="1"/>
  <c r="BY483" i="1"/>
  <c r="BY484" i="1"/>
  <c r="BY485" i="1"/>
  <c r="BY486" i="1"/>
  <c r="BY487" i="1"/>
  <c r="BY488" i="1"/>
  <c r="BY260" i="1"/>
  <c r="BY490" i="1"/>
  <c r="BY197" i="1"/>
  <c r="BY492" i="1"/>
  <c r="BY493" i="1"/>
  <c r="BY494" i="1"/>
  <c r="BY495" i="1"/>
  <c r="BY496" i="1"/>
  <c r="BY497" i="1"/>
  <c r="BY61" i="1"/>
  <c r="BY62" i="1"/>
  <c r="BY500" i="1"/>
  <c r="BY501" i="1"/>
  <c r="BY502" i="1"/>
  <c r="BY503" i="1"/>
  <c r="BY504" i="1"/>
  <c r="BY63" i="1"/>
  <c r="BY506" i="1"/>
  <c r="BY66" i="1"/>
  <c r="BY508" i="1"/>
  <c r="BY509" i="1"/>
  <c r="BY510" i="1"/>
  <c r="BY511" i="1"/>
  <c r="BY512" i="1"/>
  <c r="BY513" i="1"/>
  <c r="BY435" i="1"/>
  <c r="BY420" i="1"/>
  <c r="BY516" i="1"/>
  <c r="BY517" i="1"/>
  <c r="BY71" i="1"/>
  <c r="BY519" i="1"/>
  <c r="BY520" i="1"/>
  <c r="BY521" i="1"/>
  <c r="BY522" i="1"/>
  <c r="BY523" i="1"/>
  <c r="BY524" i="1"/>
  <c r="BY525" i="1"/>
  <c r="BY324" i="1"/>
  <c r="BY527" i="1"/>
  <c r="BY380" i="1"/>
  <c r="BY529" i="1"/>
  <c r="BY530" i="1"/>
  <c r="BY531" i="1"/>
  <c r="BY287" i="1"/>
  <c r="BY533" i="1"/>
  <c r="BY381" i="1"/>
  <c r="BY535" i="1"/>
  <c r="BY536" i="1"/>
  <c r="BY537" i="1"/>
  <c r="BY538" i="1"/>
  <c r="BY539" i="1"/>
  <c r="BY540" i="1"/>
  <c r="BY541" i="1"/>
  <c r="BY542" i="1"/>
  <c r="BY543" i="1"/>
  <c r="BY453" i="1"/>
  <c r="BY73" i="1"/>
  <c r="BY546" i="1"/>
  <c r="BY547" i="1"/>
  <c r="BY548" i="1"/>
  <c r="BY549" i="1"/>
  <c r="BY550" i="1"/>
  <c r="BY422" i="1"/>
  <c r="BY386" i="1"/>
  <c r="BY553" i="1"/>
  <c r="BY554" i="1"/>
  <c r="BY555" i="1"/>
  <c r="BY556" i="1"/>
  <c r="BY557" i="1"/>
  <c r="BY558" i="1"/>
  <c r="BY559" i="1"/>
  <c r="BY560" i="1"/>
  <c r="BY561" i="1"/>
  <c r="BY264" i="1"/>
  <c r="BY563" i="1"/>
  <c r="BY81" i="1"/>
  <c r="BY565" i="1"/>
  <c r="BY566" i="1"/>
  <c r="BY567" i="1"/>
  <c r="BY568" i="1"/>
  <c r="BY569" i="1"/>
  <c r="BY570" i="1"/>
  <c r="BY571" i="1"/>
  <c r="BY572" i="1"/>
  <c r="BY573" i="1"/>
  <c r="BY574" i="1"/>
  <c r="BY575" i="1"/>
  <c r="BY576" i="1"/>
  <c r="BY577" i="1"/>
  <c r="BY578" i="1"/>
  <c r="BY579" i="1"/>
  <c r="BY325" i="1"/>
  <c r="BY581" i="1"/>
  <c r="BY582" i="1"/>
  <c r="BY583" i="1"/>
  <c r="BY584" i="1"/>
  <c r="BY585" i="1"/>
  <c r="BY329" i="1"/>
  <c r="BY587" i="1"/>
  <c r="BY588" i="1"/>
  <c r="BY589" i="1"/>
  <c r="BY590" i="1"/>
  <c r="BY591" i="1"/>
  <c r="BY592" i="1"/>
  <c r="BY388" i="1"/>
  <c r="BY594" i="1"/>
  <c r="BY595" i="1"/>
  <c r="BY596" i="1"/>
  <c r="BY289" i="1"/>
  <c r="BY341" i="1"/>
  <c r="BY599" i="1"/>
  <c r="BY616" i="1"/>
  <c r="BY601" i="1"/>
  <c r="BY602" i="1"/>
  <c r="BY603" i="1"/>
  <c r="BY604" i="1"/>
  <c r="BY605" i="1"/>
  <c r="BY606" i="1"/>
  <c r="BY607" i="1"/>
  <c r="BY608" i="1"/>
  <c r="BY609" i="1"/>
  <c r="BY610" i="1"/>
  <c r="BY611" i="1"/>
  <c r="BY612" i="1"/>
  <c r="BY613" i="1"/>
  <c r="BY292" i="1"/>
  <c r="BY424" i="1"/>
  <c r="BY294" i="1"/>
  <c r="BY617" i="1"/>
  <c r="BY618" i="1"/>
  <c r="BY85" i="1"/>
  <c r="BY342" i="1"/>
  <c r="BY621" i="1"/>
  <c r="BY426" i="1"/>
  <c r="BY623" i="1"/>
  <c r="BY624" i="1"/>
  <c r="BY625" i="1"/>
  <c r="BY626" i="1"/>
  <c r="BY627" i="1"/>
  <c r="BY628" i="1"/>
  <c r="BY629" i="1"/>
  <c r="BY265" i="1"/>
  <c r="BY631" i="1"/>
  <c r="BY632" i="1"/>
  <c r="BY633" i="1"/>
  <c r="BY634" i="1"/>
  <c r="BY635" i="1"/>
  <c r="BY636" i="1"/>
  <c r="BY637" i="1"/>
  <c r="BY638" i="1"/>
  <c r="BY639" i="1"/>
  <c r="BY268" i="1"/>
  <c r="BY298" i="1"/>
  <c r="BY642" i="1"/>
  <c r="BY643" i="1"/>
  <c r="BY644" i="1"/>
  <c r="BY645" i="1"/>
  <c r="BY646" i="1"/>
  <c r="BY647" i="1"/>
  <c r="BY648" i="1"/>
  <c r="BY428" i="1"/>
  <c r="BY650" i="1"/>
  <c r="BY651" i="1"/>
  <c r="BY652" i="1"/>
  <c r="BY653" i="1"/>
  <c r="BY654" i="1"/>
  <c r="BY655" i="1"/>
  <c r="BY656" i="1"/>
  <c r="BY657" i="1"/>
  <c r="BY658" i="1"/>
  <c r="BY659" i="1"/>
  <c r="BY660" i="1"/>
  <c r="BY661" i="1"/>
  <c r="BY662" i="1"/>
  <c r="BY663" i="1"/>
  <c r="BY664" i="1"/>
  <c r="BY665" i="1"/>
  <c r="BY666" i="1"/>
  <c r="BY667" i="1"/>
  <c r="BY274" i="1"/>
  <c r="BY669" i="1"/>
  <c r="BY670" i="1"/>
  <c r="BY671" i="1"/>
  <c r="BY672" i="1"/>
  <c r="BY673" i="1"/>
  <c r="BY674" i="1"/>
  <c r="BY675" i="1"/>
  <c r="BY676" i="1"/>
  <c r="BY677" i="1"/>
  <c r="BY678" i="1"/>
  <c r="BY679" i="1"/>
  <c r="BY299" i="1"/>
  <c r="BY681" i="1"/>
  <c r="BY682" i="1"/>
  <c r="BY683" i="1"/>
  <c r="BY305" i="1"/>
  <c r="BY514" i="1"/>
  <c r="BY686" i="1"/>
  <c r="BY687" i="1"/>
  <c r="BY688" i="1"/>
  <c r="BY86" i="1"/>
  <c r="BY214" i="1"/>
  <c r="BY691" i="1"/>
  <c r="BY692" i="1"/>
  <c r="BY693" i="1"/>
  <c r="BY694" i="1"/>
  <c r="BY695" i="1"/>
  <c r="BY696" i="1"/>
  <c r="BY697" i="1"/>
  <c r="BY698" i="1"/>
  <c r="BY699" i="1"/>
  <c r="BY700" i="1"/>
  <c r="BY701" i="1"/>
  <c r="BY702" i="1"/>
  <c r="BY703" i="1"/>
  <c r="BY103" i="1"/>
  <c r="BY705" i="1"/>
  <c r="BY343" i="1"/>
  <c r="BY707" i="1"/>
  <c r="BY708" i="1"/>
  <c r="BY709" i="1"/>
  <c r="BY710" i="1"/>
  <c r="BY711" i="1"/>
  <c r="BY712" i="1"/>
  <c r="BY713" i="1"/>
  <c r="BY106" i="1"/>
  <c r="BY715" i="1"/>
  <c r="BY716" i="1"/>
  <c r="BY717" i="1"/>
  <c r="BY718" i="1"/>
  <c r="BY719" i="1"/>
  <c r="CE709" i="1" l="1"/>
  <c r="CE701" i="1"/>
  <c r="CE693" i="1"/>
  <c r="CE514" i="1"/>
  <c r="CE677" i="1"/>
  <c r="CE669" i="1"/>
  <c r="CE661" i="1"/>
  <c r="CE653" i="1"/>
  <c r="CE645" i="1"/>
  <c r="CE637" i="1"/>
  <c r="CE717" i="1"/>
  <c r="CE708" i="1"/>
  <c r="CE692" i="1"/>
  <c r="CE676" i="1"/>
  <c r="CE274" i="1"/>
  <c r="CE660" i="1"/>
  <c r="CE652" i="1"/>
  <c r="CE644" i="1"/>
  <c r="CE636" i="1"/>
  <c r="CE628" i="1"/>
  <c r="CE716" i="1"/>
  <c r="CE700" i="1"/>
  <c r="CE305" i="1"/>
  <c r="CE342" i="1"/>
  <c r="CE612" i="1"/>
  <c r="CE604" i="1"/>
  <c r="CE596" i="1"/>
  <c r="CE588" i="1"/>
  <c r="CE325" i="1"/>
  <c r="CE572" i="1"/>
  <c r="CE81" i="1"/>
  <c r="CE556" i="1"/>
  <c r="CE548" i="1"/>
  <c r="CE540" i="1"/>
  <c r="CE287" i="1"/>
  <c r="CE524" i="1"/>
  <c r="CE516" i="1"/>
  <c r="CE508" i="1"/>
  <c r="CE500" i="1"/>
  <c r="CE492" i="1"/>
  <c r="CE484" i="1"/>
  <c r="CE476" i="1"/>
  <c r="CE468" i="1"/>
  <c r="CE460" i="1"/>
  <c r="CE452" i="1"/>
  <c r="CE444" i="1"/>
  <c r="CE436" i="1"/>
  <c r="CE129" i="1"/>
  <c r="CE255" i="1"/>
  <c r="CE18" i="1"/>
  <c r="CE196" i="1"/>
  <c r="CE396" i="1"/>
  <c r="CE322" i="1"/>
  <c r="CE283" i="1"/>
  <c r="CE372" i="1"/>
  <c r="CE364" i="1"/>
  <c r="CE356" i="1"/>
  <c r="CE254" i="1"/>
  <c r="CE340" i="1"/>
  <c r="CE332" i="1"/>
  <c r="CE237" i="1"/>
  <c r="CE316" i="1"/>
  <c r="CE404" i="1"/>
  <c r="CE300" i="1"/>
  <c r="CE467" i="1"/>
  <c r="CE284" i="1"/>
  <c r="CE276" i="1"/>
  <c r="CE348" i="1"/>
  <c r="CE454" i="1"/>
  <c r="CE252" i="1"/>
  <c r="CE244" i="1"/>
  <c r="CE236" i="1"/>
  <c r="CE403" i="1"/>
  <c r="CE220" i="1"/>
  <c r="CE212" i="1"/>
  <c r="CE204" i="1"/>
  <c r="CE615" i="1"/>
  <c r="CE188" i="1"/>
  <c r="CE180" i="1"/>
  <c r="CE172" i="1"/>
  <c r="CE164" i="1"/>
  <c r="CE156" i="1"/>
  <c r="CE148" i="1"/>
  <c r="CE140" i="1"/>
  <c r="CE132" i="1"/>
  <c r="CE124" i="1"/>
  <c r="CE470" i="1"/>
  <c r="CE108" i="1"/>
  <c r="CE100" i="1"/>
  <c r="CE92" i="1"/>
  <c r="CE84" i="1"/>
  <c r="CE76" i="1"/>
  <c r="CE68" i="1"/>
  <c r="CE60" i="1"/>
  <c r="CE649" i="1"/>
  <c r="CE44" i="1"/>
  <c r="CE36" i="1"/>
  <c r="CE28" i="1"/>
  <c r="CE630" i="1"/>
  <c r="CE12" i="1"/>
  <c r="CE4" i="1"/>
  <c r="CE106" i="1"/>
  <c r="CE343" i="1"/>
  <c r="CE712" i="1"/>
  <c r="CE299" i="1"/>
  <c r="CE664" i="1"/>
  <c r="CE268" i="1"/>
  <c r="CE624" i="1"/>
  <c r="CE608" i="1"/>
  <c r="CE592" i="1"/>
  <c r="CE568" i="1"/>
  <c r="CE386" i="1"/>
  <c r="CE536" i="1"/>
  <c r="CE520" i="1"/>
  <c r="CE504" i="1"/>
  <c r="CE472" i="1"/>
  <c r="CE448" i="1"/>
  <c r="CE25" i="1"/>
  <c r="CE400" i="1"/>
  <c r="CE376" i="1"/>
  <c r="CE352" i="1"/>
  <c r="CE336" i="1"/>
  <c r="CE320" i="1"/>
  <c r="CE312" i="1"/>
  <c r="CE288" i="1"/>
  <c r="CE280" i="1"/>
  <c r="CE272" i="1"/>
  <c r="CE308" i="1"/>
  <c r="CE256" i="1"/>
  <c r="CE248" i="1"/>
  <c r="CE240" i="1"/>
  <c r="CE232" i="1"/>
  <c r="CE224" i="1"/>
  <c r="CE216" i="1"/>
  <c r="CE208" i="1"/>
  <c r="CE200" i="1"/>
  <c r="CE192" i="1"/>
  <c r="CE184" i="1"/>
  <c r="CE176" i="1"/>
  <c r="CE515" i="1"/>
  <c r="CE160" i="1"/>
  <c r="CE152" i="1"/>
  <c r="CE144" i="1"/>
  <c r="CE136" i="1"/>
  <c r="CE128" i="1"/>
  <c r="CE120" i="1"/>
  <c r="CE112" i="1"/>
  <c r="CE104" i="1"/>
  <c r="CE96" i="1"/>
  <c r="CE88" i="1"/>
  <c r="CE80" i="1"/>
  <c r="CE72" i="1"/>
  <c r="CE64" i="1"/>
  <c r="CE56" i="1"/>
  <c r="CE706" i="1"/>
  <c r="CE40" i="1"/>
  <c r="CE640" i="1"/>
  <c r="CE689" i="1"/>
  <c r="CE16" i="1"/>
  <c r="CE8" i="1"/>
  <c r="CE696" i="1"/>
  <c r="CE648" i="1"/>
  <c r="CE488" i="1"/>
  <c r="CE456" i="1"/>
  <c r="CE20" i="1"/>
  <c r="CE392" i="1"/>
  <c r="CE368" i="1"/>
  <c r="CE304" i="1"/>
  <c r="CE103" i="1"/>
  <c r="CE688" i="1"/>
  <c r="CE672" i="1"/>
  <c r="CE656" i="1"/>
  <c r="CE632" i="1"/>
  <c r="CE294" i="1"/>
  <c r="CE616" i="1"/>
  <c r="CE584" i="1"/>
  <c r="CE576" i="1"/>
  <c r="CE560" i="1"/>
  <c r="CE453" i="1"/>
  <c r="CE380" i="1"/>
  <c r="CE512" i="1"/>
  <c r="CE496" i="1"/>
  <c r="CE480" i="1"/>
  <c r="CE464" i="1"/>
  <c r="CE440" i="1"/>
  <c r="CE416" i="1"/>
  <c r="CE408" i="1"/>
  <c r="CE384" i="1"/>
  <c r="CE360" i="1"/>
  <c r="CE344" i="1"/>
  <c r="CE328" i="1"/>
  <c r="CE296" i="1"/>
  <c r="CE718" i="1"/>
  <c r="CE710" i="1"/>
  <c r="CE702" i="1"/>
  <c r="CE694" i="1"/>
  <c r="CE686" i="1"/>
  <c r="CE678" i="1"/>
  <c r="CE670" i="1"/>
  <c r="CE662" i="1"/>
  <c r="CE654" i="1"/>
  <c r="CE646" i="1"/>
  <c r="CE638" i="1"/>
  <c r="CE265" i="1"/>
  <c r="CE426" i="1"/>
  <c r="CE292" i="1"/>
  <c r="CE606" i="1"/>
  <c r="CE341" i="1"/>
  <c r="CE590" i="1"/>
  <c r="CE582" i="1"/>
  <c r="CE574" i="1"/>
  <c r="CE566" i="1"/>
  <c r="CE558" i="1"/>
  <c r="CE550" i="1"/>
  <c r="CE542" i="1"/>
  <c r="CE629" i="1"/>
  <c r="CE621" i="1"/>
  <c r="CE613" i="1"/>
  <c r="CE605" i="1"/>
  <c r="CE289" i="1"/>
  <c r="CE589" i="1"/>
  <c r="CE581" i="1"/>
  <c r="CE573" i="1"/>
  <c r="CE565" i="1"/>
  <c r="CE557" i="1"/>
  <c r="CE549" i="1"/>
  <c r="CE541" i="1"/>
  <c r="CE533" i="1"/>
  <c r="CE525" i="1"/>
  <c r="CE517" i="1"/>
  <c r="CE509" i="1"/>
  <c r="CE501" i="1"/>
  <c r="CE493" i="1"/>
  <c r="CE485" i="1"/>
  <c r="CE52" i="1"/>
  <c r="CE469" i="1"/>
  <c r="CE461" i="1"/>
  <c r="CE33" i="1"/>
  <c r="CE445" i="1"/>
  <c r="CE437" i="1"/>
  <c r="CE429" i="1"/>
  <c r="CE421" i="1"/>
  <c r="CE119" i="1"/>
  <c r="CE405" i="1"/>
  <c r="CE397" i="1"/>
  <c r="CE389" i="1"/>
  <c r="CE507" i="1"/>
  <c r="CE373" i="1"/>
  <c r="CE365" i="1"/>
  <c r="CE357" i="1"/>
  <c r="CE349" i="1"/>
  <c r="CE168" i="1"/>
  <c r="CE333" i="1"/>
  <c r="CE411" i="1"/>
  <c r="CE317" i="1"/>
  <c r="CE228" i="1"/>
  <c r="CE301" i="1"/>
  <c r="CE293" i="1"/>
  <c r="CE285" i="1"/>
  <c r="CE367" i="1"/>
  <c r="CE269" i="1"/>
  <c r="CE261" i="1"/>
  <c r="CE253" i="1"/>
  <c r="CE245" i="1"/>
  <c r="CE505" i="1"/>
  <c r="CE229" i="1"/>
  <c r="CE221" i="1"/>
  <c r="CE213" i="1"/>
  <c r="CE205" i="1"/>
  <c r="CE544" i="1"/>
  <c r="CE189" i="1"/>
  <c r="CE181" i="1"/>
  <c r="CE173" i="1"/>
  <c r="CE165" i="1"/>
  <c r="CE157" i="1"/>
  <c r="CE149" i="1"/>
  <c r="CE141" i="1"/>
  <c r="CE133" i="1"/>
  <c r="CE125" i="1"/>
  <c r="CE117" i="1"/>
  <c r="CE109" i="1"/>
  <c r="CE101" i="1"/>
  <c r="CE93" i="1"/>
  <c r="CE597" i="1"/>
  <c r="CE77" i="1"/>
  <c r="CE69" i="1"/>
  <c r="CE551" i="1"/>
  <c r="CE53" i="1"/>
  <c r="CE45" i="1"/>
  <c r="CE641" i="1"/>
  <c r="CE29" i="1"/>
  <c r="CE21" i="1"/>
  <c r="CE13" i="1"/>
  <c r="CE5" i="1"/>
  <c r="CE683" i="1"/>
  <c r="CE715" i="1"/>
  <c r="CE691" i="1"/>
  <c r="CE699" i="1"/>
  <c r="CE707" i="1"/>
  <c r="CE675" i="1"/>
  <c r="CE667" i="1"/>
  <c r="CE659" i="1"/>
  <c r="CE651" i="1"/>
  <c r="CE643" i="1"/>
  <c r="CE635" i="1"/>
  <c r="CE627" i="1"/>
  <c r="CE85" i="1"/>
  <c r="CE611" i="1"/>
  <c r="CE603" i="1"/>
  <c r="CE595" i="1"/>
  <c r="CE587" i="1"/>
  <c r="CE579" i="1"/>
  <c r="CE571" i="1"/>
  <c r="CE563" i="1"/>
  <c r="CE555" i="1"/>
  <c r="CE547" i="1"/>
  <c r="CE539" i="1"/>
  <c r="CE531" i="1"/>
  <c r="CE523" i="1"/>
  <c r="CE420" i="1"/>
  <c r="CE66" i="1"/>
  <c r="CE62" i="1"/>
  <c r="CE197" i="1"/>
  <c r="CE483" i="1"/>
  <c r="CE48" i="1"/>
  <c r="CE418" i="1"/>
  <c r="CE459" i="1"/>
  <c r="CE451" i="1"/>
  <c r="CE443" i="1"/>
  <c r="CE32" i="1"/>
  <c r="CE427" i="1"/>
  <c r="CE419" i="1"/>
  <c r="CE9" i="1"/>
  <c r="CE116" i="1"/>
  <c r="CE413" i="1"/>
  <c r="CE387" i="1"/>
  <c r="CE379" i="1"/>
  <c r="CE371" i="1"/>
  <c r="CE363" i="1"/>
  <c r="CE355" i="1"/>
  <c r="CE347" i="1"/>
  <c r="CE339" i="1"/>
  <c r="CE331" i="1"/>
  <c r="CE323" i="1"/>
  <c r="CE234" i="1"/>
  <c r="CE307" i="1"/>
  <c r="CE309" i="1"/>
  <c r="CE291" i="1"/>
  <c r="CE564" i="1"/>
  <c r="CE275" i="1"/>
  <c r="CE267" i="1"/>
  <c r="CE259" i="1"/>
  <c r="CE251" i="1"/>
  <c r="CE243" i="1"/>
  <c r="CE235" i="1"/>
  <c r="CE227" i="1"/>
  <c r="CE219" i="1"/>
  <c r="CE211" i="1"/>
  <c r="CE203" i="1"/>
  <c r="CE195" i="1"/>
  <c r="CE187" i="1"/>
  <c r="CE179" i="1"/>
  <c r="CE171" i="1"/>
  <c r="CE163" i="1"/>
  <c r="CE155" i="1"/>
  <c r="CE147" i="1"/>
  <c r="CE139" i="1"/>
  <c r="CE131" i="1"/>
  <c r="CE532" i="1"/>
  <c r="CE115" i="1"/>
  <c r="CE107" i="1"/>
  <c r="CE99" i="1"/>
  <c r="CE91" i="1"/>
  <c r="CE83" i="1"/>
  <c r="CE75" i="1"/>
  <c r="CE67" i="1"/>
  <c r="CE59" i="1"/>
  <c r="CE51" i="1"/>
  <c r="CE43" i="1"/>
  <c r="CE35" i="1"/>
  <c r="CE27" i="1"/>
  <c r="CE704" i="1"/>
  <c r="CE11" i="1"/>
  <c r="CE619" i="1"/>
  <c r="CE698" i="1"/>
  <c r="CE674" i="1"/>
  <c r="CE658" i="1"/>
  <c r="CE642" i="1"/>
  <c r="CE626" i="1"/>
  <c r="CE610" i="1"/>
  <c r="CE594" i="1"/>
  <c r="CE578" i="1"/>
  <c r="CE264" i="1"/>
  <c r="CE546" i="1"/>
  <c r="CE530" i="1"/>
  <c r="CE435" i="1"/>
  <c r="CE61" i="1"/>
  <c r="CE482" i="1"/>
  <c r="CE466" i="1"/>
  <c r="CE450" i="1"/>
  <c r="CE434" i="1"/>
  <c r="CE123" i="1"/>
  <c r="CE402" i="1"/>
  <c r="CE518" i="1"/>
  <c r="CE370" i="1"/>
  <c r="CE446" i="1"/>
  <c r="CE338" i="1"/>
  <c r="CE318" i="1"/>
  <c r="CE282" i="1"/>
  <c r="CE290" i="1"/>
  <c r="CE354" i="1"/>
  <c r="CE266" i="1"/>
  <c r="CE242" i="1"/>
  <c r="CE226" i="1"/>
  <c r="CE210" i="1"/>
  <c r="CE202" i="1"/>
  <c r="CE186" i="1"/>
  <c r="CE170" i="1"/>
  <c r="CE154" i="1"/>
  <c r="CE122" i="1"/>
  <c r="CE214" i="1"/>
  <c r="CE682" i="1"/>
  <c r="CE666" i="1"/>
  <c r="CE650" i="1"/>
  <c r="CE634" i="1"/>
  <c r="CE618" i="1"/>
  <c r="CE602" i="1"/>
  <c r="CE329" i="1"/>
  <c r="CE570" i="1"/>
  <c r="CE554" i="1"/>
  <c r="CE538" i="1"/>
  <c r="CE522" i="1"/>
  <c r="CE506" i="1"/>
  <c r="CE490" i="1"/>
  <c r="CE474" i="1"/>
  <c r="CE458" i="1"/>
  <c r="CE442" i="1"/>
  <c r="CE24" i="1"/>
  <c r="CE410" i="1"/>
  <c r="CE394" i="1"/>
  <c r="CE378" i="1"/>
  <c r="CE362" i="1"/>
  <c r="CE346" i="1"/>
  <c r="CE330" i="1"/>
  <c r="CE314" i="1"/>
  <c r="CE142" i="1"/>
  <c r="CE225" i="1"/>
  <c r="CE258" i="1"/>
  <c r="CE250" i="1"/>
  <c r="CE306" i="1"/>
  <c r="CE218" i="1"/>
  <c r="CE194" i="1"/>
  <c r="CE475" i="1"/>
  <c r="CE162" i="1"/>
  <c r="CE146" i="1"/>
  <c r="CE534" i="1"/>
  <c r="CE130" i="1"/>
  <c r="CE114" i="1"/>
  <c r="CE528" i="1"/>
  <c r="CE98" i="1"/>
  <c r="CE90" i="1"/>
  <c r="CE82" i="1"/>
  <c r="CE74" i="1"/>
  <c r="CE477" i="1"/>
  <c r="CE58" i="1"/>
  <c r="CE50" i="1"/>
  <c r="CE42" i="1"/>
  <c r="CE34" i="1"/>
  <c r="CE26" i="1"/>
  <c r="CE622" i="1"/>
  <c r="CE10" i="1"/>
  <c r="CE713" i="1"/>
  <c r="CE705" i="1"/>
  <c r="CE697" i="1"/>
  <c r="CE86" i="1"/>
  <c r="CE681" i="1"/>
  <c r="CE673" i="1"/>
  <c r="CE665" i="1"/>
  <c r="CE657" i="1"/>
  <c r="CE428" i="1"/>
  <c r="CE298" i="1"/>
  <c r="CE633" i="1"/>
  <c r="CE625" i="1"/>
  <c r="CE617" i="1"/>
  <c r="CE609" i="1"/>
  <c r="CE601" i="1"/>
  <c r="CE388" i="1"/>
  <c r="CE585" i="1"/>
  <c r="CE577" i="1"/>
  <c r="CE569" i="1"/>
  <c r="CE561" i="1"/>
  <c r="CE553" i="1"/>
  <c r="CE73" i="1"/>
  <c r="CE537" i="1"/>
  <c r="CE529" i="1"/>
  <c r="CE521" i="1"/>
  <c r="CE513" i="1"/>
  <c r="CE63" i="1"/>
  <c r="CE497" i="1"/>
  <c r="CE260" i="1"/>
  <c r="CE481" i="1"/>
  <c r="CE719" i="1"/>
  <c r="CE711" i="1"/>
  <c r="CE703" i="1"/>
  <c r="CE695" i="1"/>
  <c r="CE687" i="1"/>
  <c r="CE679" i="1"/>
  <c r="CE671" i="1"/>
  <c r="CE663" i="1"/>
  <c r="CE655" i="1"/>
  <c r="CE647" i="1"/>
  <c r="CE639" i="1"/>
  <c r="CE631" i="1"/>
  <c r="CE623" i="1"/>
  <c r="CE424" i="1"/>
  <c r="CE607" i="1"/>
  <c r="CE599" i="1"/>
  <c r="CE591" i="1"/>
  <c r="CE583" i="1"/>
  <c r="CE575" i="1"/>
  <c r="CE567" i="1"/>
  <c r="CE559" i="1"/>
  <c r="CE422" i="1"/>
  <c r="CE543" i="1"/>
  <c r="CE535" i="1"/>
  <c r="CE527" i="1"/>
  <c r="CE519" i="1"/>
  <c r="CE511" i="1"/>
  <c r="CE503" i="1"/>
  <c r="CE495" i="1"/>
  <c r="CE487" i="1"/>
  <c r="CE55" i="1"/>
  <c r="CE381" i="1"/>
  <c r="CE324" i="1"/>
  <c r="CE71" i="1"/>
  <c r="CE510" i="1"/>
  <c r="CE502" i="1"/>
  <c r="CE494" i="1"/>
  <c r="CE486" i="1"/>
  <c r="CE478" i="1"/>
  <c r="CE37" i="1"/>
  <c r="CE462" i="1"/>
  <c r="CE526" i="1"/>
  <c r="CE138" i="1"/>
  <c r="CE438" i="1"/>
  <c r="CE430" i="1"/>
  <c r="CE19" i="1"/>
  <c r="CE414" i="1"/>
  <c r="CE406" i="1"/>
  <c r="CE398" i="1"/>
  <c r="CE390" i="1"/>
  <c r="CE382" i="1"/>
  <c r="CE374" i="1"/>
  <c r="CE366" i="1"/>
  <c r="CE358" i="1"/>
  <c r="CE350" i="1"/>
  <c r="CE3" i="1"/>
  <c r="CE334" i="1"/>
  <c r="CE326" i="1"/>
  <c r="CE315" i="1"/>
  <c r="CE310" i="1"/>
  <c r="CE302" i="1"/>
  <c r="CE545" i="1"/>
  <c r="CE286" i="1"/>
  <c r="CE278" i="1"/>
  <c r="CE270" i="1"/>
  <c r="CE262" i="1"/>
  <c r="CE345" i="1"/>
  <c r="CE246" i="1"/>
  <c r="CE238" i="1"/>
  <c r="CE230" i="1"/>
  <c r="CE222" i="1"/>
  <c r="CE499" i="1"/>
  <c r="CE206" i="1"/>
  <c r="CE198" i="1"/>
  <c r="CE190" i="1"/>
  <c r="CE182" i="1"/>
  <c r="CE174" i="1"/>
  <c r="CE166" i="1"/>
  <c r="CE491" i="1"/>
  <c r="CE150" i="1"/>
  <c r="CE465" i="1"/>
  <c r="CE134" i="1"/>
  <c r="CE126" i="1"/>
  <c r="CE118" i="1"/>
  <c r="CE110" i="1"/>
  <c r="CE102" i="1"/>
  <c r="CE94" i="1"/>
  <c r="CE714" i="1"/>
  <c r="CE78" i="1"/>
  <c r="CE70" i="1"/>
  <c r="CE680" i="1"/>
  <c r="CE54" i="1"/>
  <c r="CE46" i="1"/>
  <c r="CE38" i="1"/>
  <c r="CE30" i="1"/>
  <c r="CE22" i="1"/>
  <c r="CE14" i="1"/>
  <c r="CE6" i="1"/>
  <c r="CE473" i="1"/>
  <c r="CE432" i="1"/>
  <c r="CE457" i="1"/>
  <c r="CE449" i="1"/>
  <c r="CE441" i="1"/>
  <c r="CE433" i="1"/>
  <c r="CE425" i="1"/>
  <c r="CE417" i="1"/>
  <c r="CE409" i="1"/>
  <c r="CE401" i="1"/>
  <c r="CE393" i="1"/>
  <c r="CE385" i="1"/>
  <c r="CE377" i="1"/>
  <c r="CE369" i="1"/>
  <c r="CE361" i="1"/>
  <c r="CE353" i="1"/>
  <c r="CE183" i="1"/>
  <c r="CE337" i="1"/>
  <c r="CE412" i="1"/>
  <c r="CE321" i="1"/>
  <c r="CE313" i="1"/>
  <c r="CE685" i="1"/>
  <c r="CE297" i="1"/>
  <c r="CE580" i="1"/>
  <c r="CE281" i="1"/>
  <c r="CE273" i="1"/>
  <c r="CE562" i="1"/>
  <c r="CE257" i="1"/>
  <c r="CE249" i="1"/>
  <c r="CE241" i="1"/>
  <c r="CE233" i="1"/>
  <c r="CE395" i="1"/>
  <c r="CE217" i="1"/>
  <c r="CE209" i="1"/>
  <c r="CE201" i="1"/>
  <c r="CE193" i="1"/>
  <c r="CE185" i="1"/>
  <c r="CE177" i="1"/>
  <c r="CE169" i="1"/>
  <c r="CE161" i="1"/>
  <c r="CE153" i="1"/>
  <c r="CE145" i="1"/>
  <c r="CE137" i="1"/>
  <c r="CE600" i="1"/>
  <c r="CE121" i="1"/>
  <c r="CE113" i="1"/>
  <c r="CE105" i="1"/>
  <c r="CE97" i="1"/>
  <c r="CE89" i="1"/>
  <c r="CE489" i="1"/>
  <c r="CE593" i="1"/>
  <c r="CE65" i="1"/>
  <c r="CE57" i="1"/>
  <c r="CE49" i="1"/>
  <c r="CE41" i="1"/>
  <c r="CE586" i="1"/>
  <c r="CE690" i="1"/>
  <c r="CE17" i="1"/>
  <c r="CE620" i="1"/>
  <c r="CE471" i="1"/>
  <c r="CE463" i="1"/>
  <c r="CE455" i="1"/>
  <c r="CE447" i="1"/>
  <c r="CE439" i="1"/>
  <c r="CE431" i="1"/>
  <c r="CE423" i="1"/>
  <c r="CE415" i="1"/>
  <c r="CE407" i="1"/>
  <c r="CE399" i="1"/>
  <c r="CE391" i="1"/>
  <c r="CE383" i="1"/>
  <c r="CE158" i="1"/>
  <c r="CE191" i="1"/>
  <c r="CE359" i="1"/>
  <c r="CE351" i="1"/>
  <c r="CE178" i="1"/>
  <c r="CE335" i="1"/>
  <c r="CE327" i="1"/>
  <c r="CE319" i="1"/>
  <c r="CE311" i="1"/>
  <c r="CE303" i="1"/>
  <c r="CE295" i="1"/>
  <c r="CE375" i="1"/>
  <c r="CE279" i="1"/>
  <c r="CE271" i="1"/>
  <c r="CE263" i="1"/>
  <c r="CE277" i="1"/>
  <c r="CE247" i="1"/>
  <c r="CE239" i="1"/>
  <c r="CE231" i="1"/>
  <c r="CE223" i="1"/>
  <c r="CE215" i="1"/>
  <c r="CE207" i="1"/>
  <c r="CE199" i="1"/>
  <c r="CE498" i="1"/>
  <c r="CE614" i="1"/>
  <c r="CE175" i="1"/>
  <c r="CE167" i="1"/>
  <c r="CE159" i="1"/>
  <c r="CE151" i="1"/>
  <c r="CE143" i="1"/>
  <c r="CE135" i="1"/>
  <c r="CE127" i="1"/>
  <c r="CE552" i="1"/>
  <c r="CE111" i="1"/>
  <c r="CE598" i="1"/>
  <c r="CE95" i="1"/>
  <c r="CE87" i="1"/>
  <c r="CE79" i="1"/>
  <c r="CE479" i="1"/>
  <c r="CE684" i="1"/>
  <c r="CE668" i="1"/>
  <c r="CE47" i="1"/>
  <c r="CE39" i="1"/>
  <c r="CE31" i="1"/>
  <c r="CE23" i="1"/>
  <c r="CE15" i="1"/>
  <c r="CE7" i="1"/>
  <c r="C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<sst xmlns="http://schemas.openxmlformats.org/spreadsheetml/2006/main" count="30567" uniqueCount="4054">
  <si>
    <t>Case No.</t>
  </si>
  <si>
    <t>Description</t>
  </si>
  <si>
    <t>Component ID</t>
  </si>
  <si>
    <t>Confirmation Type</t>
  </si>
  <si>
    <t>Days at SAP</t>
  </si>
  <si>
    <t>Days at Customer</t>
  </si>
  <si>
    <t>Error Category</t>
  </si>
  <si>
    <t>Error Subcategory</t>
  </si>
  <si>
    <t>Account ID</t>
  </si>
  <si>
    <t>Age</t>
  </si>
  <si>
    <t>Case ID</t>
  </si>
  <si>
    <t>Change Date</t>
  </si>
  <si>
    <t>Closing Date</t>
  </si>
  <si>
    <t>Closing Month</t>
  </si>
  <si>
    <t>Closing Quarter</t>
  </si>
  <si>
    <t>Closing Week</t>
  </si>
  <si>
    <t>Closing Year</t>
  </si>
  <si>
    <t>Component</t>
  </si>
  <si>
    <t>Creation Date</t>
  </si>
  <si>
    <t>Creation Month</t>
  </si>
  <si>
    <t>Creation Quarter</t>
  </si>
  <si>
    <t>Creation Week</t>
  </si>
  <si>
    <t>Creation Year</t>
  </si>
  <si>
    <t>Customer Name</t>
  </si>
  <si>
    <t>Customer No.</t>
  </si>
  <si>
    <t>Days in Total</t>
  </si>
  <si>
    <t>Deployment Type</t>
  </si>
  <si>
    <t>Initial Component</t>
  </si>
  <si>
    <t>Initial Component ID</t>
  </si>
  <si>
    <t>Initial Priority</t>
  </si>
  <si>
    <t>Input Channel</t>
  </si>
  <si>
    <t>Installation Name</t>
  </si>
  <si>
    <t>Installation No.</t>
  </si>
  <si>
    <t>Is Open</t>
  </si>
  <si>
    <t>Is Reopened</t>
  </si>
  <si>
    <t>Link to Case</t>
  </si>
  <si>
    <t>Months Since Confirmation</t>
  </si>
  <si>
    <t>Months Since Creation</t>
  </si>
  <si>
    <t>No. of Cases</t>
  </si>
  <si>
    <t>No. of Cases (Last 6 Months)</t>
  </si>
  <si>
    <t>No. of Closed Cases</t>
  </si>
  <si>
    <t>No. of Closed Cases (Last 6 Months)</t>
  </si>
  <si>
    <t>No. of Closed High</t>
  </si>
  <si>
    <t>No. of Closed Low</t>
  </si>
  <si>
    <t>No. of Closed Medium</t>
  </si>
  <si>
    <t>No. of Closed Very High</t>
  </si>
  <si>
    <t>No. of Confirmed Automatically</t>
  </si>
  <si>
    <t>No. of Confirmed Manually</t>
  </si>
  <si>
    <t>No. of High</t>
  </si>
  <si>
    <t>No. of Low</t>
  </si>
  <si>
    <t>No. of Medium</t>
  </si>
  <si>
    <t>No. of Non-Productive</t>
  </si>
  <si>
    <t>No. of Open Cases</t>
  </si>
  <si>
    <t>No. of Productive</t>
  </si>
  <si>
    <t>No. of Reopenings</t>
  </si>
  <si>
    <t>No. of Very High</t>
  </si>
  <si>
    <t>Partner</t>
  </si>
  <si>
    <t>Priority</t>
  </si>
  <si>
    <t>Priority Level</t>
  </si>
  <si>
    <t>Processed by Partner</t>
  </si>
  <si>
    <t>Reporter Type</t>
  </si>
  <si>
    <t>Required Action By</t>
  </si>
  <si>
    <t>Software Product</t>
  </si>
  <si>
    <t>Software Product ID</t>
  </si>
  <si>
    <t>Solution Area</t>
  </si>
  <si>
    <t>Solution Area ID</t>
  </si>
  <si>
    <t>Status</t>
  </si>
  <si>
    <t>Sub-Solution Area</t>
  </si>
  <si>
    <t>Sub-Solution Area ID</t>
  </si>
  <si>
    <t>Support Contract Code</t>
  </si>
  <si>
    <t>System ID</t>
  </si>
  <si>
    <t>System No.</t>
  </si>
  <si>
    <t>System Role</t>
  </si>
  <si>
    <t>System Role ID</t>
  </si>
  <si>
    <t>Top Priority</t>
  </si>
  <si>
    <t>0000460822</t>
  </si>
  <si>
    <t>HTTP Client is not connected.-Poland E Invoice</t>
  </si>
  <si>
    <t>CA-GTF-CSC-EDO-PL</t>
  </si>
  <si>
    <t>Manual</t>
  </si>
  <si>
    <t>Customer / Partner Issue</t>
  </si>
  <si>
    <t>Configuration</t>
  </si>
  <si>
    <t>0012569236</t>
  </si>
  <si>
    <t>002075129400004608222026</t>
  </si>
  <si>
    <t>202604</t>
  </si>
  <si>
    <t>20262</t>
  </si>
  <si>
    <t>202615</t>
  </si>
  <si>
    <t>2026</t>
  </si>
  <si>
    <t>Document Compliance Poland</t>
  </si>
  <si>
    <t>Damco International A/S</t>
  </si>
  <si>
    <t>0001222320</t>
  </si>
  <si>
    <t>On-Premise</t>
  </si>
  <si>
    <t>High</t>
  </si>
  <si>
    <t>Portal</t>
  </si>
  <si>
    <t>Damco Fact R/3 tech instal.</t>
  </si>
  <si>
    <t>0020768278</t>
  </si>
  <si>
    <t>https://me.sap.com/case/002075129400004608222026</t>
  </si>
  <si>
    <t>Customer</t>
  </si>
  <si>
    <t>SAP NetWeaver</t>
  </si>
  <si>
    <t>SAP NETWEAVER</t>
  </si>
  <si>
    <t>Data &amp; AI</t>
  </si>
  <si>
    <t>SADA.2026</t>
  </si>
  <si>
    <t>Confirmed</t>
  </si>
  <si>
    <t>Data &amp; Analytics Private</t>
  </si>
  <si>
    <t>SABTPPRI.2026</t>
  </si>
  <si>
    <t>PSLE</t>
  </si>
  <si>
    <t>RR1</t>
  </si>
  <si>
    <t>000000000800678097</t>
  </si>
  <si>
    <t>Test</t>
  </si>
  <si>
    <t>TEST</t>
  </si>
  <si>
    <t>0000451448</t>
  </si>
  <si>
    <t>Chinese Date IES capture issue</t>
  </si>
  <si>
    <t>XX-PART-OPT-CAP</t>
  </si>
  <si>
    <t>3rd Party Product Issue</t>
  </si>
  <si>
    <t>Not Specified</t>
  </si>
  <si>
    <t>0001253019</t>
  </si>
  <si>
    <t>002075129400004514482026</t>
  </si>
  <si>
    <t>SAP Information Capture by OpenText</t>
  </si>
  <si>
    <t>A. P. Møller - Mærsk A/S</t>
  </si>
  <si>
    <t>0000613535</t>
  </si>
  <si>
    <t>S4 HANA</t>
  </si>
  <si>
    <t>0021121884</t>
  </si>
  <si>
    <t>https://me.sap.com/case/002075129400004514482026</t>
  </si>
  <si>
    <t>X</t>
  </si>
  <si>
    <t>SAP S/4HANA</t>
  </si>
  <si>
    <t>Cloud ERP Private</t>
  </si>
  <si>
    <t>SAS4HANA.2026</t>
  </si>
  <si>
    <t>SAEM.2026</t>
  </si>
  <si>
    <t>PSLE / MA / MA4 / SLA</t>
  </si>
  <si>
    <t>NR7</t>
  </si>
  <si>
    <t>000000000800580497</t>
  </si>
  <si>
    <t>0000422424</t>
  </si>
  <si>
    <t>Unable to export data from the converted story</t>
  </si>
  <si>
    <t>LOD-ANA-DES</t>
  </si>
  <si>
    <t>Others</t>
  </si>
  <si>
    <t>Closed by customer</t>
  </si>
  <si>
    <t>002075129500004224242026</t>
  </si>
  <si>
    <t>202614</t>
  </si>
  <si>
    <t>Story Design &amp; Visualizations</t>
  </si>
  <si>
    <t>Public Cloud</t>
  </si>
  <si>
    <t>Medium</t>
  </si>
  <si>
    <t>SAP ANALYTICS CLOUD</t>
  </si>
  <si>
    <t>0090415226</t>
  </si>
  <si>
    <t>https://me.sap.com/case/002075129500004224242026</t>
  </si>
  <si>
    <t>SAP Analytics Cloud</t>
  </si>
  <si>
    <t>C4P</t>
  </si>
  <si>
    <t>BDC Public</t>
  </si>
  <si>
    <t>SADBDM.2026</t>
  </si>
  <si>
    <t>CES / MA / MA4 / SLA</t>
  </si>
  <si>
    <t>CLOUD</t>
  </si>
  <si>
    <t>000000000743332202</t>
  </si>
  <si>
    <t>Productive</t>
  </si>
  <si>
    <t>PROD</t>
  </si>
  <si>
    <t>0000424055</t>
  </si>
  <si>
    <t>Control Self Assessment forwad option not available</t>
  </si>
  <si>
    <t>GRC-SPC-SA</t>
  </si>
  <si>
    <t>How-to-request</t>
  </si>
  <si>
    <t>002075129500004240552026</t>
  </si>
  <si>
    <t>Survey and Assessment</t>
  </si>
  <si>
    <t>Low</t>
  </si>
  <si>
    <t>SAP PO on HANA</t>
  </si>
  <si>
    <t>0021121885</t>
  </si>
  <si>
    <t>https://me.sap.com/case/002075129500004240552026</t>
  </si>
  <si>
    <t>SAP NetWeaver Application Server for ABAP innovation package</t>
  </si>
  <si>
    <t>NW AS ABAP INNOVATION PACKAGE</t>
  </si>
  <si>
    <t>NG1</t>
  </si>
  <si>
    <t>000000000850455612</t>
  </si>
  <si>
    <t>Development</t>
  </si>
  <si>
    <t>DEVELOP</t>
  </si>
  <si>
    <t>0000416287</t>
  </si>
  <si>
    <t>GETWA_NOT_ASSIGNED Dump while dispute creation</t>
  </si>
  <si>
    <t>TM-FRS-DM</t>
  </si>
  <si>
    <t>002075129500004162872026</t>
  </si>
  <si>
    <t>Freight Settlement Dispute Management</t>
  </si>
  <si>
    <t>https://me.sap.com/case/002075129500004162872026</t>
  </si>
  <si>
    <t>NS5</t>
  </si>
  <si>
    <t>000000000800515266</t>
  </si>
  <si>
    <t>0000428754</t>
  </si>
  <si>
    <t>PL03-Incoming Invoices and Outgoing Invoices Failing since 13.03.2026</t>
  </si>
  <si>
    <t>Consulting / implementation request</t>
  </si>
  <si>
    <t>002075129400004287542026</t>
  </si>
  <si>
    <t>202603</t>
  </si>
  <si>
    <t>20261</t>
  </si>
  <si>
    <t>Very High</t>
  </si>
  <si>
    <t>https://me.sap.com/case/002075129400004287542026</t>
  </si>
  <si>
    <t>SAP ERP</t>
  </si>
  <si>
    <t>RP1</t>
  </si>
  <si>
    <t>000000000311988029</t>
  </si>
  <si>
    <t>0000415017</t>
  </si>
  <si>
    <t>Spain SII-EDOCUMENT_ESSII_FICA001-EDOC_ESII</t>
  </si>
  <si>
    <t>FI-LOC-CA-XX</t>
  </si>
  <si>
    <t>SAP Product Issue</t>
  </si>
  <si>
    <t>Known coding issue (SAP Note exists)</t>
  </si>
  <si>
    <t>002075129400004150172026</t>
  </si>
  <si>
    <t>202616</t>
  </si>
  <si>
    <t>Cross-Country</t>
  </si>
  <si>
    <t>202613</t>
  </si>
  <si>
    <t>Spain</t>
  </si>
  <si>
    <t>CA-GTF-CSC-EDO-ES</t>
  </si>
  <si>
    <t>https://me.sap.com/case/002075129400004150172026</t>
  </si>
  <si>
    <t>NR6</t>
  </si>
  <si>
    <t>000000000800580445</t>
  </si>
  <si>
    <t>0000409215</t>
  </si>
  <si>
    <t>Runtime error while updating /OPT/VIM_8HEAD Table</t>
  </si>
  <si>
    <t>XX-PART-OPT-INV</t>
  </si>
  <si>
    <t>002075129400004092152026</t>
  </si>
  <si>
    <t>SAP Invoice Management by OpenText</t>
  </si>
  <si>
    <t>https://me.sap.com/case/002075129400004092152026</t>
  </si>
  <si>
    <t>NR5</t>
  </si>
  <si>
    <t>000000000800617997</t>
  </si>
  <si>
    <t>0000400349</t>
  </si>
  <si>
    <t>Extra material lines extracted in Production though Training extraction is correct</t>
  </si>
  <si>
    <t>BW-BCT-EC</t>
  </si>
  <si>
    <t>002075129400004003492026</t>
  </si>
  <si>
    <t>BW only - Enterprise Controlling</t>
  </si>
  <si>
    <t>https://me.sap.com/case/002075129400004003492026</t>
  </si>
  <si>
    <t>0000384670</t>
  </si>
  <si>
    <t>Transport Request Import Experiencing Excessive Processing Time</t>
  </si>
  <si>
    <t>BC-DWB-DIC</t>
  </si>
  <si>
    <t>002075129500003846702026</t>
  </si>
  <si>
    <t>ABAP Dictionary and ABAP CDS</t>
  </si>
  <si>
    <t>Credit Management</t>
  </si>
  <si>
    <t>FIN-FSCM-CR</t>
  </si>
  <si>
    <t>https://me.sap.com/case/002075129500003846702026</t>
  </si>
  <si>
    <t>0000376717</t>
  </si>
  <si>
    <t>PO output form is not being triggered every time the header text is updated.</t>
  </si>
  <si>
    <t>MM-PUR-GF-OC</t>
  </si>
  <si>
    <t>002075129500003767172026</t>
  </si>
  <si>
    <t>Message determination and printing</t>
  </si>
  <si>
    <t>https://me.sap.com/case/002075129500003767172026</t>
  </si>
  <si>
    <t>0000389962</t>
  </si>
  <si>
    <t>Specific statement hash 130f747d2e26a30e900933532f8319ea consuming more memory</t>
  </si>
  <si>
    <t>HAN-DB-PERF</t>
  </si>
  <si>
    <t>002075129400003899622026</t>
  </si>
  <si>
    <t>SAP HANA Database Performance</t>
  </si>
  <si>
    <t>https://me.sap.com/case/002075129400003899622026</t>
  </si>
  <si>
    <t>0000370416</t>
  </si>
  <si>
    <t>Execute report as per 796863/2025</t>
  </si>
  <si>
    <t>FI-RA-CP</t>
  </si>
  <si>
    <t>Automatic</t>
  </si>
  <si>
    <t>002075129500003704162026</t>
  </si>
  <si>
    <t>Revenue Accounting Contract Processing</t>
  </si>
  <si>
    <t>https://me.sap.com/case/002075129500003704162026</t>
  </si>
  <si>
    <t>Auto Confirmed</t>
  </si>
  <si>
    <t>0000373479</t>
  </si>
  <si>
    <t>SAP Note 3559818 throwing error for object  VIEWFRAM_SNV_AO_GENERIC &amp; VIEWPROC_SNV_AO_GENERIC</t>
  </si>
  <si>
    <t>FI-LOC-CER-AO-SAF</t>
  </si>
  <si>
    <t>002075129500003734792026</t>
  </si>
  <si>
    <t>SAF-T</t>
  </si>
  <si>
    <t>https://me.sap.com/case/002075129500003734792026</t>
  </si>
  <si>
    <t>0000375374</t>
  </si>
  <si>
    <t>NS5: Performance Issue</t>
  </si>
  <si>
    <t>Service Request</t>
  </si>
  <si>
    <t>Other service request</t>
  </si>
  <si>
    <t>002075129500003753742026</t>
  </si>
  <si>
    <t>https://me.sap.com/case/002075129500003753742026</t>
  </si>
  <si>
    <t>0000385616</t>
  </si>
  <si>
    <t>Sharepoint connection broken after Migrated SharePoint Connector Authentication from ACS to MicrosoftEntra ID in SAC</t>
  </si>
  <si>
    <t>LOD-ANA-AQU-CLD</t>
  </si>
  <si>
    <t>002075129400003856162026</t>
  </si>
  <si>
    <t>Data acquisition from Cloud-based (non-OData) sources</t>
  </si>
  <si>
    <t>202612</t>
  </si>
  <si>
    <t>https://me.sap.com/case/002075129400003856162026</t>
  </si>
  <si>
    <t>000000000741279284</t>
  </si>
  <si>
    <t>0000376679</t>
  </si>
  <si>
    <t>CONCUR Tax code issue</t>
  </si>
  <si>
    <t>BNS-CON-SE-S4-FIN</t>
  </si>
  <si>
    <t>002075129400003766792026</t>
  </si>
  <si>
    <t>Concur S/4HANA Financial Integration</t>
  </si>
  <si>
    <t>https://me.sap.com/case/002075129400003766792026</t>
  </si>
  <si>
    <t>0000371543</t>
  </si>
  <si>
    <t>Migrate Your SharePoint Connector Authentication from ACS to Microsoft Entra ID</t>
  </si>
  <si>
    <t>LOD-OCN-SRV</t>
  </si>
  <si>
    <t>002075129400003715432026</t>
  </si>
  <si>
    <t>Service</t>
  </si>
  <si>
    <t>SAP CLOUD PLATFORM</t>
  </si>
  <si>
    <t>0090415225</t>
  </si>
  <si>
    <t>https://me.sap.com/case/002075129400003715432026</t>
  </si>
  <si>
    <t>SAP Integration Suite</t>
  </si>
  <si>
    <t>ISUITE</t>
  </si>
  <si>
    <t>Business Technology Platform</t>
  </si>
  <si>
    <t>SABTP.2026</t>
  </si>
  <si>
    <t>SAINS.2026</t>
  </si>
  <si>
    <t>000000000743572135</t>
  </si>
  <si>
    <t>0000353679</t>
  </si>
  <si>
    <t>QA Code extraction not working for India case</t>
  </si>
  <si>
    <t>002075129500003536792026</t>
  </si>
  <si>
    <t>https://me.sap.com/case/002075129500003536792026</t>
  </si>
  <si>
    <t>0000366569</t>
  </si>
  <si>
    <t>DJ04_Revaluation exchange Rate issue</t>
  </si>
  <si>
    <t>FI-GL-GL-G</t>
  </si>
  <si>
    <t>Improper user handling</t>
  </si>
  <si>
    <t>002075129400003665692026</t>
  </si>
  <si>
    <t>Closing Operations / Period-End</t>
  </si>
  <si>
    <t>https://me.sap.com/case/002075129400003665692026</t>
  </si>
  <si>
    <t>0000345459</t>
  </si>
  <si>
    <t>Fiori Work Inbox Tile not working</t>
  </si>
  <si>
    <t>GRC-FIO-SPC</t>
  </si>
  <si>
    <t>002075129500003454592026</t>
  </si>
  <si>
    <t>Fiori Apps for Process Control</t>
  </si>
  <si>
    <t>Automated Controls</t>
  </si>
  <si>
    <t>GRC-SPC-AC</t>
  </si>
  <si>
    <t>https://me.sap.com/case/002075129500003454592026</t>
  </si>
  <si>
    <t>0000345779</t>
  </si>
  <si>
    <t>Dump while executing GRFN_REPLACEMENT_MASS_ACTIVATE</t>
  </si>
  <si>
    <t>002075129500003457792026</t>
  </si>
  <si>
    <t>https://me.sap.com/case/002075129500003457792026</t>
  </si>
  <si>
    <t>0000347127</t>
  </si>
  <si>
    <t>S_ALR_87100833  for italy VAT register-BRIM/FICA</t>
  </si>
  <si>
    <t>Product complexity / usability</t>
  </si>
  <si>
    <t>002075129500003471272026</t>
  </si>
  <si>
    <t>Contract Accounts Receivable and Payable</t>
  </si>
  <si>
    <t>FI-CA</t>
  </si>
  <si>
    <t>https://me.sap.com/case/002075129500003471272026</t>
  </si>
  <si>
    <t>0000347322</t>
  </si>
  <si>
    <t>S_ALR_87100833 for Italy VAT Register-BRIM enhancement point</t>
  </si>
  <si>
    <t>002075129500003473222026</t>
  </si>
  <si>
    <t>https://me.sap.com/case/002075129500003473222026</t>
  </si>
  <si>
    <t>0000357466</t>
  </si>
  <si>
    <t>XML not generated for Invoice_5310440895</t>
  </si>
  <si>
    <t>002075129400003574662026</t>
  </si>
  <si>
    <t>https://me.sap.com/case/002075129400003574662026</t>
  </si>
  <si>
    <t>0000358065</t>
  </si>
  <si>
    <t>OSS message- Transport Number for S4 mismatch in PDF and attachment zip file 3451360</t>
  </si>
  <si>
    <t>CA-GTF-CSC-EDO-GR</t>
  </si>
  <si>
    <t>Unknown</t>
  </si>
  <si>
    <t>002075129400003580652026</t>
  </si>
  <si>
    <t>Document Compliance Greece</t>
  </si>
  <si>
    <t>https://me.sap.com/case/002075129400003580652026</t>
  </si>
  <si>
    <t>0000358572</t>
  </si>
  <si>
    <t>Unable to access sap sharepoint link</t>
  </si>
  <si>
    <t>HAN-DB-BAC</t>
  </si>
  <si>
    <t>System, client, tenant, instance request/refresh</t>
  </si>
  <si>
    <t>002075129400003585722026</t>
  </si>
  <si>
    <t>SAP HANA Backup &amp; Recovery</t>
  </si>
  <si>
    <t>SAP for Me</t>
  </si>
  <si>
    <t>XX-SER-FORME</t>
  </si>
  <si>
    <t>https://me.sap.com/case/002075129400003585722026</t>
  </si>
  <si>
    <t>0000359849</t>
  </si>
  <si>
    <t>SAP NOTES RELATED TO MALASYIA E-INVOICING</t>
  </si>
  <si>
    <t>CA-GTF-CSC-EDO-MY</t>
  </si>
  <si>
    <t>002075129400003598492026</t>
  </si>
  <si>
    <t>Malaysia</t>
  </si>
  <si>
    <t>https://me.sap.com/case/002075129400003598492026</t>
  </si>
  <si>
    <t>RD9</t>
  </si>
  <si>
    <t>000000000800965156</t>
  </si>
  <si>
    <t>0000356279</t>
  </si>
  <si>
    <t>POP OOM and Java Server Process Stopped</t>
  </si>
  <si>
    <t>BC-XI-CON-JDB</t>
  </si>
  <si>
    <t>002075129400003562792026</t>
  </si>
  <si>
    <t>JDBC Adapter</t>
  </si>
  <si>
    <t>202611</t>
  </si>
  <si>
    <t>SAP NetWeaver AS Java related performance issues</t>
  </si>
  <si>
    <t>SV-PERF-JAS</t>
  </si>
  <si>
    <t>FACT XI Installation</t>
  </si>
  <si>
    <t>0020260157</t>
  </si>
  <si>
    <t>https://me.sap.com/case/002075129400003562792026</t>
  </si>
  <si>
    <t>POP</t>
  </si>
  <si>
    <t>000000000312146180</t>
  </si>
  <si>
    <t>0000351130</t>
  </si>
  <si>
    <t>Error while creating credit note for Angola country - Reference document is missing while invoicing the credit note</t>
  </si>
  <si>
    <t>FI-LOC-CER-AO-CA</t>
  </si>
  <si>
    <t>002075129400003511302026</t>
  </si>
  <si>
    <t>Contract Accounting</t>
  </si>
  <si>
    <t>Convergent Invoicing</t>
  </si>
  <si>
    <t>FI-CAX-INV</t>
  </si>
  <si>
    <t>https://me.sap.com/case/002075129400003511302026</t>
  </si>
  <si>
    <t>0000351979</t>
  </si>
  <si>
    <t>Gross amount and Tax amount is not captured</t>
  </si>
  <si>
    <t>002075129400003519792026</t>
  </si>
  <si>
    <t>https://me.sap.com/case/002075129400003519792026</t>
  </si>
  <si>
    <t>0000332939</t>
  </si>
  <si>
    <t>Bank Fee Billing file import gives error</t>
  </si>
  <si>
    <t>FIN-FSCM-CLM-BAM</t>
  </si>
  <si>
    <t>002075129500003329392026</t>
  </si>
  <si>
    <t>Bank Account Management</t>
  </si>
  <si>
    <t>https://me.sap.com/case/002075129500003329392026</t>
  </si>
  <si>
    <t>0000334427</t>
  </si>
  <si>
    <t>dpserver initialization blocked and Backint (Azure RSV) log backup failures after adding dpserver to tenant database NB1</t>
  </si>
  <si>
    <t>HAN-DP-SDI</t>
  </si>
  <si>
    <t>002075129500003344272026</t>
  </si>
  <si>
    <t>SAP HANA smart data integration (SDI)</t>
  </si>
  <si>
    <t>https://me.sap.com/case/002075129500003344272026</t>
  </si>
  <si>
    <t>SAP BW/4HANA</t>
  </si>
  <si>
    <t>BDC Private</t>
  </si>
  <si>
    <t>SADABDCPR.2026</t>
  </si>
  <si>
    <t>NB1</t>
  </si>
  <si>
    <t>000000000850691614</t>
  </si>
  <si>
    <t>0000336654</t>
  </si>
  <si>
    <t>S_ALR_87100833 for Italy VAT Register</t>
  </si>
  <si>
    <t>FI-LOC-FI-IT</t>
  </si>
  <si>
    <t>002075129500003366542026</t>
  </si>
  <si>
    <t>Italy</t>
  </si>
  <si>
    <t>FI-LOC-CA-IT</t>
  </si>
  <si>
    <t>https://me.sap.com/case/002075129500003366542026</t>
  </si>
  <si>
    <t>0000344571</t>
  </si>
  <si>
    <t>Ability to report adhoc issues at a central control level</t>
  </si>
  <si>
    <t>002075129400003445712026</t>
  </si>
  <si>
    <t>https://me.sap.com/case/002075129400003445712026</t>
  </si>
  <si>
    <t>NG5</t>
  </si>
  <si>
    <t>000000000800515883</t>
  </si>
  <si>
    <t>0000347891</t>
  </si>
  <si>
    <t>VIM_Extraction issue - Amount, Quantity, and Material Description are not getting extracted correctly.</t>
  </si>
  <si>
    <t>002075129400003478912026</t>
  </si>
  <si>
    <t>https://me.sap.com/case/002075129400003478912026</t>
  </si>
  <si>
    <t>0000348682</t>
  </si>
  <si>
    <t>18169/2026 OSS DDIC Object related Query</t>
  </si>
  <si>
    <t>CA-GTF-CSC-EDO-BE</t>
  </si>
  <si>
    <t>002075129400003486822026</t>
  </si>
  <si>
    <t>Belgium</t>
  </si>
  <si>
    <t>https://me.sap.com/case/002075129400003486822026</t>
  </si>
  <si>
    <t>NR1</t>
  </si>
  <si>
    <t>000000000850551266</t>
  </si>
  <si>
    <t>0000327410</t>
  </si>
  <si>
    <t>Impact of rfc/authCheckInPlayback</t>
  </si>
  <si>
    <t>BC-MID-RFC</t>
  </si>
  <si>
    <t>002075129500003274102026</t>
  </si>
  <si>
    <t>RFC</t>
  </si>
  <si>
    <t>Access Risk Analysis</t>
  </si>
  <si>
    <t>GRC-SAC-ARA</t>
  </si>
  <si>
    <t>https://me.sap.com/case/002075129500003274102026</t>
  </si>
  <si>
    <t>NM5</t>
  </si>
  <si>
    <t>000000000850492753</t>
  </si>
  <si>
    <t>0000329445</t>
  </si>
  <si>
    <t>The reason for queue stuck in SMQ2</t>
  </si>
  <si>
    <t>BC-XI-IS-IEN</t>
  </si>
  <si>
    <t>002075129500003294452026</t>
  </si>
  <si>
    <t>Integration Engine</t>
  </si>
  <si>
    <t>Queued RFC (qRFC) and transactional RFC (tRFC)</t>
  </si>
  <si>
    <t>BC-MID-RFC-QT</t>
  </si>
  <si>
    <t>https://me.sap.com/case/002075129500003294452026</t>
  </si>
  <si>
    <t>0000330463</t>
  </si>
  <si>
    <t>program RFKK_DELOBJ_0016_DES was failing with runtime error TSV_TNEW_PAGE_ALLOC_FAILED</t>
  </si>
  <si>
    <t>FI-CAX</t>
  </si>
  <si>
    <t>002075129500003304632026</t>
  </si>
  <si>
    <t>Non-industry specific contract accounts receivable, payable</t>
  </si>
  <si>
    <t>https://me.sap.com/case/002075129500003304632026</t>
  </si>
  <si>
    <t>NR4</t>
  </si>
  <si>
    <t>000000000800608669</t>
  </si>
  <si>
    <t>0000331470</t>
  </si>
  <si>
    <t>Publication Error – SAML SSO Authentication Issue with Connection ( BTP )</t>
  </si>
  <si>
    <t>LOD-ANA-SCH</t>
  </si>
  <si>
    <t>002075129500003314702026</t>
  </si>
  <si>
    <t>SAC Story Scheduling and Publication</t>
  </si>
  <si>
    <t>SAP BTP ABAP Environment</t>
  </si>
  <si>
    <t>BC-CP-ABA</t>
  </si>
  <si>
    <t>https://me.sap.com/case/002075129500003314702026</t>
  </si>
  <si>
    <t>SAP BTP ABAP environment</t>
  </si>
  <si>
    <t>SCP_ABAP</t>
  </si>
  <si>
    <t>SAP Build</t>
  </si>
  <si>
    <t>SABLD.2026</t>
  </si>
  <si>
    <t>CES / MA</t>
  </si>
  <si>
    <t>CR5</t>
  </si>
  <si>
    <t>000000000745774630</t>
  </si>
  <si>
    <t>0000337979</t>
  </si>
  <si>
    <t>Clarification on SAP Standard Support for Freight Income Tax Calculation</t>
  </si>
  <si>
    <t>SD-BF-TX</t>
  </si>
  <si>
    <t>002075129400003379792026</t>
  </si>
  <si>
    <t>Taxes</t>
  </si>
  <si>
    <t>https://me.sap.com/case/002075129400003379792026</t>
  </si>
  <si>
    <t>0000342577</t>
  </si>
  <si>
    <t>Poland E Invoice status - Rejected by DRCC</t>
  </si>
  <si>
    <t>002075129400003425772026</t>
  </si>
  <si>
    <t>https://me.sap.com/case/002075129400003425772026</t>
  </si>
  <si>
    <t>0000342682</t>
  </si>
  <si>
    <t>Greece E-Book Reports in S4 Hana System</t>
  </si>
  <si>
    <t>002075129400003426822026</t>
  </si>
  <si>
    <t>Greece</t>
  </si>
  <si>
    <t>FI-LOC-FI-GR</t>
  </si>
  <si>
    <t>https://me.sap.com/case/002075129400003426822026</t>
  </si>
  <si>
    <t>0000319154</t>
  </si>
  <si>
    <t>Participant identifier in DRC is getting stuck in Registration Pending</t>
  </si>
  <si>
    <t>002075129500003191542026</t>
  </si>
  <si>
    <t>https://me.sap.com/case/002075129500003191542026</t>
  </si>
  <si>
    <t>0000334929</t>
  </si>
  <si>
    <t>NB4 connection is not working from sac non prod</t>
  </si>
  <si>
    <t>BC-MID-SCC</t>
  </si>
  <si>
    <t>002075129400003349292026</t>
  </si>
  <si>
    <t>SAP Cloud Connector On-Demand/On-Premise Connectivity</t>
  </si>
  <si>
    <t>SAC Administration</t>
  </si>
  <si>
    <t>LOD-ANA-ADM</t>
  </si>
  <si>
    <t>https://me.sap.com/case/002075129400003349292026</t>
  </si>
  <si>
    <t>0000336057</t>
  </si>
  <si>
    <t>Unable to Unlearn or Remove Line Item</t>
  </si>
  <si>
    <t>002075129400003360572026</t>
  </si>
  <si>
    <t>https://me.sap.com/case/002075129400003360572026</t>
  </si>
  <si>
    <t>0000336206</t>
  </si>
  <si>
    <t>Correspondence printing job running longer</t>
  </si>
  <si>
    <t>002075129400003362062026</t>
  </si>
  <si>
    <t>Correspondence</t>
  </si>
  <si>
    <t>FI-CAX-CO</t>
  </si>
  <si>
    <t>https://me.sap.com/case/002075129400003362062026</t>
  </si>
  <si>
    <t>0000311360</t>
  </si>
  <si>
    <t>FFID's Locking Issue</t>
  </si>
  <si>
    <t>GRC-SAC-EAM</t>
  </si>
  <si>
    <t>002075129500003113602026</t>
  </si>
  <si>
    <t>Emergency Access Management</t>
  </si>
  <si>
    <t>Damco SAP BW Tech installation</t>
  </si>
  <si>
    <t>0020768276</t>
  </si>
  <si>
    <t>https://me.sap.com/case/002075129500003113602026</t>
  </si>
  <si>
    <t>GP1</t>
  </si>
  <si>
    <t>000000000312482019</t>
  </si>
  <si>
    <t>0000313073</t>
  </si>
  <si>
    <t>Belgium E-Invoicing - HTML download</t>
  </si>
  <si>
    <t>BC-CCM-PRN-PC</t>
  </si>
  <si>
    <t>002075129500003130732026</t>
  </si>
  <si>
    <t>Printer Control via Frontend PC</t>
  </si>
  <si>
    <t>https://me.sap.com/case/002075129500003130732026</t>
  </si>
  <si>
    <t>0000327571</t>
  </si>
  <si>
    <t>VIM_High Priority: ML Extracting Wrong Invoice/Material/PO Values</t>
  </si>
  <si>
    <t>002075129400003275712026</t>
  </si>
  <si>
    <t>https://me.sap.com/case/002075129400003275712026</t>
  </si>
  <si>
    <t>0000305920</t>
  </si>
  <si>
    <t>ADS issue when attempting to preview an invoice from the NR4(Finance) system.</t>
  </si>
  <si>
    <t>BC-SRV-FP</t>
  </si>
  <si>
    <t>002075129500003059202026</t>
  </si>
  <si>
    <t>Forms Processing</t>
  </si>
  <si>
    <t>https://me.sap.com/case/002075129500003059202026</t>
  </si>
  <si>
    <t>0000308246</t>
  </si>
  <si>
    <t>SD-RAR integration and BRIM-RAR integration for same company code</t>
  </si>
  <si>
    <t>FI-RA-IP</t>
  </si>
  <si>
    <t>002075129500003082462026</t>
  </si>
  <si>
    <t>Revenue Accounting Inbound Processing</t>
  </si>
  <si>
    <t>https://me.sap.com/case/002075129500003082462026</t>
  </si>
  <si>
    <t>0000317593</t>
  </si>
  <si>
    <t>Invoice Amount been Captured as Negative amount(Credit Memo) for Company codes VN11 and NL22</t>
  </si>
  <si>
    <t>002075129400003175932026</t>
  </si>
  <si>
    <t>202610</t>
  </si>
  <si>
    <t>FACT R/3 tech instal.</t>
  </si>
  <si>
    <t>0020191160</t>
  </si>
  <si>
    <t>https://me.sap.com/case/002075129400003175932026</t>
  </si>
  <si>
    <t>000000000310334562</t>
  </si>
  <si>
    <t>0000318907</t>
  </si>
  <si>
    <t>/EDOGR Namespace is missing</t>
  </si>
  <si>
    <t>002075129400003189072026</t>
  </si>
  <si>
    <t>https://me.sap.com/case/002075129400003189072026</t>
  </si>
  <si>
    <t>0000298741</t>
  </si>
  <si>
    <t>Production GRC(GRP) System gets hung in First week of every month</t>
  </si>
  <si>
    <t>GRC-SAC-ARQ</t>
  </si>
  <si>
    <t>002075129500002987412026</t>
  </si>
  <si>
    <t>Access Request</t>
  </si>
  <si>
    <t>FACT MySAP BW Tech installatio</t>
  </si>
  <si>
    <t>0020156893</t>
  </si>
  <si>
    <t>https://me.sap.com/case/002075129500002987412026</t>
  </si>
  <si>
    <t>GRP</t>
  </si>
  <si>
    <t>000000000312101559</t>
  </si>
  <si>
    <t>0000301032</t>
  </si>
  <si>
    <t>002075129500003010322026</t>
  </si>
  <si>
    <t>https://me.sap.com/case/002075129500003010322026</t>
  </si>
  <si>
    <t>0000305597</t>
  </si>
  <si>
    <t>Unable to delete incorrect transaction type for ChaRM</t>
  </si>
  <si>
    <t>SV-SMG-CM</t>
  </si>
  <si>
    <t>002075129400003055972026</t>
  </si>
  <si>
    <t>Change Request Management</t>
  </si>
  <si>
    <t>SAP Solution Manager on HANA</t>
  </si>
  <si>
    <t>0021121886</t>
  </si>
  <si>
    <t>https://me.sap.com/case/002075129400003055972026</t>
  </si>
  <si>
    <t>SAP Solution Manager</t>
  </si>
  <si>
    <t>SAP SOLUTION MANAGER</t>
  </si>
  <si>
    <t>TA1</t>
  </si>
  <si>
    <t>000000000800472084</t>
  </si>
  <si>
    <t>0000310146</t>
  </si>
  <si>
    <t>Italy Localization:- Parking for document not allowed for Verify Journal Entity</t>
  </si>
  <si>
    <t>002075129400003101462026</t>
  </si>
  <si>
    <t>Reporting Apps</t>
  </si>
  <si>
    <t>FI-FIO-GL-IS</t>
  </si>
  <si>
    <t>https://me.sap.com/case/002075129400003101462026</t>
  </si>
  <si>
    <t>0000310288</t>
  </si>
  <si>
    <t>Machine Learning Feedback Stuck in Pending Status – ECC DAMCO</t>
  </si>
  <si>
    <t>002075129400003102882026</t>
  </si>
  <si>
    <t>https://me.sap.com/case/002075129400003102882026</t>
  </si>
  <si>
    <t>0000310583</t>
  </si>
  <si>
    <t>Process Monitor Logs are not visible on PaPM cloud</t>
  </si>
  <si>
    <t>LOD-PER-CLD</t>
  </si>
  <si>
    <t>002075129400003105832026</t>
  </si>
  <si>
    <t>Profitability and Performance Management - Cloud</t>
  </si>
  <si>
    <t>SAP CLOUD GENERIC</t>
  </si>
  <si>
    <t>0090728563</t>
  </si>
  <si>
    <t>https://me.sap.com/case/002075129400003105832026</t>
  </si>
  <si>
    <t>SAP Profitability and Performance Manage</t>
  </si>
  <si>
    <t>PAPM</t>
  </si>
  <si>
    <t>000000000743629653</t>
  </si>
  <si>
    <t>0000313434</t>
  </si>
  <si>
    <t>VIM_OCR Extraction Issue – Special Characters Appearing in Line Items</t>
  </si>
  <si>
    <t>002075129400003134342026</t>
  </si>
  <si>
    <t>https://me.sap.com/case/002075129400003134342026</t>
  </si>
  <si>
    <t>0000303630</t>
  </si>
  <si>
    <t>Delete inconsistent FI documents</t>
  </si>
  <si>
    <t>FI-GL-GL-X</t>
  </si>
  <si>
    <t>Database inconsistency</t>
  </si>
  <si>
    <t>002075129400003036302026</t>
  </si>
  <si>
    <t>Database Inconsistencies</t>
  </si>
  <si>
    <t>https://me.sap.com/case/002075129400003036302026</t>
  </si>
  <si>
    <t>0000305865</t>
  </si>
  <si>
    <t>Slowness in CDS Consumption View C_CREDITLIMITREQUESTTP (App ID F5602)</t>
  </si>
  <si>
    <t>002075129400003058652026</t>
  </si>
  <si>
    <t>Fiori-UI for Credit Management</t>
  </si>
  <si>
    <t>FIN-FIO-CCD-CR</t>
  </si>
  <si>
    <t>https://me.sap.com/case/002075129400003058652026</t>
  </si>
  <si>
    <t>0000306857</t>
  </si>
  <si>
    <t>India QR Code signature Validation issue</t>
  </si>
  <si>
    <t>002075129400003068572026</t>
  </si>
  <si>
    <t>https://me.sap.com/case/002075129400003068572026</t>
  </si>
  <si>
    <t>0000288497</t>
  </si>
  <si>
    <t>Contract liability created after Invoice cancellation</t>
  </si>
  <si>
    <t>FI-RA-PC</t>
  </si>
  <si>
    <t>002075129500002884972026</t>
  </si>
  <si>
    <t>Revenue Accouting Period Closing</t>
  </si>
  <si>
    <t>https://me.sap.com/case/002075129500002884972026</t>
  </si>
  <si>
    <t>0000298058</t>
  </si>
  <si>
    <t>For the access RR1 Creating the case . Reference OSS-135913/2026</t>
  </si>
  <si>
    <t>FI-GL-IS</t>
  </si>
  <si>
    <t>002075129400002980582026</t>
  </si>
  <si>
    <t>Information System</t>
  </si>
  <si>
    <t>https://me.sap.com/case/002075129400002980582026</t>
  </si>
  <si>
    <t>000000000310331731</t>
  </si>
  <si>
    <t>0000300749</t>
  </si>
  <si>
    <t>Unable to release accounting doc_S4 HANA</t>
  </si>
  <si>
    <t>SD-BIL-IV</t>
  </si>
  <si>
    <t>002075129400003007492026</t>
  </si>
  <si>
    <t>Processing Billing Documents</t>
  </si>
  <si>
    <t>https://me.sap.com/case/002075129400003007492026</t>
  </si>
  <si>
    <t>0000289040</t>
  </si>
  <si>
    <t>FCLOCO task deletion for accidentally scheduled tasks</t>
  </si>
  <si>
    <t>CA-GTF-FCC</t>
  </si>
  <si>
    <t>002075129400002890402026</t>
  </si>
  <si>
    <t>Financial Closing cockpit Add-on</t>
  </si>
  <si>
    <t>https://me.sap.com/case/002075129400002890402026</t>
  </si>
  <si>
    <t>0000291009</t>
  </si>
  <si>
    <t>Issue in generating layout ID for OCR version IC4SAP 25.4</t>
  </si>
  <si>
    <t>002075129400002910092026</t>
  </si>
  <si>
    <t>https://me.sap.com/case/002075129400002910092026</t>
  </si>
  <si>
    <t>0000291961</t>
  </si>
  <si>
    <t>CA01 company code, Depreciation not posted for leading ledger 0L</t>
  </si>
  <si>
    <t>FI-AA-AA-E</t>
  </si>
  <si>
    <t>002075129400002919612026</t>
  </si>
  <si>
    <t>Periodic Posting</t>
  </si>
  <si>
    <t>https://me.sap.com/case/002075129400002919612026</t>
  </si>
  <si>
    <t>0000292366</t>
  </si>
  <si>
    <t>Many production Graphs failed with unexpected EOF</t>
  </si>
  <si>
    <t>CA-DI</t>
  </si>
  <si>
    <t>002075129400002923662026</t>
  </si>
  <si>
    <t>Data Intelligence</t>
  </si>
  <si>
    <t>https://me.sap.com/case/002075129400002923662026</t>
  </si>
  <si>
    <t>SAP Data Intelligence</t>
  </si>
  <si>
    <t>SAP DATA INTELLIGENCE</t>
  </si>
  <si>
    <t>H00</t>
  </si>
  <si>
    <t>000000000800587335</t>
  </si>
  <si>
    <t>0000292412</t>
  </si>
  <si>
    <t>User is getting error - Message No. KI235</t>
  </si>
  <si>
    <t>CO-OM-CEL-E</t>
  </si>
  <si>
    <t>002075129400002924122026</t>
  </si>
  <si>
    <t>Postings</t>
  </si>
  <si>
    <t>https://me.sap.com/case/002075129400002924122026</t>
  </si>
  <si>
    <t>0000269047</t>
  </si>
  <si>
    <t>SAP NQ5 HANA Unavailable</t>
  </si>
  <si>
    <t>HAN-DB</t>
  </si>
  <si>
    <t>002075129500002690472026</t>
  </si>
  <si>
    <t>SAP HANA Database</t>
  </si>
  <si>
    <t>Upgrade of SAP Systems on HANA</t>
  </si>
  <si>
    <t>HAN-LM-UPG-SAP</t>
  </si>
  <si>
    <t>https://me.sap.com/case/002075129500002690472026</t>
  </si>
  <si>
    <t>NQ5</t>
  </si>
  <si>
    <t>000000000850489853</t>
  </si>
  <si>
    <t>0000272457</t>
  </si>
  <si>
    <t>Distance Not Returned When Truck Restrictions Are Violated (SAP HANA Spatial Services)</t>
  </si>
  <si>
    <t>BC-CP-CF-HSS</t>
  </si>
  <si>
    <t>Missing functionality</t>
  </si>
  <si>
    <t>002075129500002724572026</t>
  </si>
  <si>
    <t>SAP HANA Spatial services</t>
  </si>
  <si>
    <t>Internet Communication Manager</t>
  </si>
  <si>
    <t>BC-CST-IC</t>
  </si>
  <si>
    <t>https://me.sap.com/case/002075129500002724572026</t>
  </si>
  <si>
    <t>0000281881</t>
  </si>
  <si>
    <t>Getting error F5672 while PO postings, due to GL master data changes</t>
  </si>
  <si>
    <t>FI-GL-GL-J</t>
  </si>
  <si>
    <t>002075129400002818812026</t>
  </si>
  <si>
    <t>Integration/Accounting Interface</t>
  </si>
  <si>
    <t>202602</t>
  </si>
  <si>
    <t>202609</t>
  </si>
  <si>
    <t>https://me.sap.com/case/002075129400002818812026</t>
  </si>
  <si>
    <t>0000282227</t>
  </si>
  <si>
    <t>App- Find Maintenance Order Confirmation: Unable to export, Timeout error</t>
  </si>
  <si>
    <t>PM-FIO-WOC-JC</t>
  </si>
  <si>
    <t>002075129400002822272026</t>
  </si>
  <si>
    <t>Fiori UI for PM Completion Confirmations</t>
  </si>
  <si>
    <t>Fiori User Interface (UI) for PM</t>
  </si>
  <si>
    <t>PM-FIO</t>
  </si>
  <si>
    <t>https://me.sap.com/case/002075129400002822272026</t>
  </si>
  <si>
    <t>0000282401</t>
  </si>
  <si>
    <t>Greece E Books E Invoice solution for CI documents</t>
  </si>
  <si>
    <t>002075129400002824012026</t>
  </si>
  <si>
    <t>https://me.sap.com/case/002075129400002824012026</t>
  </si>
  <si>
    <t>0000285545</t>
  </si>
  <si>
    <t>Angola SAF-T</t>
  </si>
  <si>
    <t>002075129400002855452026</t>
  </si>
  <si>
    <t>https://me.sap.com/case/002075129400002855452026</t>
  </si>
  <si>
    <t>0000285801</t>
  </si>
  <si>
    <t>002075129400002858012026</t>
  </si>
  <si>
    <t>https://me.sap.com/case/002075129400002858012026</t>
  </si>
  <si>
    <t>0000285976</t>
  </si>
  <si>
    <t>Issue related to payment block G</t>
  </si>
  <si>
    <t>002075129400002859762026</t>
  </si>
  <si>
    <t>https://me.sap.com/case/002075129400002859762026</t>
  </si>
  <si>
    <t>0000262466</t>
  </si>
  <si>
    <t>POWL application is putting 26 % RFC load to NS5 according to EWA report</t>
  </si>
  <si>
    <t>TM-BF-WL</t>
  </si>
  <si>
    <t>002075129500002624662026</t>
  </si>
  <si>
    <t>Worklist</t>
  </si>
  <si>
    <t>https://me.sap.com/case/002075129500002624662026</t>
  </si>
  <si>
    <t>0000266607</t>
  </si>
  <si>
    <t>Angola Accounting SAFT in ECC</t>
  </si>
  <si>
    <t>002075129500002666072026</t>
  </si>
  <si>
    <t>https://me.sap.com/case/002075129500002666072026</t>
  </si>
  <si>
    <t>PSLE / MA</t>
  </si>
  <si>
    <t>000000000311971746</t>
  </si>
  <si>
    <t>0000274357</t>
  </si>
  <si>
    <t>IC4SAP Machine learning issue and SNAPSHOT download and upload issue</t>
  </si>
  <si>
    <t>002075129400002743572026</t>
  </si>
  <si>
    <t>https://me.sap.com/case/002075129400002743572026</t>
  </si>
  <si>
    <t>0000275175</t>
  </si>
  <si>
    <t>“K” is been Captured as “|&lt;”</t>
  </si>
  <si>
    <t>002075129400002751752026</t>
  </si>
  <si>
    <t>https://me.sap.com/case/002075129400002751752026</t>
  </si>
  <si>
    <t>0000276077</t>
  </si>
  <si>
    <t>Issue while implementing OSS note 3694426</t>
  </si>
  <si>
    <t>SAP documentation Issue</t>
  </si>
  <si>
    <t>SAP Note</t>
  </si>
  <si>
    <t>002075129400002760772026</t>
  </si>
  <si>
    <t>https://me.sap.com/case/002075129400002760772026</t>
  </si>
  <si>
    <t>0000276300</t>
  </si>
  <si>
    <t>Issue with reversal of document in FB08</t>
  </si>
  <si>
    <t>FI-GL-GL-A</t>
  </si>
  <si>
    <t>Coding issue</t>
  </si>
  <si>
    <t>002075129400002763002026</t>
  </si>
  <si>
    <t>Posting/Clearing</t>
  </si>
  <si>
    <t>https://me.sap.com/case/002075129400002763002026</t>
  </si>
  <si>
    <t>0000279727</t>
  </si>
  <si>
    <t>Account determination for transaction A00 is missing for Account 2410900000 A1 1001 Account determination for t</t>
  </si>
  <si>
    <t>002075129400002797272026</t>
  </si>
  <si>
    <t>https://me.sap.com/case/002075129400002797272026</t>
  </si>
  <si>
    <t>0000280012</t>
  </si>
  <si>
    <t>Queries on SQL Plan trace</t>
  </si>
  <si>
    <t>002075129400002800122026</t>
  </si>
  <si>
    <t>https://me.sap.com/case/002075129400002800122026</t>
  </si>
  <si>
    <t>0000254682</t>
  </si>
  <si>
    <t>Risk Summary Report issue</t>
  </si>
  <si>
    <t>GRC-RM-RISK</t>
  </si>
  <si>
    <t>002075129500002546822026</t>
  </si>
  <si>
    <t>Risk, Opportunities, Activities, Analysis &amp; Simulations</t>
  </si>
  <si>
    <t>https://me.sap.com/case/002075129500002546822026</t>
  </si>
  <si>
    <t>NG3</t>
  </si>
  <si>
    <t>000000000800476679</t>
  </si>
  <si>
    <t>0000257632</t>
  </si>
  <si>
    <t>NS5: High CPU Utilization and Alerts for Admission Control</t>
  </si>
  <si>
    <t>002075129500002576322026</t>
  </si>
  <si>
    <t>https://me.sap.com/case/002075129500002576322026</t>
  </si>
  <si>
    <t>0000257824</t>
  </si>
  <si>
    <t>Portuguese Translation issue for Total Amount in Words</t>
  </si>
  <si>
    <t>CA-GTF-CSC-SPL</t>
  </si>
  <si>
    <t>002075129500002578242026</t>
  </si>
  <si>
    <t>Spell Amount Monitor</t>
  </si>
  <si>
    <t>https://me.sap.com/case/002075129500002578242026</t>
  </si>
  <si>
    <t>0000258840</t>
  </si>
  <si>
    <t>002075129500002588402026</t>
  </si>
  <si>
    <t>https://me.sap.com/case/002075129500002588402026</t>
  </si>
  <si>
    <t>0000268521</t>
  </si>
  <si>
    <t>POB Contractual Price Changes even with Invoice effect type I</t>
  </si>
  <si>
    <t>002075129400002685212026</t>
  </si>
  <si>
    <t>https://me.sap.com/case/002075129400002685212026</t>
  </si>
  <si>
    <t>NRA</t>
  </si>
  <si>
    <t>000000000850891729</t>
  </si>
  <si>
    <t>Demo</t>
  </si>
  <si>
    <t>DEMO</t>
  </si>
  <si>
    <t>0000268847</t>
  </si>
  <si>
    <t>DBACHECK job Statement exwemption in the Long Running statemets in HANA studio</t>
  </si>
  <si>
    <t>HAN-DB-MON</t>
  </si>
  <si>
    <t>002075129400002688472026</t>
  </si>
  <si>
    <t>SAP HANA Monitoring</t>
  </si>
  <si>
    <t>https://me.sap.com/case/002075129400002688472026</t>
  </si>
  <si>
    <t>SAP HANA, platform edition</t>
  </si>
  <si>
    <t>SAP HANA PLATFORM EDITION</t>
  </si>
  <si>
    <t>NH5</t>
  </si>
  <si>
    <t>000000000800617976</t>
  </si>
  <si>
    <t>0000247353</t>
  </si>
  <si>
    <t>Event Based charges Duplicate entries in Execution Tab of FRO</t>
  </si>
  <si>
    <t>TM-FRM-STS</t>
  </si>
  <si>
    <t>002075129500002473532026</t>
  </si>
  <si>
    <t>Statuses, Events, and Block Handling</t>
  </si>
  <si>
    <t>Integration with Event Management</t>
  </si>
  <si>
    <t>TM-INT-EM</t>
  </si>
  <si>
    <t>https://me.sap.com/case/002075129500002473532026</t>
  </si>
  <si>
    <t>0000247973</t>
  </si>
  <si>
    <t>Filters Disappearing While Converting From Classic to Optimized Story</t>
  </si>
  <si>
    <t>LOD-ANA-TAB-FIL</t>
  </si>
  <si>
    <t>002075129500002479732026</t>
  </si>
  <si>
    <t>Local Table Filters (excluding story &amp; page filters)</t>
  </si>
  <si>
    <t>https://me.sap.com/case/002075129500002479732026</t>
  </si>
  <si>
    <t>0000248323</t>
  </si>
  <si>
    <t>Issue with the unique 3-part fiscal number generated for Croatia invoices</t>
  </si>
  <si>
    <t>FI-LOC-LO-HR</t>
  </si>
  <si>
    <t>002075129500002483232026</t>
  </si>
  <si>
    <t>Croatia</t>
  </si>
  <si>
    <t>FI-LOC-FI-HR</t>
  </si>
  <si>
    <t>https://me.sap.com/case/002075129500002483232026</t>
  </si>
  <si>
    <t>0000252379</t>
  </si>
  <si>
    <t>SAP Netweaver SPS34 Upgrade Compatibilty with SLD(CIM/CR) version</t>
  </si>
  <si>
    <t>BC-CCM-SLD</t>
  </si>
  <si>
    <t>002075129500002523792026</t>
  </si>
  <si>
    <t>System Landscape Directory / Component Repository</t>
  </si>
  <si>
    <t>https://me.sap.com/case/002075129500002523792026</t>
  </si>
  <si>
    <t>0000262383</t>
  </si>
  <si>
    <t>Issue is related to cloco (Closing Cockpit ) task approval in  SAP ECC( ML/OCEAN) RP1.</t>
  </si>
  <si>
    <t>CA-GTF-SCM</t>
  </si>
  <si>
    <t>002075129400002623832026</t>
  </si>
  <si>
    <t>Schedule Manager</t>
  </si>
  <si>
    <t>https://me.sap.com/case/002075129400002623832026</t>
  </si>
  <si>
    <t>0000262459</t>
  </si>
  <si>
    <t>Acknowledged by DRCC status Invoice-Poland E Invoice</t>
  </si>
  <si>
    <t>002075129400002624592026</t>
  </si>
  <si>
    <t>https://me.sap.com/case/002075129400002624592026</t>
  </si>
  <si>
    <t>0000263101</t>
  </si>
  <si>
    <t>VIM_Extracting Discount amount incorrectly</t>
  </si>
  <si>
    <t>002075129400002631012026</t>
  </si>
  <si>
    <t>https://me.sap.com/case/002075129400002631012026</t>
  </si>
  <si>
    <t>0000255609</t>
  </si>
  <si>
    <t>Request to validate the BODS upgrade status</t>
  </si>
  <si>
    <t>BI-BIP-DEP</t>
  </si>
  <si>
    <t>002075129400002556092026</t>
  </si>
  <si>
    <t>Webapp Deployment, Networking, Vulnerabilities, Webservices</t>
  </si>
  <si>
    <t>Business Objects Data Services</t>
  </si>
  <si>
    <t>0021237352</t>
  </si>
  <si>
    <t>https://me.sap.com/case/002075129400002556092026</t>
  </si>
  <si>
    <t>SAP Information Steward</t>
  </si>
  <si>
    <t>SAP INFORMATION STEWARD</t>
  </si>
  <si>
    <t>TB1</t>
  </si>
  <si>
    <t>000000000850609044</t>
  </si>
  <si>
    <t>0000255947</t>
  </si>
  <si>
    <t>dev cloud abap facing the slowness issue while working UI development</t>
  </si>
  <si>
    <t>CA-BAS-FS</t>
  </si>
  <si>
    <t>Regression issue</t>
  </si>
  <si>
    <t>002075129400002559472026</t>
  </si>
  <si>
    <t>File System,Logging,Operator Clusters</t>
  </si>
  <si>
    <t>IDE framework</t>
  </si>
  <si>
    <t>CA-BAS-FWK-IDE</t>
  </si>
  <si>
    <t>https://me.sap.com/case/002075129400002559472026</t>
  </si>
  <si>
    <t>SAP Business Application Studio</t>
  </si>
  <si>
    <t>SCP_APP_STUDIO</t>
  </si>
  <si>
    <t>000000000743393551</t>
  </si>
  <si>
    <t>0000256027</t>
  </si>
  <si>
    <t>VIM Postings - Error in assigning the tax group</t>
  </si>
  <si>
    <t>002075129400002560272026</t>
  </si>
  <si>
    <t>https://me.sap.com/case/002075129400002560272026</t>
  </si>
  <si>
    <t>0000256326</t>
  </si>
  <si>
    <t>Issue while implementing OSS note 3683104</t>
  </si>
  <si>
    <t>002075129400002563262026</t>
  </si>
  <si>
    <t>https://me.sap.com/case/002075129400002563262026</t>
  </si>
  <si>
    <t>0000256471</t>
  </si>
  <si>
    <t>SAP_ABAP dump in MIRO</t>
  </si>
  <si>
    <t>MM-IV-GF-UPD</t>
  </si>
  <si>
    <t>002075129400002564712026</t>
  </si>
  <si>
    <t>Database Updates</t>
  </si>
  <si>
    <t>Entry MIRO</t>
  </si>
  <si>
    <t>MM-IV-LIV-CRE</t>
  </si>
  <si>
    <t>https://me.sap.com/case/002075129400002564712026</t>
  </si>
  <si>
    <t>0000257695</t>
  </si>
  <si>
    <t>Git vulnerabilities for package-lock.json file on all SAPUI5 applications</t>
  </si>
  <si>
    <t>CA-UX-IDE</t>
  </si>
  <si>
    <t>002075129400002576952026</t>
  </si>
  <si>
    <t>Tools for developing SAP Fiori applications</t>
  </si>
  <si>
    <t>Core and Runtime</t>
  </si>
  <si>
    <t>CA-UI5-COR</t>
  </si>
  <si>
    <t>https://me.sap.com/case/002075129400002576952026</t>
  </si>
  <si>
    <t>NS1</t>
  </si>
  <si>
    <t>000000000800456773</t>
  </si>
  <si>
    <t>0000234260</t>
  </si>
  <si>
    <t>Work Package status in Audit</t>
  </si>
  <si>
    <t>GRC-AUD</t>
  </si>
  <si>
    <t>002075129500002342602026</t>
  </si>
  <si>
    <t>GRC Audit Management</t>
  </si>
  <si>
    <t>https://me.sap.com/case/002075129500002342602026</t>
  </si>
  <si>
    <t>0000234514</t>
  </si>
  <si>
    <t>Server0 Processes are not visible in NWA url</t>
  </si>
  <si>
    <t>BC-JAS-ADM-ADM</t>
  </si>
  <si>
    <t>KBA</t>
  </si>
  <si>
    <t>002075129500002345142026</t>
  </si>
  <si>
    <t>Administration</t>
  </si>
  <si>
    <t>Web Dispatcher</t>
  </si>
  <si>
    <t>BC-CST-WDP</t>
  </si>
  <si>
    <t>https://me.sap.com/case/002075129500002345142026</t>
  </si>
  <si>
    <t>0000251111</t>
  </si>
  <si>
    <t>Memory issue detected in all IS tenants</t>
  </si>
  <si>
    <t>LOD-HCI-PI-OPS</t>
  </si>
  <si>
    <t>Duplicate incident</t>
  </si>
  <si>
    <t>002075129400002511112026</t>
  </si>
  <si>
    <t>Cloud Operations</t>
  </si>
  <si>
    <t>202608</t>
  </si>
  <si>
    <t>https://me.sap.com/case/002075129400002511112026</t>
  </si>
  <si>
    <t>0000230177</t>
  </si>
  <si>
    <t>Unable to deploy in IS</t>
  </si>
  <si>
    <t>002075129500002301772026</t>
  </si>
  <si>
    <t>SaE</t>
  </si>
  <si>
    <t>https://me.sap.com/case/002075129500002301772026</t>
  </si>
  <si>
    <t>000000000745113067</t>
  </si>
  <si>
    <t>0000230186</t>
  </si>
  <si>
    <t>002075129500002301862026</t>
  </si>
  <si>
    <t>Generation &amp; Build Framework</t>
  </si>
  <si>
    <t>LOD-HCI-PI-GB</t>
  </si>
  <si>
    <t>https://me.sap.com/case/002075129500002301862026</t>
  </si>
  <si>
    <t>000000000745112499</t>
  </si>
  <si>
    <t>0000230202</t>
  </si>
  <si>
    <t>Automatic Message Reprocessing Failure – XMS_ADM 123</t>
  </si>
  <si>
    <t>BC-SRV-AIF</t>
  </si>
  <si>
    <t>002075129500002302022026</t>
  </si>
  <si>
    <t>Application Interface Framework</t>
  </si>
  <si>
    <t>https://me.sap.com/case/002075129500002302022026</t>
  </si>
  <si>
    <t>0000250627</t>
  </si>
  <si>
    <t>Post upgrade to Information Platform Services  4.3 SP4 Patch 12, https url of CMC stopped working</t>
  </si>
  <si>
    <t>002075129400002506272026</t>
  </si>
  <si>
    <t>Information Steward - Deployment Install Upgrade</t>
  </si>
  <si>
    <t>EIM-IS-DEP</t>
  </si>
  <si>
    <t>https://me.sap.com/case/002075129400002506272026</t>
  </si>
  <si>
    <t>TB5</t>
  </si>
  <si>
    <t>000000000800679944</t>
  </si>
  <si>
    <t>0000229374</t>
  </si>
  <si>
    <t>Planning Plant Filter Based on User Parameters at work orders, operations, and equipment Filter page in  SSAM 2305</t>
  </si>
  <si>
    <t>MOB-APP-SAM</t>
  </si>
  <si>
    <t>002075129500002293742026</t>
  </si>
  <si>
    <t>SAP Service and Asset Manager</t>
  </si>
  <si>
    <t>Mobile Development Kit (MDK)</t>
  </si>
  <si>
    <t>MOB-MDK</t>
  </si>
  <si>
    <t>https://me.sap.com/case/002075129500002293742026</t>
  </si>
  <si>
    <t>SAP Mobile Services</t>
  </si>
  <si>
    <t>SCP_MOBILE</t>
  </si>
  <si>
    <t>000000000744674560</t>
  </si>
  <si>
    <t>0000238906</t>
  </si>
  <si>
    <t>KEY_VALUE_MAPPINGS-Poland E Invoice AIF Mapping</t>
  </si>
  <si>
    <t>002075129400002389062026</t>
  </si>
  <si>
    <t>https://me.sap.com/case/002075129400002389062026</t>
  </si>
  <si>
    <t>0000239362</t>
  </si>
  <si>
    <t>Company name address in IES</t>
  </si>
  <si>
    <t>002075129400002393622026</t>
  </si>
  <si>
    <t>https://me.sap.com/case/002075129400002393622026</t>
  </si>
  <si>
    <t>0000243418</t>
  </si>
  <si>
    <t>[Application Error]:Uncaught NetworkError: Failed to execute 'importScripts' on 'WorkerGlobalScope' while login into SAC</t>
  </si>
  <si>
    <t>002075129400002434182026</t>
  </si>
  <si>
    <t>https://me.sap.com/case/002075129400002434182026</t>
  </si>
  <si>
    <t>0000243600</t>
  </si>
  <si>
    <t>Ability to change the length of the name field</t>
  </si>
  <si>
    <t>GRC-SPC-MD</t>
  </si>
  <si>
    <t>002075129400002436002026</t>
  </si>
  <si>
    <t>Documentation and Master Data</t>
  </si>
  <si>
    <t>https://me.sap.com/case/002075129400002436002026</t>
  </si>
  <si>
    <t>0000243948</t>
  </si>
  <si>
    <t>poland-Error occurred during the VISUAL_REPRESENTATION step</t>
  </si>
  <si>
    <t>002075129400002439482026</t>
  </si>
  <si>
    <t>https://me.sap.com/case/002075129400002439482026</t>
  </si>
  <si>
    <t>0000232958</t>
  </si>
  <si>
    <t>Issue in Machine learning</t>
  </si>
  <si>
    <t>002075129400002329582026</t>
  </si>
  <si>
    <t>https://me.sap.com/case/002075129400002329582026</t>
  </si>
  <si>
    <t>0000233343</t>
  </si>
  <si>
    <t>Issue with the amount in the profit center document for line item 20 of the sales order 310847261</t>
  </si>
  <si>
    <t>EC-PCA-ACT</t>
  </si>
  <si>
    <t>002075129400002333432026</t>
  </si>
  <si>
    <t>Actual Data</t>
  </si>
  <si>
    <t>Periodic Data Transfer</t>
  </si>
  <si>
    <t>EC-PCA-ACT-PE</t>
  </si>
  <si>
    <t>https://me.sap.com/case/002075129400002333432026</t>
  </si>
  <si>
    <t>000000000850812581</t>
  </si>
  <si>
    <t>0000233564</t>
  </si>
  <si>
    <t>DRC pepol exchange  Configure Participants issue</t>
  </si>
  <si>
    <t>LOD-LH-DRC-PAP</t>
  </si>
  <si>
    <t>002075129400002335642026</t>
  </si>
  <si>
    <t>Peppol</t>
  </si>
  <si>
    <t>Document Compliance Peppol Exchange Service</t>
  </si>
  <si>
    <t>CA-GTF-CSC-EDO-PAP</t>
  </si>
  <si>
    <t>SAPCLOUD</t>
  </si>
  <si>
    <t>0090415224</t>
  </si>
  <si>
    <t>https://me.sap.com/case/002075129400002335642026</t>
  </si>
  <si>
    <t>SAP Document and Reporting Compliance, c</t>
  </si>
  <si>
    <t>GS_DRCC</t>
  </si>
  <si>
    <t>Finance and Spend Management</t>
  </si>
  <si>
    <t>SAFISP.2026</t>
  </si>
  <si>
    <t>Accounting &amp; Financial Close</t>
  </si>
  <si>
    <t>SAFQP.2026</t>
  </si>
  <si>
    <t>000000000744069358</t>
  </si>
  <si>
    <t>0000234475</t>
  </si>
  <si>
    <t>Bad Dialog Response Time</t>
  </si>
  <si>
    <t>SV-SMG-MON-ALR</t>
  </si>
  <si>
    <t>002075129400002344752026</t>
  </si>
  <si>
    <t>Monitoring/Alerting/Reporting Infrastructure</t>
  </si>
  <si>
    <t>https://me.sap.com/case/002075129400002344752026</t>
  </si>
  <si>
    <t>0011724065</t>
  </si>
  <si>
    <t>BW TREX Query(SAC) consuming more memory for a specific user in SAP HANA</t>
  </si>
  <si>
    <t>BW4-AE-CORE</t>
  </si>
  <si>
    <t>Issue cannot be reproduced</t>
  </si>
  <si>
    <t>002028376700117240652026</t>
  </si>
  <si>
    <t>Core Services</t>
  </si>
  <si>
    <t>Chat</t>
  </si>
  <si>
    <t>https://me.sap.com/case/002028376700117240652026</t>
  </si>
  <si>
    <t>NB5</t>
  </si>
  <si>
    <t>000000000850493479</t>
  </si>
  <si>
    <t>0000222466</t>
  </si>
  <si>
    <t>Requirement to migrate transactional data from legacy application</t>
  </si>
  <si>
    <t>002075129400002224662026</t>
  </si>
  <si>
    <t>https://me.sap.com/case/002075129400002224662026</t>
  </si>
  <si>
    <t>0000222709</t>
  </si>
  <si>
    <t>Clarification on Intrastat (Italy – Services) Impact with BRIM/FI-CA and External Tax Engine in S/4HANA 2023 -FPS 02</t>
  </si>
  <si>
    <t>SLL-ITR-ISR</t>
  </si>
  <si>
    <t>002075129400002227092026</t>
  </si>
  <si>
    <t>Intrastat Reporting</t>
  </si>
  <si>
    <t>https://me.sap.com/case/002075129400002227092026</t>
  </si>
  <si>
    <t>0000222819</t>
  </si>
  <si>
    <t>Clarification on Italy VAT Register Delivery in S/4HANA 2023 On-Premise (ACR)</t>
  </si>
  <si>
    <t>002075129400002228192026</t>
  </si>
  <si>
    <t>https://me.sap.com/case/002075129400002228192026</t>
  </si>
  <si>
    <t>0000224697</t>
  </si>
  <si>
    <t>Document not getting picked up in payment run</t>
  </si>
  <si>
    <t>FI-AP-AP-B</t>
  </si>
  <si>
    <t>002075129400002246972026</t>
  </si>
  <si>
    <t>Payment Progam / Payment transfer (DE, JP, US)</t>
  </si>
  <si>
    <t>https://me.sap.com/case/002075129400002246972026</t>
  </si>
  <si>
    <t>0000226764</t>
  </si>
  <si>
    <t>Greece E-Book Solution in S4 Hana System</t>
  </si>
  <si>
    <t>002075129400002267642026</t>
  </si>
  <si>
    <t>https://me.sap.com/case/002075129400002267642026</t>
  </si>
  <si>
    <t>0000228330</t>
  </si>
  <si>
    <t>Enterprise Search Support for RAP-Based Applications in SAP Build Work Zone, Standard Edition</t>
  </si>
  <si>
    <t>002075129400002283302026</t>
  </si>
  <si>
    <t>https://me.sap.com/case/002075129400002283302026</t>
  </si>
  <si>
    <t>CR1</t>
  </si>
  <si>
    <t>000000000745671320</t>
  </si>
  <si>
    <t>0000217530</t>
  </si>
  <si>
    <t>QR code not updating in EDOPLINV-Poland E Invoice</t>
  </si>
  <si>
    <t>002075129400002175302026</t>
  </si>
  <si>
    <t>https://me.sap.com/case/002075129400002175302026</t>
  </si>
  <si>
    <t>0000218001</t>
  </si>
  <si>
    <t>Fiscal year 2025 is already closed in financial accounting</t>
  </si>
  <si>
    <t>FI-AA-AA-A</t>
  </si>
  <si>
    <t>002075129400002180012026</t>
  </si>
  <si>
    <t>Master Data</t>
  </si>
  <si>
    <t>https://me.sap.com/case/002075129400002180012026</t>
  </si>
  <si>
    <t>0000219103</t>
  </si>
  <si>
    <t>Banks details not appearing in KSeF Invoice PDF-Poland E Invoice</t>
  </si>
  <si>
    <t>002075129400002191032026</t>
  </si>
  <si>
    <t>https://me.sap.com/case/002075129400002191032026</t>
  </si>
  <si>
    <t>0000219148</t>
  </si>
  <si>
    <t>Invoice are not appearing in KSeF test portal-Poland E Invoice</t>
  </si>
  <si>
    <t>002075129400002191482026</t>
  </si>
  <si>
    <t>https://me.sap.com/case/002075129400002191482026</t>
  </si>
  <si>
    <t>0000212537</t>
  </si>
  <si>
    <t>/OTX/PF62_T_DCPH - Table housekeeping</t>
  </si>
  <si>
    <t>002075129400002125372026</t>
  </si>
  <si>
    <t>https://me.sap.com/case/002075129400002125372026</t>
  </si>
  <si>
    <t>0000213611</t>
  </si>
  <si>
    <t>SAP SLS → many ouc* cookies → Azure App Gateway 400 (Request Header or Cookie Too Large)</t>
  </si>
  <si>
    <t>BC-JAS-SEC-SML</t>
  </si>
  <si>
    <t>002075129400002136112026</t>
  </si>
  <si>
    <t>JAVA SAML 1.1 and 2.0</t>
  </si>
  <si>
    <t>Authentication</t>
  </si>
  <si>
    <t>BC-SEC-LGN</t>
  </si>
  <si>
    <t>https://me.sap.com/case/002075129400002136112026</t>
  </si>
  <si>
    <t>NL5</t>
  </si>
  <si>
    <t>000000000800511717</t>
  </si>
  <si>
    <t>0000207281</t>
  </si>
  <si>
    <t>DVM data missing in EWA report</t>
  </si>
  <si>
    <t>SV-SMG-DVM</t>
  </si>
  <si>
    <t>002075129500002072812026</t>
  </si>
  <si>
    <t>Data Volume Management</t>
  </si>
  <si>
    <t>FACT Solman tech inst.</t>
  </si>
  <si>
    <t>0020191159</t>
  </si>
  <si>
    <t>https://me.sap.com/case/002075129500002072812026</t>
  </si>
  <si>
    <t>TP1</t>
  </si>
  <si>
    <t>000000000800405442</t>
  </si>
  <si>
    <t>0000207355</t>
  </si>
  <si>
    <t>Need SAP Analytics Cloud API usage information for SAP Build Process Automation interaction</t>
  </si>
  <si>
    <t>LOD-ANA-ML-DI</t>
  </si>
  <si>
    <t>002075129400002073552026</t>
  </si>
  <si>
    <t>Data Integration, Data Export API, Data Import API</t>
  </si>
  <si>
    <t>202607</t>
  </si>
  <si>
    <t>https://me.sap.com/case/002075129400002073552026</t>
  </si>
  <si>
    <t>0000202484</t>
  </si>
  <si>
    <t>POST BODS Upgrade to IPS 4.3 SP4 Patch 11 – CMC Not Connecting (Critical CMS Error FWM 20031)</t>
  </si>
  <si>
    <t>002075129500002024842026</t>
  </si>
  <si>
    <t>https://me.sap.com/case/002075129500002024842026</t>
  </si>
  <si>
    <t>0000197361</t>
  </si>
  <si>
    <t>Poland E Invoice JAVA error while getting Status from DRC</t>
  </si>
  <si>
    <t>002075129400001973612026</t>
  </si>
  <si>
    <t>https://me.sap.com/case/002075129400001973612026</t>
  </si>
  <si>
    <t>0000191697</t>
  </si>
  <si>
    <t>Partner profit center and partner segment is not showing in FAGLL03 but visible in FB03</t>
  </si>
  <si>
    <t>FI-AP-AP-D</t>
  </si>
  <si>
    <t>002075129400001916972026</t>
  </si>
  <si>
    <t>Reporting/Analysis/Display</t>
  </si>
  <si>
    <t>https://me.sap.com/case/002075129400001916972026</t>
  </si>
  <si>
    <t>0000192430</t>
  </si>
  <si>
    <t>Limitation in Managing Custom Field Properties in Manage Credit Limit Request App (F5602)</t>
  </si>
  <si>
    <t>002075129400001924302026</t>
  </si>
  <si>
    <t>https://me.sap.com/case/002075129400001924302026</t>
  </si>
  <si>
    <t>0000192639</t>
  </si>
  <si>
    <t>002075129400001926392026</t>
  </si>
  <si>
    <t>https://me.sap.com/case/002075129400001926392026</t>
  </si>
  <si>
    <t>0000185744</t>
  </si>
  <si>
    <t>Cannot see names of private dependent objects for model</t>
  </si>
  <si>
    <t>002075129500001857442026</t>
  </si>
  <si>
    <t>https://me.sap.com/case/002075129500001857442026</t>
  </si>
  <si>
    <t>0000186180</t>
  </si>
  <si>
    <t>Some Belgium Invoices are not getting received in the system</t>
  </si>
  <si>
    <t>002075129500001861802026</t>
  </si>
  <si>
    <t>https://me.sap.com/case/002075129500001861802026</t>
  </si>
  <si>
    <t>0000191002</t>
  </si>
  <si>
    <t>Publication Issue in SAC Import Model ( Export to Excel not respecting prompt filters )</t>
  </si>
  <si>
    <t>LOD-ANA-AQU</t>
  </si>
  <si>
    <t>002075129500001910022026</t>
  </si>
  <si>
    <t>Import Data Connections (Acquiring Data)</t>
  </si>
  <si>
    <t>https://me.sap.com/case/002075129500001910022026</t>
  </si>
  <si>
    <t>0000191364</t>
  </si>
  <si>
    <t>Advance Filtering not working on SAP Analytics Cloud Live Connection to BTP</t>
  </si>
  <si>
    <t>002075129500001913642026</t>
  </si>
  <si>
    <t>https://me.sap.com/case/002075129500001913642026</t>
  </si>
  <si>
    <t>0000187636</t>
  </si>
  <si>
    <t>Item cannot be paid: Error in withholding tax calculation</t>
  </si>
  <si>
    <t>FI-AP-AP-Q</t>
  </si>
  <si>
    <t>002075129400001876362026</t>
  </si>
  <si>
    <t>Withholding Tax (Calculation)</t>
  </si>
  <si>
    <t>https://me.sap.com/case/002075129400001876362026</t>
  </si>
  <si>
    <t>0011647452</t>
  </si>
  <si>
    <t>EWA shows “Severe Backup/Recovery Issue” although HANA backups are successful using Azure NetApp Files Snapshot Solution</t>
  </si>
  <si>
    <t>SV-SMG-SER-EWA</t>
  </si>
  <si>
    <t>002028376700116474522026</t>
  </si>
  <si>
    <t>EarlyWatch Alert</t>
  </si>
  <si>
    <t>https://me.sap.com/case/002028376700116474522026</t>
  </si>
  <si>
    <t>WP1</t>
  </si>
  <si>
    <t>000000000850815395</t>
  </si>
  <si>
    <t>0000173647</t>
  </si>
  <si>
    <t>"Server IP address could not be found" error when opening any Fiori app</t>
  </si>
  <si>
    <t>OPU-GW-COR</t>
  </si>
  <si>
    <t>002075129400001736472026</t>
  </si>
  <si>
    <t>Framework</t>
  </si>
  <si>
    <t>SAP Fiori Launchpad ABAP Services</t>
  </si>
  <si>
    <t>CA-FLP-ABA</t>
  </si>
  <si>
    <t>https://me.sap.com/case/002075129400001736472026</t>
  </si>
  <si>
    <t>NM6</t>
  </si>
  <si>
    <t>000000000800727845</t>
  </si>
  <si>
    <t>0000174894</t>
  </si>
  <si>
    <t>You need to define the result  for process PLKSEF step DRCC_RESP first (EDOPROCSETFLAG)- Poland E Invoice</t>
  </si>
  <si>
    <t>002075129400001748942026</t>
  </si>
  <si>
    <t>https://me.sap.com/case/002075129400001748942026</t>
  </si>
  <si>
    <t>0000175774</t>
  </si>
  <si>
    <t>Advanced Compliance Reporting - Configure Activity Dependency</t>
  </si>
  <si>
    <t>FI-LOC-SRF-DEF</t>
  </si>
  <si>
    <t>002075129400001757742026</t>
  </si>
  <si>
    <t>Design Time</t>
  </si>
  <si>
    <t>https://me.sap.com/case/002075129400001757742026</t>
  </si>
  <si>
    <t>0000176378</t>
  </si>
  <si>
    <t>USE_HEX_PLAN hint for all SQL statements getting triggered from specific entity</t>
  </si>
  <si>
    <t>002075129400001763782026</t>
  </si>
  <si>
    <t>https://me.sap.com/case/002075129400001763782026</t>
  </si>
  <si>
    <t>0000172589</t>
  </si>
  <si>
    <t>Multiple uploads for the same Test Procedure</t>
  </si>
  <si>
    <t>002075129500001725892026</t>
  </si>
  <si>
    <t>https://me.sap.com/case/002075129500001725892026</t>
  </si>
  <si>
    <t>0000170614</t>
  </si>
  <si>
    <t>Vim Slowness</t>
  </si>
  <si>
    <t>002075129400001706142026</t>
  </si>
  <si>
    <t>202606</t>
  </si>
  <si>
    <t>https://me.sap.com/case/002075129400001706142026</t>
  </si>
  <si>
    <t>0011633758</t>
  </si>
  <si>
    <t>Long running DIA session in CL_IM_CHM1_HF_CHECK_SET deleting TSOCM_DEBUG_LOG in SAP Solman</t>
  </si>
  <si>
    <t>002028376700116337582026</t>
  </si>
  <si>
    <t>https://me.sap.com/case/002028376700116337582026</t>
  </si>
  <si>
    <t>TA5</t>
  </si>
  <si>
    <t>000000000850426504</t>
  </si>
  <si>
    <t>0000165530</t>
  </si>
  <si>
    <t>Poland E Invoice Reversal document not appearing in edoc_cockpit and unable to see documents in EDOC_BACKGROUND</t>
  </si>
  <si>
    <t>FI-LOC-LRQ-PL</t>
  </si>
  <si>
    <t>002075129400001655302026</t>
  </si>
  <si>
    <t>Poland</t>
  </si>
  <si>
    <t>https://me.sap.com/case/002075129400001655302026</t>
  </si>
  <si>
    <t>0000167320</t>
  </si>
  <si>
    <t>DiskFull with state HANDLED alerts</t>
  </si>
  <si>
    <t>002075129400001673202026</t>
  </si>
  <si>
    <t>https://me.sap.com/case/002075129400001673202026</t>
  </si>
  <si>
    <t>NE5</t>
  </si>
  <si>
    <t>000000000850492914</t>
  </si>
  <si>
    <t>0000167500</t>
  </si>
  <si>
    <t>_SYS_STATISTICS using too much CPU in Hana DB</t>
  </si>
  <si>
    <t>002075129400001675002026</t>
  </si>
  <si>
    <t>https://me.sap.com/case/002075129400001675002026</t>
  </si>
  <si>
    <t>0000168095</t>
  </si>
  <si>
    <t>Adobe Credentials - New certificate</t>
  </si>
  <si>
    <t>BC-SRV-FP-ICF</t>
  </si>
  <si>
    <t>002075129400001680952026</t>
  </si>
  <si>
    <t>Adobe Credentials Delivery</t>
  </si>
  <si>
    <t>https://me.sap.com/case/002075129400001680952026</t>
  </si>
  <si>
    <t>0000166214</t>
  </si>
  <si>
    <t>Google Play Store Deployment Failure – App Does Not Support 16 KB Memory Page Size</t>
  </si>
  <si>
    <t>002075129500001662142026</t>
  </si>
  <si>
    <t>https://me.sap.com/case/002075129500001662142026</t>
  </si>
  <si>
    <t>0000167703</t>
  </si>
  <si>
    <t>SAP ECC Production - not receiving Incoming e-invoices</t>
  </si>
  <si>
    <t>002075129500001677032026</t>
  </si>
  <si>
    <t>https://me.sap.com/case/002075129500001677032026</t>
  </si>
  <si>
    <t>0000158395</t>
  </si>
  <si>
    <t>Period End FPW1M Key Date not updating correctly from Variant</t>
  </si>
  <si>
    <t>New coding issue</t>
  </si>
  <si>
    <t>002075129400001583952026</t>
  </si>
  <si>
    <t>https://me.sap.com/case/002075129400001583952026</t>
  </si>
  <si>
    <t>0000159611</t>
  </si>
  <si>
    <t>Brazil - CNPJ New format, effective from July 2026</t>
  </si>
  <si>
    <t>FI-LOC-LO-BR</t>
  </si>
  <si>
    <t>002075129400001596112026</t>
  </si>
  <si>
    <t>Brazil</t>
  </si>
  <si>
    <t>Customer Master</t>
  </si>
  <si>
    <t>LO-MD-BP-CM</t>
  </si>
  <si>
    <t>https://me.sap.com/case/002075129400001596112026</t>
  </si>
  <si>
    <t>0000160663</t>
  </si>
  <si>
    <t>Schedule jobs tab is not working in DRC prod and DRC non prod</t>
  </si>
  <si>
    <t>LOD-LH-DRC-FND</t>
  </si>
  <si>
    <t>002075129400001606632026</t>
  </si>
  <si>
    <t>Foundation</t>
  </si>
  <si>
    <t>https://me.sap.com/case/002075129400001606632026</t>
  </si>
  <si>
    <t>000000000744167626</t>
  </si>
  <si>
    <t>0000160778</t>
  </si>
  <si>
    <t>GLPCT Table not getting updated-GL values not matching with FS10n</t>
  </si>
  <si>
    <t>002075129400001607782026</t>
  </si>
  <si>
    <t>https://me.sap.com/case/002075129400001607782026</t>
  </si>
  <si>
    <t>0000161486</t>
  </si>
  <si>
    <t>Severe Performance Degradation in SLT-based FAGLFLEXA DTP Post BW/4HANA &amp; HANA DB Upgrade (WP1 Prod)</t>
  </si>
  <si>
    <t>002075129400001614862026</t>
  </si>
  <si>
    <t>https://me.sap.com/case/002075129400001614862026</t>
  </si>
  <si>
    <t>000000000850815396</t>
  </si>
  <si>
    <t>0000161633</t>
  </si>
  <si>
    <t>RAR Job cancellation</t>
  </si>
  <si>
    <t>002075129400001616332026</t>
  </si>
  <si>
    <t>Job Scheduling and Monitoring</t>
  </si>
  <si>
    <t>BC-CCM-BTC-JOB</t>
  </si>
  <si>
    <t>https://me.sap.com/case/002075129400001616332026</t>
  </si>
  <si>
    <t>0000161718</t>
  </si>
  <si>
    <t>Get Service Status is not being executed in automation Poland E Invoice</t>
  </si>
  <si>
    <t>002075129400001617182026</t>
  </si>
  <si>
    <t>https://me.sap.com/case/002075129400001617182026</t>
  </si>
  <si>
    <t>0000162064</t>
  </si>
  <si>
    <t>002075129400001620642026</t>
  </si>
  <si>
    <t>https://me.sap.com/case/002075129400001620642026</t>
  </si>
  <si>
    <t>0000163627</t>
  </si>
  <si>
    <t>Difference in GL report(FAGLL03H) to Supplier report(FBL1N)</t>
  </si>
  <si>
    <t>FI-GL-IS-LIB</t>
  </si>
  <si>
    <t>002075129400001636272026</t>
  </si>
  <si>
    <t>Line Item Browser</t>
  </si>
  <si>
    <t>FI-GL-GL-D</t>
  </si>
  <si>
    <t>https://me.sap.com/case/002075129400001636272026</t>
  </si>
  <si>
    <t>0000163519</t>
  </si>
  <si>
    <t>High Amount of Index Handle Waits</t>
  </si>
  <si>
    <t>002075129500001635192026</t>
  </si>
  <si>
    <t>https://me.sap.com/case/002075129500001635192026</t>
  </si>
  <si>
    <t>0000163871</t>
  </si>
  <si>
    <t>Security Transport with 5000+ Roles Ended with RC=16 Despite Successful Profile Generation</t>
  </si>
  <si>
    <t>BC-CTS-TMS</t>
  </si>
  <si>
    <t>002075129500001638712026</t>
  </si>
  <si>
    <t>Transport Management System</t>
  </si>
  <si>
    <t>Business Role Management</t>
  </si>
  <si>
    <t>GRC-SAC-BRM</t>
  </si>
  <si>
    <t>https://me.sap.com/case/002075129500001638712026</t>
  </si>
  <si>
    <t>0000151214</t>
  </si>
  <si>
    <t>Israel Einvoice Redirect for Authorising Token</t>
  </si>
  <si>
    <t>CA-GTF-CSC-EDO-IL</t>
  </si>
  <si>
    <t>002075129500001512142026</t>
  </si>
  <si>
    <t>Israel</t>
  </si>
  <si>
    <t>https://me.sap.com/case/002075129500001512142026</t>
  </si>
  <si>
    <t>000000000800955859</t>
  </si>
  <si>
    <t>0000151912</t>
  </si>
  <si>
    <t>Israel invoice not extracted</t>
  </si>
  <si>
    <t>002075129500001519122026</t>
  </si>
  <si>
    <t>https://me.sap.com/case/002075129500001519122026</t>
  </si>
  <si>
    <t>0000156384</t>
  </si>
  <si>
    <t>NL5: HANA Database Consistency Check for Java</t>
  </si>
  <si>
    <t>002075129500001563842026</t>
  </si>
  <si>
    <t>https://me.sap.com/case/002075129500001563842026</t>
  </si>
  <si>
    <t>0000141752</t>
  </si>
  <si>
    <t>Error while executing business rules in audit management</t>
  </si>
  <si>
    <t>002075129400001417522026</t>
  </si>
  <si>
    <t>https://me.sap.com/case/002075129400001417522026</t>
  </si>
  <si>
    <t>0000142624</t>
  </si>
  <si>
    <t>EN16931-UBL-validation_V1.3.14.1-Belgium E Invoice error</t>
  </si>
  <si>
    <t>002075129400001426242026</t>
  </si>
  <si>
    <t>https://me.sap.com/case/002075129400001426242026</t>
  </si>
  <si>
    <t>0000143182</t>
  </si>
  <si>
    <t>Manage Credit Limit Requests - F5602</t>
  </si>
  <si>
    <t>002075129400001431822026</t>
  </si>
  <si>
    <t>https://me.sap.com/case/002075129400001431822026</t>
  </si>
  <si>
    <t>0000145336</t>
  </si>
  <si>
    <t>Refund issue</t>
  </si>
  <si>
    <t>002075129400001453362026</t>
  </si>
  <si>
    <t>https://me.sap.com/case/002075129400001453362026</t>
  </si>
  <si>
    <t>0011587129</t>
  </si>
  <si>
    <t>Runtime Error SQL_CAUGHT_RABAX in ABAP Program CL_SMT_REPORTING_BW===========CP (Application Component  SV-SMG-TWB)</t>
  </si>
  <si>
    <t>SV-SMG-TWB</t>
  </si>
  <si>
    <t>002028376700115871292026</t>
  </si>
  <si>
    <t>Test Management</t>
  </si>
  <si>
    <t>https://me.sap.com/case/002028376700115871292026</t>
  </si>
  <si>
    <t>0011595098</t>
  </si>
  <si>
    <t>Company code _UA11-Depreciation not happening</t>
  </si>
  <si>
    <t>002028376700115950982026</t>
  </si>
  <si>
    <t>https://me.sap.com/case/002028376700115950982026</t>
  </si>
  <si>
    <t>0000134930</t>
  </si>
  <si>
    <t>RAP Save Sequence Causes Number Range Gaps for Non-Key Fields</t>
  </si>
  <si>
    <t>BC-SRV-NUM</t>
  </si>
  <si>
    <t>002075129400001349302026</t>
  </si>
  <si>
    <t>Number Range Management</t>
  </si>
  <si>
    <t>https://me.sap.com/case/002075129400001349302026</t>
  </si>
  <si>
    <t>0000135913</t>
  </si>
  <si>
    <t>page number issue while extracting report May24 -S_ALR_87012287</t>
  </si>
  <si>
    <t>002075129400001359132026</t>
  </si>
  <si>
    <t>https://me.sap.com/case/002075129400001359132026</t>
  </si>
  <si>
    <t>0000138128</t>
  </si>
  <si>
    <t>Negative order amount coming in Dispute</t>
  </si>
  <si>
    <t>002075129400001381282026</t>
  </si>
  <si>
    <t>https://me.sap.com/case/002075129400001381282026</t>
  </si>
  <si>
    <t>0000138302</t>
  </si>
  <si>
    <t>NR5- High Memory Utilization by Job ZR_OTC_FICA_ONACLRBL_US_1000</t>
  </si>
  <si>
    <t>002075129400001383022026</t>
  </si>
  <si>
    <t>https://me.sap.com/case/002075129400001383022026</t>
  </si>
  <si>
    <t>0000138747</t>
  </si>
  <si>
    <t>Missing SAP standard fields (BP) in the standard API (Business Partner A2X) (S4 HANA 2023)</t>
  </si>
  <si>
    <t>LO-MD-BP-ODT</t>
  </si>
  <si>
    <t>002075129400001387472026</t>
  </si>
  <si>
    <t>OData Service for Business Partner</t>
  </si>
  <si>
    <t>Business Partners</t>
  </si>
  <si>
    <t>LO-MD-BP</t>
  </si>
  <si>
    <t>https://me.sap.com/case/002075129400001387472026</t>
  </si>
  <si>
    <t>0000128346</t>
  </si>
  <si>
    <t>Issue in displaying vendor address details in Fiori validation screen</t>
  </si>
  <si>
    <t>002075129400001283462026</t>
  </si>
  <si>
    <t>202601</t>
  </si>
  <si>
    <t>202605</t>
  </si>
  <si>
    <t>https://me.sap.com/case/002075129400001283462026</t>
  </si>
  <si>
    <t>0000131398</t>
  </si>
  <si>
    <t>FICA Spain documents not generated SII (Edocuments) - Credit Note Documents</t>
  </si>
  <si>
    <t>002075129400001313982026</t>
  </si>
  <si>
    <t>https://me.sap.com/case/002075129400001313982026</t>
  </si>
  <si>
    <t>0000131615</t>
  </si>
  <si>
    <t>Poland Supplier E-Invoices are not getting pulled from KSEF whereas batch Job in SAP DRC shows status as "completed"</t>
  </si>
  <si>
    <t>002075129500001316152026</t>
  </si>
  <si>
    <t>https://me.sap.com/case/002075129500001316152026</t>
  </si>
  <si>
    <t>0000121750</t>
  </si>
  <si>
    <t>As per the AJAB test Run, Year end activities not done for 2024 assets</t>
  </si>
  <si>
    <t>002075129400001217502026</t>
  </si>
  <si>
    <t>https://me.sap.com/case/002075129400001217502026</t>
  </si>
  <si>
    <t>0000123219</t>
  </si>
  <si>
    <t>NR5 Error- Error in determine next approver</t>
  </si>
  <si>
    <t>002075129400001232192026</t>
  </si>
  <si>
    <t>Runtime</t>
  </si>
  <si>
    <t>BC-BMT-WFM-RUN</t>
  </si>
  <si>
    <t>https://me.sap.com/case/002075129400001232192026</t>
  </si>
  <si>
    <t>0000123952</t>
  </si>
  <si>
    <t>Correspondence issue</t>
  </si>
  <si>
    <t>002075129400001239522026</t>
  </si>
  <si>
    <t>https://me.sap.com/case/002075129400001239522026</t>
  </si>
  <si>
    <t>0000124063</t>
  </si>
  <si>
    <t>Write off issue</t>
  </si>
  <si>
    <t>002075129400001240632026</t>
  </si>
  <si>
    <t>https://me.sap.com/case/002075129400001240632026</t>
  </si>
  <si>
    <t>0000124801</t>
  </si>
  <si>
    <t>Unable to transport a single record of a customizing table</t>
  </si>
  <si>
    <t>BC-CTS-TLS</t>
  </si>
  <si>
    <t>002075129400001248012026</t>
  </si>
  <si>
    <t>Transport Tools</t>
  </si>
  <si>
    <t>https://me.sap.com/case/002075129400001248012026</t>
  </si>
  <si>
    <t>0000114744</t>
  </si>
  <si>
    <t>OAAQ, Asset Highest Fiscal Year showing as 2025 Instead of 2026</t>
  </si>
  <si>
    <t>002075129400001147442026</t>
  </si>
  <si>
    <t>https://me.sap.com/case/002075129400001147442026</t>
  </si>
  <si>
    <t>0000116594</t>
  </si>
  <si>
    <t>Error while doing VF42</t>
  </si>
  <si>
    <t>FI-LOC-FI-TH</t>
  </si>
  <si>
    <t>002075129500001165942026</t>
  </si>
  <si>
    <t>Thailand</t>
  </si>
  <si>
    <t>https://me.sap.com/case/002075129500001165942026</t>
  </si>
  <si>
    <t>0000116648</t>
  </si>
  <si>
    <t>Cambodia(KH)-Separate number sequencing required for Tax and commercial invoice</t>
  </si>
  <si>
    <t>FI-LOC-CA-PT</t>
  </si>
  <si>
    <t>002075129500001166482026</t>
  </si>
  <si>
    <t>Portugal</t>
  </si>
  <si>
    <t>https://me.sap.com/case/002075129500001166482026</t>
  </si>
  <si>
    <t>0000116866</t>
  </si>
  <si>
    <t>Asset Highest Fiscal year showing as 2025 instead of 2026</t>
  </si>
  <si>
    <t>002075129500001168662026</t>
  </si>
  <si>
    <t>https://me.sap.com/case/002075129500001168662026</t>
  </si>
  <si>
    <t>0000104696</t>
  </si>
  <si>
    <t>Archived Forwarding Orders not getting displayed</t>
  </si>
  <si>
    <t>TM-FWM-FWO</t>
  </si>
  <si>
    <t>002075129500001046962026</t>
  </si>
  <si>
    <t>Forwarding Order</t>
  </si>
  <si>
    <t>https://me.sap.com/case/002075129500001046962026</t>
  </si>
  <si>
    <t>NS4</t>
  </si>
  <si>
    <t>000000000800504663</t>
  </si>
  <si>
    <t>0000105815</t>
  </si>
  <si>
    <t>Document Locked by WF-BATCH During Work Item Creation</t>
  </si>
  <si>
    <t>002075129500001058152026</t>
  </si>
  <si>
    <t>https://me.sap.com/case/002075129500001058152026</t>
  </si>
  <si>
    <t>0000106462</t>
  </si>
  <si>
    <t>NS5:Compatibility Package Usage</t>
  </si>
  <si>
    <t>XX-SER-REL-S4HANA</t>
  </si>
  <si>
    <t>002075129500001064622026</t>
  </si>
  <si>
    <t>Release Information for SAP S/4HANA</t>
  </si>
  <si>
    <t>CCMS Monitoring &amp; Alerting</t>
  </si>
  <si>
    <t>BC-CCM-MON</t>
  </si>
  <si>
    <t>https://me.sap.com/case/002075129500001064622026</t>
  </si>
  <si>
    <t>0000107208</t>
  </si>
  <si>
    <t>The interface from MP1 to MDG UI failed with time zone QAZ_05 doesn't exist</t>
  </si>
  <si>
    <t>BC-SRV-TIM-TZ</t>
  </si>
  <si>
    <t>002075129500001072082026</t>
  </si>
  <si>
    <t>Time zones</t>
  </si>
  <si>
    <t>https://me.sap.com/case/002075129500001072082026</t>
  </si>
  <si>
    <t>MP1</t>
  </si>
  <si>
    <t>000000000312348557</t>
  </si>
  <si>
    <t>0011539980</t>
  </si>
  <si>
    <t>RAR jobs are long running in SAP NR5 system.</t>
  </si>
  <si>
    <t>002028376700115399802026</t>
  </si>
  <si>
    <t>https://me.sap.com/case/002028376700115399802026</t>
  </si>
  <si>
    <t>0000103975</t>
  </si>
  <si>
    <t>Long running sessions in SAP PO Production system</t>
  </si>
  <si>
    <t>BC-XI-CON-AFW</t>
  </si>
  <si>
    <t>002075129400001039752026</t>
  </si>
  <si>
    <t>J2EE Adapter Framework</t>
  </si>
  <si>
    <t>https://me.sap.com/case/002075129400001039752026</t>
  </si>
  <si>
    <t>NP5</t>
  </si>
  <si>
    <t>000000000800516707</t>
  </si>
  <si>
    <t>0000097729</t>
  </si>
  <si>
    <t>Timeout Error_While Deploying from BAS to backend system</t>
  </si>
  <si>
    <t>002075129400000977292026</t>
  </si>
  <si>
    <t>https://me.sap.com/case/002075129400000977292026</t>
  </si>
  <si>
    <t>0000095503</t>
  </si>
  <si>
    <t>Issue in BR01 AA year end close</t>
  </si>
  <si>
    <t>002075129400000955032026</t>
  </si>
  <si>
    <t>https://me.sap.com/case/002075129400000955032026</t>
  </si>
  <si>
    <t>0000095791</t>
  </si>
  <si>
    <t>Not able to clear Vendor open line item through F-44</t>
  </si>
  <si>
    <t>002075129400000957912026</t>
  </si>
  <si>
    <t>Posting/Clearing/Special General Ledger</t>
  </si>
  <si>
    <t>FI-AR-AR-A</t>
  </si>
  <si>
    <t>https://me.sap.com/case/002075129400000957912026</t>
  </si>
  <si>
    <t>0000094060</t>
  </si>
  <si>
    <t>One-time location missing ADRC-CITY_CODE</t>
  </si>
  <si>
    <t>TM-MD-TN-LOC</t>
  </si>
  <si>
    <t>002075129500000940602026</t>
  </si>
  <si>
    <t>Location</t>
  </si>
  <si>
    <t>Transportation Network</t>
  </si>
  <si>
    <t>TM-MD-TN</t>
  </si>
  <si>
    <t>https://me.sap.com/case/002075129500000940602026</t>
  </si>
  <si>
    <t>0011511973</t>
  </si>
  <si>
    <t>Disk Size of Table CS_AUDIT_LOG_ Huge Even After Clearing the logs</t>
  </si>
  <si>
    <t>HAN-DB-SEC</t>
  </si>
  <si>
    <t>002028376700115119732026</t>
  </si>
  <si>
    <t>SAP HANA Security &amp; User Management</t>
  </si>
  <si>
    <t>https://me.sap.com/case/002028376700115119732026</t>
  </si>
  <si>
    <t>NH1</t>
  </si>
  <si>
    <t>000000000800743007</t>
  </si>
  <si>
    <t>0000088121</t>
  </si>
  <si>
    <t>Issue with Business Partner Creation</t>
  </si>
  <si>
    <t>CA-HR-S4-OP-BP</t>
  </si>
  <si>
    <t>002075129400000881212026</t>
  </si>
  <si>
    <t>HCM Business Partner Integration</t>
  </si>
  <si>
    <t>https://me.sap.com/case/002075129400000881212026</t>
  </si>
  <si>
    <t>0000089240</t>
  </si>
  <si>
    <t>Steampunk: Background Job Execution User – No Support for Dedicated Technical Batch User</t>
  </si>
  <si>
    <t>BC-SRV-APS-APJ</t>
  </si>
  <si>
    <t>002075129400000892402026</t>
  </si>
  <si>
    <t>Catalog based application job</t>
  </si>
  <si>
    <t>https://me.sap.com/case/002075129400000892402026</t>
  </si>
  <si>
    <t>0000089448</t>
  </si>
  <si>
    <t>No "INCLUDE" structure available for Poland Incoming E Invoice table "EDOPLINVIN"  in SAP ECC &amp; S/4 system</t>
  </si>
  <si>
    <t>002075129400000894482026</t>
  </si>
  <si>
    <t>https://me.sap.com/case/002075129400000894482026</t>
  </si>
  <si>
    <t>0000089674</t>
  </si>
  <si>
    <t>Poland Supplier E-Invoices are not getting pulled from KSEF  whereas batch Job in SAP DRC shows status as "completed"</t>
  </si>
  <si>
    <t>002075129400000896742026</t>
  </si>
  <si>
    <t>https://me.sap.com/case/002075129400000896742026</t>
  </si>
  <si>
    <t>0000090078</t>
  </si>
  <si>
    <t>Poland E Invoice duplicate response with different file name</t>
  </si>
  <si>
    <t>002075129400000900782026</t>
  </si>
  <si>
    <t>https://me.sap.com/case/002075129400000900782026</t>
  </si>
  <si>
    <t>0000090099</t>
  </si>
  <si>
    <t>DK03 two vendors balances are exactly matching but unable to clearing through F-44</t>
  </si>
  <si>
    <t>FI-AP-AP-A</t>
  </si>
  <si>
    <t>002075129400000900992026</t>
  </si>
  <si>
    <t>https://me.sap.com/case/002075129400000900992026</t>
  </si>
  <si>
    <t>0000083949</t>
  </si>
  <si>
    <t>NS5: Table Reorganization</t>
  </si>
  <si>
    <t>002075129500000839492026</t>
  </si>
  <si>
    <t>https://me.sap.com/case/002075129500000839492026</t>
  </si>
  <si>
    <t>0011501445</t>
  </si>
  <si>
    <t>error FAA_CMP079 while doing AJAB</t>
  </si>
  <si>
    <t>002028376700115014452026</t>
  </si>
  <si>
    <t>https://me.sap.com/case/002028376700115014452026</t>
  </si>
  <si>
    <t>0011505312</t>
  </si>
  <si>
    <t>SAP Note 3574316 cannot be implemented – missing CL_RSO_UT on DW4CORE 200 SP10</t>
  </si>
  <si>
    <t>BW4-DM-TRFN</t>
  </si>
  <si>
    <t>002028376700115053122026</t>
  </si>
  <si>
    <t>SAP HANA execution in Transformation and DTP</t>
  </si>
  <si>
    <t>https://me.sap.com/case/002028376700115053122026</t>
  </si>
  <si>
    <t>0000080229</t>
  </si>
  <si>
    <t>app auto logout control query</t>
  </si>
  <si>
    <t>EP-WZ-AAH</t>
  </si>
  <si>
    <t>002075129400000802292026</t>
  </si>
  <si>
    <t>Approuter, HTML Bootstrap, IAS integration, Site Service</t>
  </si>
  <si>
    <t>https://me.sap.com/case/002075129400000802292026</t>
  </si>
  <si>
    <t>0000080902</t>
  </si>
  <si>
    <t>Revaluation entries were not posted at the YTD balance after changes made NOIM to OIM</t>
  </si>
  <si>
    <t>002075129400000809022026</t>
  </si>
  <si>
    <t>https://me.sap.com/case/002075129400000809022026</t>
  </si>
  <si>
    <t>0000081670</t>
  </si>
  <si>
    <t>VIM_IES Extraction issue_Invoice number</t>
  </si>
  <si>
    <t>002075129400000816702026</t>
  </si>
  <si>
    <t>https://me.sap.com/case/002075129400000816702026</t>
  </si>
  <si>
    <t>0000083955</t>
  </si>
  <si>
    <t>Adidas Messages are failing in ML POP System</t>
  </si>
  <si>
    <t>BC-XI-CON-B2B-AS2</t>
  </si>
  <si>
    <t>002075129400000839552026</t>
  </si>
  <si>
    <t>Applicability Statement Protocol Adapter</t>
  </si>
  <si>
    <t>Rest Adapter</t>
  </si>
  <si>
    <t>BC-XI-CON-RST</t>
  </si>
  <si>
    <t>https://me.sap.com/case/002075129400000839552026</t>
  </si>
  <si>
    <t>0000077232</t>
  </si>
  <si>
    <t>Missing MDK Front-End Patch Details for SAP Note 3491448 (SSAM Multi values for  User Parameters)</t>
  </si>
  <si>
    <t>002075129500000772322026</t>
  </si>
  <si>
    <t>https://me.sap.com/case/002075129500000772322026</t>
  </si>
  <si>
    <t>0000074552</t>
  </si>
  <si>
    <t>Date extraction in wrong format</t>
  </si>
  <si>
    <t>002075129400000745522026</t>
  </si>
  <si>
    <t>https://me.sap.com/case/002075129400000745522026</t>
  </si>
  <si>
    <t>0000074774</t>
  </si>
  <si>
    <t>UI Action Buttons Not Working in Display Mode - RAP Application</t>
  </si>
  <si>
    <t>CA-UI5-FE</t>
  </si>
  <si>
    <t>002075129400000747742026</t>
  </si>
  <si>
    <t>Fiori Elements V4</t>
  </si>
  <si>
    <t>https://me.sap.com/case/002075129400000747742026</t>
  </si>
  <si>
    <t>0000076849</t>
  </si>
  <si>
    <t>004000011877-NR6-Tax amount being passed incorrectly in XML Poland E Invoice</t>
  </si>
  <si>
    <t>FI-LOC-CA-REP</t>
  </si>
  <si>
    <t>002075129400000768492026</t>
  </si>
  <si>
    <t>Reporting</t>
  </si>
  <si>
    <t>https://me.sap.com/case/002075129400000768492026</t>
  </si>
  <si>
    <t>0011480583</t>
  </si>
  <si>
    <t>Archiving USMD_CR in MDG</t>
  </si>
  <si>
    <t>CA-MDG-AF-CR</t>
  </si>
  <si>
    <t>002028376700114805832026</t>
  </si>
  <si>
    <t>Single Object Processing/APIs</t>
  </si>
  <si>
    <t>https://me.sap.com/case/002028376700114805832026</t>
  </si>
  <si>
    <t>NM4</t>
  </si>
  <si>
    <t>000000000850484313</t>
  </si>
  <si>
    <t>0000066308</t>
  </si>
  <si>
    <t>Dispute charges are not copied to Freight Document upon Resolving the Dispute</t>
  </si>
  <si>
    <t>002075129400000663082026</t>
  </si>
  <si>
    <t>Freight Order</t>
  </si>
  <si>
    <t>TM-FRM-FRO</t>
  </si>
  <si>
    <t>https://me.sap.com/case/002075129400000663082026</t>
  </si>
  <si>
    <t>0000065321</t>
  </si>
  <si>
    <t>ABAP Runtime Error CONVT_DATA_LOSS During Object Checks for TRs in SolMan</t>
  </si>
  <si>
    <t>BC-UPG-NA</t>
  </si>
  <si>
    <t>002075129500000653212026</t>
  </si>
  <si>
    <t>Note Assistant</t>
  </si>
  <si>
    <t>https://me.sap.com/case/002075129500000653212026</t>
  </si>
  <si>
    <t>0000059816</t>
  </si>
  <si>
    <t>Line Item value extraction issue</t>
  </si>
  <si>
    <t>002075129400000598162026</t>
  </si>
  <si>
    <t>https://me.sap.com/case/002075129400000598162026</t>
  </si>
  <si>
    <t>0000059978</t>
  </si>
  <si>
    <t>3616490 Snote Error - Unknown column name "PARENT_TYPE"</t>
  </si>
  <si>
    <t>SV-SCS-CCM</t>
  </si>
  <si>
    <t>002075129400000599782026</t>
  </si>
  <si>
    <t>Custom Code Analytics</t>
  </si>
  <si>
    <t>https://me.sap.com/case/002075129400000599782026</t>
  </si>
  <si>
    <t>0000060154</t>
  </si>
  <si>
    <t>Incoming MT940 Bank statement Gives opening / closing balance mis match error</t>
  </si>
  <si>
    <t>FI-BL-PT-BA</t>
  </si>
  <si>
    <t>002075129400000601542026</t>
  </si>
  <si>
    <t>bank statement</t>
  </si>
  <si>
    <t>https://me.sap.com/case/002075129400000601542026</t>
  </si>
  <si>
    <t>0000050220</t>
  </si>
  <si>
    <t>Issue with Profit center assignment in Concur document posting</t>
  </si>
  <si>
    <t>002075129400000502202026</t>
  </si>
  <si>
    <t>https://me.sap.com/case/002075129400000502202026</t>
  </si>
  <si>
    <t>0000051426</t>
  </si>
  <si>
    <t>Not able Fetch Incoming Invoices from KSEF Batch job  in DRC going into error status without detailed information</t>
  </si>
  <si>
    <t>002075129400000514262026</t>
  </si>
  <si>
    <t>https://me.sap.com/case/002075129400000514262026</t>
  </si>
  <si>
    <t>0000052934</t>
  </si>
  <si>
    <t>Tax not getting calculated when user trying post the park docs from FV60.</t>
  </si>
  <si>
    <t>FI-GL-GL-F</t>
  </si>
  <si>
    <t>002075129400000529342026</t>
  </si>
  <si>
    <t>Value Added Tax (VAT)</t>
  </si>
  <si>
    <t>https://me.sap.com/case/002075129400000529342026</t>
  </si>
  <si>
    <t>0000040808</t>
  </si>
  <si>
    <t>Revenue Recognition Issue</t>
  </si>
  <si>
    <t>SD-BIL-RR</t>
  </si>
  <si>
    <t>002075129400000408082026</t>
  </si>
  <si>
    <t>Revenue Recognition</t>
  </si>
  <si>
    <t>https://me.sap.com/case/002075129400000408082026</t>
  </si>
  <si>
    <t>0000041491</t>
  </si>
  <si>
    <t>Unable to delete the bank statement</t>
  </si>
  <si>
    <t>002075129400000414912026</t>
  </si>
  <si>
    <t>https://me.sap.com/case/002075129400000414912026</t>
  </si>
  <si>
    <t>0000043355</t>
  </si>
  <si>
    <t>Poland E Invoice error</t>
  </si>
  <si>
    <t>002075129400000433552026</t>
  </si>
  <si>
    <t>https://me.sap.com/case/002075129400000433552026</t>
  </si>
  <si>
    <t>0000039959</t>
  </si>
  <si>
    <t>Tosca Vision AI Error</t>
  </si>
  <si>
    <t>XX-PART-TRI-ECT</t>
  </si>
  <si>
    <t>002075129500000399592026</t>
  </si>
  <si>
    <t>SAP Enterprise Continuous Testing by Tricentis</t>
  </si>
  <si>
    <t>https://me.sap.com/case/002075129500000399592026</t>
  </si>
  <si>
    <t>SAP Enterprise Continuous Testing by Tri</t>
  </si>
  <si>
    <t>TRCT</t>
  </si>
  <si>
    <t>BTP Other</t>
  </si>
  <si>
    <t>SABTPADI.2026</t>
  </si>
  <si>
    <t>000000000742439233</t>
  </si>
  <si>
    <t>0000040187</t>
  </si>
  <si>
    <t>PRB0068796 - When Dispute case has mix of approve and reject then Dispute case getting resolved</t>
  </si>
  <si>
    <t>002075129500000401872026</t>
  </si>
  <si>
    <t>https://me.sap.com/case/002075129500000401872026</t>
  </si>
  <si>
    <t>0000041433</t>
  </si>
  <si>
    <t>Timeout Dump in /SCMTMS/RES01 due to Unrestricted Select</t>
  </si>
  <si>
    <t>TM-MD-RES</t>
  </si>
  <si>
    <t>002075129500000414332026</t>
  </si>
  <si>
    <t>Resource</t>
  </si>
  <si>
    <t>https://me.sap.com/case/002075129500000414332026</t>
  </si>
  <si>
    <t>0000043588</t>
  </si>
  <si>
    <t>Update Notification Screen Does Not Retain Entered Details After Navigation</t>
  </si>
  <si>
    <t>002075129500000435882026</t>
  </si>
  <si>
    <t>https://me.sap.com/case/002075129500000435882026</t>
  </si>
  <si>
    <t>0011436682</t>
  </si>
  <si>
    <t>The Net Order Value is incorrect due to Price Per Unit inconsistency</t>
  </si>
  <si>
    <t>MM-FIO-PUR-REQ-SSP</t>
  </si>
  <si>
    <t>002028376700114366822026</t>
  </si>
  <si>
    <t>Fiori UI for Self Service Procurement</t>
  </si>
  <si>
    <t>Follow-Up Case</t>
  </si>
  <si>
    <t>https://me.sap.com/case/002028376700114366822026</t>
  </si>
  <si>
    <t>0000035665</t>
  </si>
  <si>
    <t>002075129400000356652026</t>
  </si>
  <si>
    <t>https://me.sap.com/case/002075129400000356652026</t>
  </si>
  <si>
    <t>0000035018</t>
  </si>
  <si>
    <t>Incorrect amount of FSD/FRO in field "Total amount in Local Currency"</t>
  </si>
  <si>
    <t>TM-FRS</t>
  </si>
  <si>
    <t>002075129500000350182026</t>
  </si>
  <si>
    <t>Freight Settlement</t>
  </si>
  <si>
    <t>https://me.sap.com/case/002075129500000350182026</t>
  </si>
  <si>
    <t>0011421093</t>
  </si>
  <si>
    <t>Savepoint critical blocking phases duration</t>
  </si>
  <si>
    <t>002028376700114210932026</t>
  </si>
  <si>
    <t>https://me.sap.com/case/002028376700114210932026</t>
  </si>
  <si>
    <t>0000027435</t>
  </si>
  <si>
    <t>Customer Master – ABC Classification (KNVV_KLABC) field under Sales area in MDG UI (MDG CR) - MD9 system</t>
  </si>
  <si>
    <t>CA-MDG-APP-BP</t>
  </si>
  <si>
    <t>002075129400000274352026</t>
  </si>
  <si>
    <t>Business Partner (Central Parts)</t>
  </si>
  <si>
    <t>https://me.sap.com/case/002075129400000274352026</t>
  </si>
  <si>
    <t>MD9</t>
  </si>
  <si>
    <t>000000000312315586</t>
  </si>
  <si>
    <t>0000027760</t>
  </si>
  <si>
    <t>Unable to run business rules in test procedures</t>
  </si>
  <si>
    <t>002075129400000277602026</t>
  </si>
  <si>
    <t>https://me.sap.com/case/002075129400000277602026</t>
  </si>
  <si>
    <t>0000027857</t>
  </si>
  <si>
    <t>Issue with business rule procedures in audit management</t>
  </si>
  <si>
    <t>002075129400000278572026</t>
  </si>
  <si>
    <t>https://me.sap.com/case/002075129400000278572026</t>
  </si>
  <si>
    <t>0000028052</t>
  </si>
  <si>
    <t>VIM_ItemQualifier = AdditionalCosts_at OCR</t>
  </si>
  <si>
    <t>002075129400000280522026</t>
  </si>
  <si>
    <t>https://me.sap.com/case/002075129400000280522026</t>
  </si>
  <si>
    <t>0000029439</t>
  </si>
  <si>
    <t>Extraction of negative value for NET/GROSS amount</t>
  </si>
  <si>
    <t>002075129400000294392026</t>
  </si>
  <si>
    <t>https://me.sap.com/case/002075129400000294392026</t>
  </si>
  <si>
    <t>0000030784</t>
  </si>
  <si>
    <t>Missing follow-on Documents (i.e. Accounting documents) for IR# 5114052934</t>
  </si>
  <si>
    <t>CO-PC-ACT</t>
  </si>
  <si>
    <t>002075129400000307842026</t>
  </si>
  <si>
    <t>Actual Costing</t>
  </si>
  <si>
    <t>https://me.sap.com/case/002075129400000307842026</t>
  </si>
  <si>
    <t>0000026584</t>
  </si>
  <si>
    <t>Plant address is getting updated after updating PR delivery address</t>
  </si>
  <si>
    <t>MM-PUR-GF-ADR</t>
  </si>
  <si>
    <t>002075129500000265842026</t>
  </si>
  <si>
    <t>Addresses</t>
  </si>
  <si>
    <t>https://me.sap.com/case/002075129500000265842026</t>
  </si>
  <si>
    <t>0000026913</t>
  </si>
  <si>
    <t>Back up HANA Configuration Parameter Files (INI Files) in HANA Data Backup</t>
  </si>
  <si>
    <t>002075129500000269132026</t>
  </si>
  <si>
    <t>https://me.sap.com/case/002075129500000269132026</t>
  </si>
  <si>
    <t>000000000800469258</t>
  </si>
  <si>
    <t>0011411469</t>
  </si>
  <si>
    <t>SOC3N is not getting cleanedup</t>
  </si>
  <si>
    <t>BC-SRV-COM</t>
  </si>
  <si>
    <t>002028376700114114692026</t>
  </si>
  <si>
    <t>Communication Services: Mail, Fax, SMS, Telephony</t>
  </si>
  <si>
    <t>https://me.sap.com/case/002028376700114114692026</t>
  </si>
  <si>
    <t>0000024291</t>
  </si>
  <si>
    <t>Issue in Concur postings, error Accounting Interface: Balance in Transaction Currency</t>
  </si>
  <si>
    <t>002075129400000242912026</t>
  </si>
  <si>
    <t>https://me.sap.com/case/002075129400000242912026</t>
  </si>
  <si>
    <t>0000020757</t>
  </si>
  <si>
    <t>edoc_cockpit error: iFlow Exception at Main iFlow: SMP_CALL_FAILED</t>
  </si>
  <si>
    <t>002075129500000207572026</t>
  </si>
  <si>
    <t>https://me.sap.com/case/002075129500000207572026</t>
  </si>
  <si>
    <t>0000021679</t>
  </si>
  <si>
    <t>High Paging Rate alert in BW system - WP1</t>
  </si>
  <si>
    <t>SV-SMG-MON-ALR-PRV</t>
  </si>
  <si>
    <t>002075129500000216792026</t>
  </si>
  <si>
    <t>Metric / Event Provider Connector</t>
  </si>
  <si>
    <t>https://me.sap.com/case/002075129500000216792026</t>
  </si>
  <si>
    <t>0000021879</t>
  </si>
  <si>
    <t>payment receipts in Angola for full and partial payments received from customers to be report in SAFT</t>
  </si>
  <si>
    <t>FI-LOC-CER-AO-BIL</t>
  </si>
  <si>
    <t>002075129500000218792026</t>
  </si>
  <si>
    <t>Digital Signature</t>
  </si>
  <si>
    <t>https://me.sap.com/case/002075129500000218792026</t>
  </si>
  <si>
    <t>0000015123</t>
  </si>
  <si>
    <t>PO number is not getting extracted</t>
  </si>
  <si>
    <t>002075129400000151232026</t>
  </si>
  <si>
    <t>https://me.sap.com/case/002075129400000151232026</t>
  </si>
  <si>
    <t>0000015125</t>
  </si>
  <si>
    <t>Reference 1286596/2025</t>
  </si>
  <si>
    <t>002075129400000151252026</t>
  </si>
  <si>
    <t>https://me.sap.com/case/002075129400000151252026</t>
  </si>
  <si>
    <t>0000018161</t>
  </si>
  <si>
    <t>Customer Master – ABC Classification (KNVV_KLABC) field under Sales area is not visible via MDG Ui (MDG CR)</t>
  </si>
  <si>
    <t>002075129400000181612026</t>
  </si>
  <si>
    <t>https://me.sap.com/case/002075129400000181612026</t>
  </si>
  <si>
    <t>0000018169</t>
  </si>
  <si>
    <t>Belgium E Invoice issue-BR-CL-22</t>
  </si>
  <si>
    <t>002075129400000181692026</t>
  </si>
  <si>
    <t>https://me.sap.com/case/002075129400000181692026</t>
  </si>
  <si>
    <t>0000020059</t>
  </si>
  <si>
    <t>Issue with Vendor staging table data</t>
  </si>
  <si>
    <t>002075129400000200592026</t>
  </si>
  <si>
    <t>https://me.sap.com/case/002075129400000200592026</t>
  </si>
  <si>
    <t>0000010253</t>
  </si>
  <si>
    <t>Log segments not free for reuse alerts on BW Production Hana DB</t>
  </si>
  <si>
    <t>HAN-DB-PER</t>
  </si>
  <si>
    <t>002075129400000102532026</t>
  </si>
  <si>
    <t>SAP HANA Database Persistence</t>
  </si>
  <si>
    <t>https://me.sap.com/case/002075129400000102532026</t>
  </si>
  <si>
    <t>0000010560</t>
  </si>
  <si>
    <t>Transaction in area 01 contradicts the net book value rule</t>
  </si>
  <si>
    <t>002075129400000105602026</t>
  </si>
  <si>
    <t>https://me.sap.com/case/002075129400000105602026</t>
  </si>
  <si>
    <t>0000010841</t>
  </si>
  <si>
    <t>Poland KSef - E Invoice number, QR code and Response XML</t>
  </si>
  <si>
    <t>002075129400000108412026</t>
  </si>
  <si>
    <t>https://me.sap.com/case/002075129400000108412026</t>
  </si>
  <si>
    <t>0000011108</t>
  </si>
  <si>
    <t>Poland E Invoice- Unable to Submit Invoice to KSeF</t>
  </si>
  <si>
    <t>002075129400000111082026</t>
  </si>
  <si>
    <t>https://me.sap.com/case/002075129400000111082026</t>
  </si>
  <si>
    <t>0000011141</t>
  </si>
  <si>
    <t>Poland E Invoice Issue while submission of E Invoice to KSeF</t>
  </si>
  <si>
    <t>002075129400000111412026</t>
  </si>
  <si>
    <t>https://me.sap.com/case/002075129400000111412026</t>
  </si>
  <si>
    <t>0000013749</t>
  </si>
  <si>
    <t>Concur Expense report getting failed in NR5</t>
  </si>
  <si>
    <t>002075129400000137492026</t>
  </si>
  <si>
    <t>https://me.sap.com/case/002075129400000137492026</t>
  </si>
  <si>
    <t>0000014161</t>
  </si>
  <si>
    <t>closed period (11) allowed posting and Period 11 in not opened in OB52</t>
  </si>
  <si>
    <t>002075129400000141612026</t>
  </si>
  <si>
    <t>https://me.sap.com/case/002075129400000141612026</t>
  </si>
  <si>
    <t>0000010460</t>
  </si>
  <si>
    <t>RSBCS_REORG selects multiple documents but does not delete them in SAP NS5 system</t>
  </si>
  <si>
    <t>002075129500000104602026</t>
  </si>
  <si>
    <t>Memory Management</t>
  </si>
  <si>
    <t>BC-CST-MM</t>
  </si>
  <si>
    <t>https://me.sap.com/case/002075129500000104602026</t>
  </si>
  <si>
    <t>0000006995</t>
  </si>
  <si>
    <t>NR5 - FKKDIPOTMPCOUNT growth management</t>
  </si>
  <si>
    <t>002075129400000069952026</t>
  </si>
  <si>
    <t>https://me.sap.com/case/002075129400000069952026</t>
  </si>
  <si>
    <t>0000005122</t>
  </si>
  <si>
    <t>002075129500000051222026</t>
  </si>
  <si>
    <t>https://me.sap.com/case/002075129500000051222026</t>
  </si>
  <si>
    <t>0000001571</t>
  </si>
  <si>
    <t>Greece E-invoicing implementation_XML Structure Change</t>
  </si>
  <si>
    <t>XX-PROJ-GR</t>
  </si>
  <si>
    <t>002075129400000015712026</t>
  </si>
  <si>
    <t>E - Invoicing (Greece)</t>
  </si>
  <si>
    <t>https://me.sap.com/case/002075129400000015712026</t>
  </si>
  <si>
    <t>RD1</t>
  </si>
  <si>
    <t>000000000310283884</t>
  </si>
  <si>
    <t>0000001675</t>
  </si>
  <si>
    <t>Greece E-invoicing implementation_XML Structure Change_Access Key</t>
  </si>
  <si>
    <t>002075129400000016752026</t>
  </si>
  <si>
    <t>https://me.sap.com/case/002075129400000016752026</t>
  </si>
  <si>
    <t>0000002336</t>
  </si>
  <si>
    <t>NL4 - HANA Failover issues</t>
  </si>
  <si>
    <t>002075129400000023362026</t>
  </si>
  <si>
    <t>https://me.sap.com/case/002075129400000023362026</t>
  </si>
  <si>
    <t>NL4</t>
  </si>
  <si>
    <t>000000000800550274</t>
  </si>
  <si>
    <t>0001569169</t>
  </si>
  <si>
    <t>special char extractrion ininvoice number field</t>
  </si>
  <si>
    <t>002075129400015691692025</t>
  </si>
  <si>
    <t>202512</t>
  </si>
  <si>
    <t>20254</t>
  </si>
  <si>
    <t>2025</t>
  </si>
  <si>
    <t>https://me.sap.com/case/002075129400015691692025</t>
  </si>
  <si>
    <t>0001569246</t>
  </si>
  <si>
    <t>extraction issue at line item level</t>
  </si>
  <si>
    <t>002075129400015692462025</t>
  </si>
  <si>
    <t>https://me.sap.com/case/002075129400015692462025</t>
  </si>
  <si>
    <t>0001508123</t>
  </si>
  <si>
    <t>NR5: Job Schedule Not Start After</t>
  </si>
  <si>
    <t>002075129500015081232025</t>
  </si>
  <si>
    <t>https://me.sap.com/case/002075129500015081232025</t>
  </si>
  <si>
    <t>0001508324</t>
  </si>
  <si>
    <t>Discrepancy between host server times</t>
  </si>
  <si>
    <t>002075129500015083242025</t>
  </si>
  <si>
    <t>BW2HANA authorization generation</t>
  </si>
  <si>
    <t>BW4-ME-HMOD-AUT</t>
  </si>
  <si>
    <t>https://me.sap.com/case/002075129500015083242025</t>
  </si>
  <si>
    <t>000000000800292950</t>
  </si>
  <si>
    <t>0001564931</t>
  </si>
  <si>
    <t>Unable to Deactivate Assets</t>
  </si>
  <si>
    <t>002075129400015649312025</t>
  </si>
  <si>
    <t>https://me.sap.com/case/002075129400015649312025</t>
  </si>
  <si>
    <t>0001567270</t>
  </si>
  <si>
    <t>FPE2 Edit transaction</t>
  </si>
  <si>
    <t>002075129400015672702025</t>
  </si>
  <si>
    <t>https://me.sap.com/case/002075129400015672702025</t>
  </si>
  <si>
    <t>0001567958</t>
  </si>
  <si>
    <t>Asset report mismatching</t>
  </si>
  <si>
    <t>FI-AA-IS</t>
  </si>
  <si>
    <t>002075129400015679582025</t>
  </si>
  <si>
    <t>https://me.sap.com/case/002075129400015679582025</t>
  </si>
  <si>
    <t>0001562191</t>
  </si>
  <si>
    <t>Auto clearing</t>
  </si>
  <si>
    <t>002075129400015621912025</t>
  </si>
  <si>
    <t>https://me.sap.com/case/002075129400015621912025</t>
  </si>
  <si>
    <t>0001563828</t>
  </si>
  <si>
    <t>CE41000_ACCT and COKA tables crossed 2 billion records in NR3 system- Need Advice in table cleanup</t>
  </si>
  <si>
    <t>CO-PA</t>
  </si>
  <si>
    <t>002075129400015638282025</t>
  </si>
  <si>
    <t>Profitability Analysis</t>
  </si>
  <si>
    <t>https://me.sap.com/case/002075129400015638282025</t>
  </si>
  <si>
    <t>NR3</t>
  </si>
  <si>
    <t>000000000850548163</t>
  </si>
  <si>
    <t>0001564298</t>
  </si>
  <si>
    <t>DFKKBIXBIT_DC table crossed 1 billion in NR5</t>
  </si>
  <si>
    <t>FI-CA-INV</t>
  </si>
  <si>
    <t>002075129400015642982025</t>
  </si>
  <si>
    <t>SAP HANA DB Engines</t>
  </si>
  <si>
    <t>HAN-DB-ENG</t>
  </si>
  <si>
    <t>https://me.sap.com/case/002075129400015642982025</t>
  </si>
  <si>
    <t>0001564761</t>
  </si>
  <si>
    <t>SGA Payroll file upload issue</t>
  </si>
  <si>
    <t>AC-INT</t>
  </si>
  <si>
    <t>002075129400015647612025</t>
  </si>
  <si>
    <t>Accounting Interface</t>
  </si>
  <si>
    <t>Payroll Functions</t>
  </si>
  <si>
    <t>PY-XX-PF</t>
  </si>
  <si>
    <t>https://me.sap.com/case/002075129400015647612025</t>
  </si>
  <si>
    <t>0001482280</t>
  </si>
  <si>
    <t>AP WebGUI screen recording automation error -"Place cursor on selected line" - SAP added new information</t>
  </si>
  <si>
    <t>BC-FES-WGU</t>
  </si>
  <si>
    <t>002075129500014822802025</t>
  </si>
  <si>
    <t>SAP GUI for HTML</t>
  </si>
  <si>
    <t>202552</t>
  </si>
  <si>
    <t>https://me.sap.com/case/002075129500014822802025</t>
  </si>
  <si>
    <t>0001559736</t>
  </si>
  <si>
    <t>002075129400015597362025</t>
  </si>
  <si>
    <t>https://me.sap.com/case/002075129400015597362025</t>
  </si>
  <si>
    <t>0001560020</t>
  </si>
  <si>
    <t>Revaluation calculation incorrectly posted by SAP_FCLOCO</t>
  </si>
  <si>
    <t>002075129400015600202025</t>
  </si>
  <si>
    <t>https://me.sap.com/case/002075129400015600202025</t>
  </si>
  <si>
    <t>0001555901</t>
  </si>
  <si>
    <t>ExMon - Missing Application log messages in SolMan TA1 for NR4 system</t>
  </si>
  <si>
    <t>SV-SMG-DIA-APP-EA</t>
  </si>
  <si>
    <t>002075129400015559012025</t>
  </si>
  <si>
    <t>Exception Analysis</t>
  </si>
  <si>
    <t>https://me.sap.com/case/002075129400015559012025</t>
  </si>
  <si>
    <t>0001555948</t>
  </si>
  <si>
    <t>Parked invoice deleted but still showing in PO history</t>
  </si>
  <si>
    <t>002075129400015559482025</t>
  </si>
  <si>
    <t>https://me.sap.com/case/002075129400015559482025</t>
  </si>
  <si>
    <t>0001556992</t>
  </si>
  <si>
    <t>Multiple Production DI graphs failing</t>
  </si>
  <si>
    <t>002075129400015569922025</t>
  </si>
  <si>
    <t>https://me.sap.com/case/002075129400015569922025</t>
  </si>
  <si>
    <t>0001557204</t>
  </si>
  <si>
    <t>Unable to post the Internal Payment Order</t>
  </si>
  <si>
    <t>FIN-FSCM-IHC</t>
  </si>
  <si>
    <t>002075129400015572042025</t>
  </si>
  <si>
    <t>FSCM In-House Cash</t>
  </si>
  <si>
    <t>https://me.sap.com/case/002075129400015572042025</t>
  </si>
  <si>
    <t>0001497151</t>
  </si>
  <si>
    <t>Deletion of temporary tables based on retention</t>
  </si>
  <si>
    <t>002075129500014971512025</t>
  </si>
  <si>
    <t>https://me.sap.com/case/002075129500014971512025</t>
  </si>
  <si>
    <t>0011336842</t>
  </si>
  <si>
    <t>September and August month TB in USD currency, Depreciation is more than Assets (As-sets value is 330K USD and Depreciation calculated is USD 533K) which is inc</t>
  </si>
  <si>
    <t>FI-AA-AA-B</t>
  </si>
  <si>
    <t>002028376700113368422025</t>
  </si>
  <si>
    <t>Transaction Figures / Valuation</t>
  </si>
  <si>
    <t>https://me.sap.com/case/002028376700113368422025</t>
  </si>
  <si>
    <t>0001550923</t>
  </si>
  <si>
    <t>The HANA table consistency checks are running longer than 40+ hrs , not progressing as expected</t>
  </si>
  <si>
    <t>002075129400015509232025</t>
  </si>
  <si>
    <t>https://me.sap.com/case/002075129400015509232025</t>
  </si>
  <si>
    <t>0001552626</t>
  </si>
  <si>
    <t>Config Node "Settings for Electronic Invoicing with KSeF" is displaying under SPRO setting for Poland E Invoice</t>
  </si>
  <si>
    <t>002075129400015526262025</t>
  </si>
  <si>
    <t>https://me.sap.com/case/002075129400015526262025</t>
  </si>
  <si>
    <t>0001553365</t>
  </si>
  <si>
    <t>Error While implementing NOTE -3676968</t>
  </si>
  <si>
    <t>002075129400015533652025</t>
  </si>
  <si>
    <t>https://me.sap.com/case/002075129400015533652025</t>
  </si>
  <si>
    <t>0001547423</t>
  </si>
  <si>
    <t>VIM DP_Missing FI doc in VIM Analytics and 1ITEM</t>
  </si>
  <si>
    <t>002075129400015474232025</t>
  </si>
  <si>
    <t>https://me.sap.com/case/002075129400015474232025</t>
  </si>
  <si>
    <t>0001548449</t>
  </si>
  <si>
    <t>Standard error preventing invoice posting after approval</t>
  </si>
  <si>
    <t>002075129400015484492025</t>
  </si>
  <si>
    <t>https://me.sap.com/case/002075129400015484492025</t>
  </si>
  <si>
    <t>0001544849</t>
  </si>
  <si>
    <t>RK2A1000_POST occupying most work processes from AIF jobs</t>
  </si>
  <si>
    <t>002075129400015448492025</t>
  </si>
  <si>
    <t>202551</t>
  </si>
  <si>
    <t>https://me.sap.com/case/002075129400015448492025</t>
  </si>
  <si>
    <t>0001540085</t>
  </si>
  <si>
    <t>extraction issue for Taiwan vendor</t>
  </si>
  <si>
    <t>002075129400015400852025</t>
  </si>
  <si>
    <t>https://me.sap.com/case/002075129400015400852025</t>
  </si>
  <si>
    <t>0001540162</t>
  </si>
  <si>
    <t>Extraction of leading zero in Invoice number field</t>
  </si>
  <si>
    <t>002075129400015401622025</t>
  </si>
  <si>
    <t>https://me.sap.com/case/002075129400015401622025</t>
  </si>
  <si>
    <t>0001540855</t>
  </si>
  <si>
    <t>payment not processed due to run time error</t>
  </si>
  <si>
    <t>002075129400015408552025</t>
  </si>
  <si>
    <t>https://me.sap.com/case/002075129400015408552025</t>
  </si>
  <si>
    <t>0001541774</t>
  </si>
  <si>
    <t>Unable to generate the Invoices after making changes to the number range external tick mark</t>
  </si>
  <si>
    <t>002075129400015417742025</t>
  </si>
  <si>
    <t>https://me.sap.com/case/002075129400015417742025</t>
  </si>
  <si>
    <t>0001480253</t>
  </si>
  <si>
    <t>0FI_ACDOCA_10 - Delta Extraction Sequence issue</t>
  </si>
  <si>
    <t>BW-BCT-FI-GL</t>
  </si>
  <si>
    <t>002075129500014802532025</t>
  </si>
  <si>
    <t>BW only - General Ledger</t>
  </si>
  <si>
    <t>https://me.sap.com/case/002075129500014802532025</t>
  </si>
  <si>
    <t>0001480292</t>
  </si>
  <si>
    <t>BW-WHM-DBA-ADSO</t>
  </si>
  <si>
    <t>002075129500014802922025</t>
  </si>
  <si>
    <t>DataStore Object (advanced)</t>
  </si>
  <si>
    <t>https://me.sap.com/case/002075129500014802922025</t>
  </si>
  <si>
    <t>0001536545</t>
  </si>
  <si>
    <t>Issue with Auto-Reversal of Journal Entries in SAP</t>
  </si>
  <si>
    <t>002075129400015365452025</t>
  </si>
  <si>
    <t>https://me.sap.com/case/002075129400015365452025</t>
  </si>
  <si>
    <t>0001536725</t>
  </si>
  <si>
    <t>Issue with bank key updation for Employee vendor creation</t>
  </si>
  <si>
    <t>002075129400015367252025</t>
  </si>
  <si>
    <t>https://me.sap.com/case/002075129400015367252025</t>
  </si>
  <si>
    <t>0001536979</t>
  </si>
  <si>
    <t>Adidas Messages are failing in ML POP System.</t>
  </si>
  <si>
    <t>BC-MID-CON-JCO</t>
  </si>
  <si>
    <t>002075129400015369792025</t>
  </si>
  <si>
    <t>Java-Connector</t>
  </si>
  <si>
    <t>https://me.sap.com/case/002075129400015369792025</t>
  </si>
  <si>
    <t>0001537828</t>
  </si>
  <si>
    <t>SD-BIL-CA</t>
  </si>
  <si>
    <t>002075129400015378282025</t>
  </si>
  <si>
    <t>Account Assignment</t>
  </si>
  <si>
    <t>https://me.sap.com/case/002075129400015378282025</t>
  </si>
  <si>
    <t>0001531855</t>
  </si>
  <si>
    <t>VIM_DP: Data Misallocation (DP# 6557254)</t>
  </si>
  <si>
    <t>002075129400015318552025</t>
  </si>
  <si>
    <t>https://me.sap.com/case/002075129400015318552025</t>
  </si>
  <si>
    <t>0001471272</t>
  </si>
  <si>
    <t>PO outbound message is getting triggered multiple time for a single PO</t>
  </si>
  <si>
    <t>MM-PUR-GF-ES</t>
  </si>
  <si>
    <t>002075129500014712722025</t>
  </si>
  <si>
    <t>Enterprise Services in Purchasing</t>
  </si>
  <si>
    <t>Userinterface - Purchase Orders</t>
  </si>
  <si>
    <t>MM-PUR-PO-GUI</t>
  </si>
  <si>
    <t>https://me.sap.com/case/002075129500014712722025</t>
  </si>
  <si>
    <t>0001472951</t>
  </si>
  <si>
    <t>Need a standard program to interface TCURS value from SAP ECC to S4 system</t>
  </si>
  <si>
    <t>BC-SRV-BSF-CUR</t>
  </si>
  <si>
    <t>002075129500014729512025</t>
  </si>
  <si>
    <t>Currency translation / Expiring currencies</t>
  </si>
  <si>
    <t>HRMD ALE Distribution</t>
  </si>
  <si>
    <t>BC-BMT-OM-ALE</t>
  </si>
  <si>
    <t>https://me.sap.com/case/002075129500014729512025</t>
  </si>
  <si>
    <t>0001522251</t>
  </si>
  <si>
    <t>2842389 - UKM001 relationship is limited to 999:999</t>
  </si>
  <si>
    <t>002075129400015222512025</t>
  </si>
  <si>
    <t>https://me.sap.com/case/002075129400015222512025</t>
  </si>
  <si>
    <t>0001526024</t>
  </si>
  <si>
    <t>Invoices taking time to process using copara via Batch job</t>
  </si>
  <si>
    <t>002075129400015260242025</t>
  </si>
  <si>
    <t>https://me.sap.com/case/002075129400015260242025</t>
  </si>
  <si>
    <t>0001462103</t>
  </si>
  <si>
    <t>Date format issue with SAC exports</t>
  </si>
  <si>
    <t>LOD-ANA-UNS-EXP</t>
  </si>
  <si>
    <t>002075129500014621032025</t>
  </si>
  <si>
    <t>Unified Story PDF/PPT/Excel/CSV Export</t>
  </si>
  <si>
    <t>https://me.sap.com/case/002075129500014621032025</t>
  </si>
  <si>
    <t>0001516374</t>
  </si>
  <si>
    <t>Communication with DS backend was unexpectedly closed in graph of SAP Data Intelligence</t>
  </si>
  <si>
    <t>002075129400015163742025</t>
  </si>
  <si>
    <t>https://me.sap.com/case/002075129400015163742025</t>
  </si>
  <si>
    <t>0001516384</t>
  </si>
  <si>
    <t>Different layout being generated in training</t>
  </si>
  <si>
    <t>002075129400015163842025</t>
  </si>
  <si>
    <t>https://me.sap.com/case/002075129400015163842025</t>
  </si>
  <si>
    <t>0001517708</t>
  </si>
  <si>
    <t>FICA posting amount is mismatching with invoice and credit note</t>
  </si>
  <si>
    <t>002075129400015177082025</t>
  </si>
  <si>
    <t>https://me.sap.com/case/002075129400015177082025</t>
  </si>
  <si>
    <t>0001520631</t>
  </si>
  <si>
    <t>Messages failing due to Kafka adapter deployment files missing error</t>
  </si>
  <si>
    <t>BC-XI-CON-IDO</t>
  </si>
  <si>
    <t>002075129400015206312025</t>
  </si>
  <si>
    <t>Idoc Adapter J2EE</t>
  </si>
  <si>
    <t>https://me.sap.com/case/002075129400015206312025</t>
  </si>
  <si>
    <t>0001459434</t>
  </si>
  <si>
    <t>SAP NQ5 hung ssue</t>
  </si>
  <si>
    <t>002075129500014594342025</t>
  </si>
  <si>
    <t>https://me.sap.com/case/002075129500014594342025</t>
  </si>
  <si>
    <t>0001508661</t>
  </si>
  <si>
    <t>Job order number not extracted from PDF</t>
  </si>
  <si>
    <t>002075129400015086612025</t>
  </si>
  <si>
    <t>202550</t>
  </si>
  <si>
    <t>https://me.sap.com/case/002075129400015086612025</t>
  </si>
  <si>
    <t>0001510683</t>
  </si>
  <si>
    <t>Issue while implementing note 3546585</t>
  </si>
  <si>
    <t>002075129400015106832025</t>
  </si>
  <si>
    <t>https://me.sap.com/case/002075129400015106832025</t>
  </si>
  <si>
    <t>0001451101</t>
  </si>
  <si>
    <t>TNMM - Issues : Field Length</t>
  </si>
  <si>
    <t>SD-BF-PR</t>
  </si>
  <si>
    <t>002075129500014511012025</t>
  </si>
  <si>
    <t>Pricing</t>
  </si>
  <si>
    <t>Amount Field Extension</t>
  </si>
  <si>
    <t>CA-FLE-AMT</t>
  </si>
  <si>
    <t>https://me.sap.com/case/002075129500014511012025</t>
  </si>
  <si>
    <t>0001452165</t>
  </si>
  <si>
    <t>Unable to open Layout (Adobe Lifecycle Designer) in SFP</t>
  </si>
  <si>
    <t>002075129500014521652025</t>
  </si>
  <si>
    <t>https://me.sap.com/case/002075129500014521652025</t>
  </si>
  <si>
    <t>ZS1</t>
  </si>
  <si>
    <t>000000000800762808</t>
  </si>
  <si>
    <t>0001502857</t>
  </si>
  <si>
    <t>Poland E Invoice-Error while opening XML</t>
  </si>
  <si>
    <t>002075129400015028572025</t>
  </si>
  <si>
    <t>https://me.sap.com/case/002075129400015028572025</t>
  </si>
  <si>
    <t>0001505565</t>
  </si>
  <si>
    <t>PRCD_ELEMENTS-KKURS value to overwrite with Condition to dcument currency combination</t>
  </si>
  <si>
    <t>002075129400015055652025</t>
  </si>
  <si>
    <t>https://me.sap.com/case/002075129400015055652025</t>
  </si>
  <si>
    <t>0001444955</t>
  </si>
  <si>
    <t>Issue with ICMON IDOC monitoring filters</t>
  </si>
  <si>
    <t>SV-SMG-MON-IPO-IC</t>
  </si>
  <si>
    <t>002075129500014449552025</t>
  </si>
  <si>
    <t>Interface Monitoring</t>
  </si>
  <si>
    <t>Damco Fact Solman tech inst.</t>
  </si>
  <si>
    <t>0020768277</t>
  </si>
  <si>
    <t>https://me.sap.com/case/002075129500014449552025</t>
  </si>
  <si>
    <t>TP5</t>
  </si>
  <si>
    <t>000000000850409744</t>
  </si>
  <si>
    <t>0001495195</t>
  </si>
  <si>
    <t>SAFT Report Error- Mismatch between invoice and credit note amount</t>
  </si>
  <si>
    <t>002075129400014951952025</t>
  </si>
  <si>
    <t>FI-LOC-SAF-PT</t>
  </si>
  <si>
    <t>https://me.sap.com/case/002075129400014951952025</t>
  </si>
  <si>
    <t>0001497171</t>
  </si>
  <si>
    <t>Messages are failing in SAP PO, due to Seeburger Receiver AS2 adapter issue.</t>
  </si>
  <si>
    <t>002075129400014971712025</t>
  </si>
  <si>
    <t>Connectivity</t>
  </si>
  <si>
    <t>BC-XI-CON</t>
  </si>
  <si>
    <t>https://me.sap.com/case/002075129400014971712025</t>
  </si>
  <si>
    <t>0001497955</t>
  </si>
  <si>
    <t>Depreciation is not running for company code - UA11</t>
  </si>
  <si>
    <t>002075129400014979552025</t>
  </si>
  <si>
    <t>https://me.sap.com/case/002075129400014979552025</t>
  </si>
  <si>
    <t>0001497979</t>
  </si>
  <si>
    <t>EDOPROCSTEPDETV-View Error-Poland E Invoice</t>
  </si>
  <si>
    <t>002075129400014979792025</t>
  </si>
  <si>
    <t>https://me.sap.com/case/002075129400014979792025</t>
  </si>
  <si>
    <t>0001498064</t>
  </si>
  <si>
    <t>Poland E Invoice DRC Setup support</t>
  </si>
  <si>
    <t>002075129400014980642025</t>
  </si>
  <si>
    <t>https://me.sap.com/case/002075129400014980642025</t>
  </si>
  <si>
    <t>0001498191</t>
  </si>
  <si>
    <t>Reg ID are not moving from status 71 to 72</t>
  </si>
  <si>
    <t>002075129400014981912025</t>
  </si>
  <si>
    <t>https://me.sap.com/case/002075129400014981912025</t>
  </si>
  <si>
    <t>0001499007</t>
  </si>
  <si>
    <t>002075129400014990072025</t>
  </si>
  <si>
    <t>https://me.sap.com/case/002075129400014990072025</t>
  </si>
  <si>
    <t>0001488009</t>
  </si>
  <si>
    <t>Documents not posted after Approval</t>
  </si>
  <si>
    <t>002075129400014880092025</t>
  </si>
  <si>
    <t>https://me.sap.com/case/002075129400014880092025</t>
  </si>
  <si>
    <t>0001488034</t>
  </si>
  <si>
    <t>Poland E Invoice Tax code mapping view dropdown issue</t>
  </si>
  <si>
    <t>002075129400014880342025</t>
  </si>
  <si>
    <t>https://me.sap.com/case/002075129400014880342025</t>
  </si>
  <si>
    <t>0001491325</t>
  </si>
  <si>
    <t>Required OpenText VIM CI 1285248</t>
  </si>
  <si>
    <t>002075129400014913252025</t>
  </si>
  <si>
    <t>https://me.sap.com/case/002075129400014913252025</t>
  </si>
  <si>
    <t>0001492049</t>
  </si>
  <si>
    <t>SAF-T Report Error</t>
  </si>
  <si>
    <t>002075129400014920492025</t>
  </si>
  <si>
    <t>https://me.sap.com/case/002075129400014920492025</t>
  </si>
  <si>
    <t>0001492533</t>
  </si>
  <si>
    <t>CCM - Extractor error</t>
  </si>
  <si>
    <t>SV-SMG-CCM</t>
  </si>
  <si>
    <t>002075129400014925332025</t>
  </si>
  <si>
    <t>Custom Code Management</t>
  </si>
  <si>
    <t>https://me.sap.com/case/002075129400014925332025</t>
  </si>
  <si>
    <t>0001493341</t>
  </si>
  <si>
    <t>Amount extraction issue for vendor " TRANSPAIS "</t>
  </si>
  <si>
    <t>002075129400014933412025</t>
  </si>
  <si>
    <t>https://me.sap.com/case/002075129400014933412025</t>
  </si>
  <si>
    <t>0001430190</t>
  </si>
  <si>
    <t>Unit of measure &amp; Price per unit is not visible in catalogue</t>
  </si>
  <si>
    <t>002075129500014301902025</t>
  </si>
  <si>
    <t>https://me.sap.com/case/002075129500014301902025</t>
  </si>
  <si>
    <t>0001483746</t>
  </si>
  <si>
    <t>Oracle Table stats showing in stale status - ARFCRSTATE</t>
  </si>
  <si>
    <t>BC-DB-ORA</t>
  </si>
  <si>
    <t>002075129400014837462025</t>
  </si>
  <si>
    <t>Oracle</t>
  </si>
  <si>
    <t>https://me.sap.com/case/002075129400014837462025</t>
  </si>
  <si>
    <t>0001484055</t>
  </si>
  <si>
    <t>Disable 'Show More' feature for Long Texts in RAP Application</t>
  </si>
  <si>
    <t>002075129400014840552025</t>
  </si>
  <si>
    <t>https://me.sap.com/case/002075129400014840552025</t>
  </si>
  <si>
    <t>0001485340</t>
  </si>
  <si>
    <t>Issue for business partner number in NR5 and NM5</t>
  </si>
  <si>
    <t>AP-MD-BP-GEN</t>
  </si>
  <si>
    <t>002075129400014853402025</t>
  </si>
  <si>
    <t>All Issues which are not belonging to any sub - components</t>
  </si>
  <si>
    <t>https://me.sap.com/case/002075129400014853402025</t>
  </si>
  <si>
    <t>0001486584</t>
  </si>
  <si>
    <t>HANA Failover issues</t>
  </si>
  <si>
    <t>002075129400014865842025</t>
  </si>
  <si>
    <t>https://me.sap.com/case/002075129400014865842025</t>
  </si>
  <si>
    <t>0001424745</t>
  </si>
  <si>
    <t>Balance sheet preparation: Error Message 1I 864 Invalid postings despite implementation of OSS Notes 2488836 &amp; 3049485</t>
  </si>
  <si>
    <t>002075129500014247452025</t>
  </si>
  <si>
    <t>https://me.sap.com/case/002075129500014247452025</t>
  </si>
  <si>
    <t>0001427550</t>
  </si>
  <si>
    <t>Bulgaria Currency Change over BGN -------&gt; EUR</t>
  </si>
  <si>
    <t>FI-LOC-LRQ-BG</t>
  </si>
  <si>
    <t>002075129500014275502025</t>
  </si>
  <si>
    <t>Bulgaria</t>
  </si>
  <si>
    <t>FI-LOC-FI-BG</t>
  </si>
  <si>
    <t>https://me.sap.com/case/002075129500014275502025</t>
  </si>
  <si>
    <t>0001471119</t>
  </si>
  <si>
    <t>Request Processing TimeOut During CDS Activation</t>
  </si>
  <si>
    <t>002075129400014711192025</t>
  </si>
  <si>
    <t>202549</t>
  </si>
  <si>
    <t>https://me.sap.com/case/002075129400014711192025</t>
  </si>
  <si>
    <t>0001410440</t>
  </si>
  <si>
    <t>Analytical View Not Supported for field type : SSTRG</t>
  </si>
  <si>
    <t>002075129500014104402025</t>
  </si>
  <si>
    <t>https://me.sap.com/case/002075129500014104402025</t>
  </si>
  <si>
    <t>0001412679</t>
  </si>
  <si>
    <t>Tolerance posting not available in BAPI_CTRACCONTRACTACCOUNT_CLR</t>
  </si>
  <si>
    <t>002075129500014126792025</t>
  </si>
  <si>
    <t>https://me.sap.com/case/002075129500014126792025</t>
  </si>
  <si>
    <t>0011196660</t>
  </si>
  <si>
    <t>Not able to close work item due to soldoc error</t>
  </si>
  <si>
    <t>002028376700111966602025</t>
  </si>
  <si>
    <t>https://me.sap.com/case/002028376700111966602025</t>
  </si>
  <si>
    <t>0001460960</t>
  </si>
  <si>
    <t>FICA Spain documents not generated SII (Edocuments)</t>
  </si>
  <si>
    <t>002075129400014609602025</t>
  </si>
  <si>
    <t>https://me.sap.com/case/002075129400014609602025</t>
  </si>
  <si>
    <t>0001461116</t>
  </si>
  <si>
    <t>The ABAP runtime error appears during manual amendments with or without BOM of MODS Sales Orders</t>
  </si>
  <si>
    <t>002075129400014611162025</t>
  </si>
  <si>
    <t>Output Determination</t>
  </si>
  <si>
    <t>SD-BF-OC</t>
  </si>
  <si>
    <t>https://me.sap.com/case/002075129400014611162025</t>
  </si>
  <si>
    <t>0001462010</t>
  </si>
  <si>
    <t>NR5 Errors in ABAP System Log for table /AIF/STD_IDX_TBL</t>
  </si>
  <si>
    <t>CA-GTF-AIF</t>
  </si>
  <si>
    <t>002075129400014620102025</t>
  </si>
  <si>
    <t>https://me.sap.com/case/002075129400014620102025</t>
  </si>
  <si>
    <t>0001463824</t>
  </si>
  <si>
    <t>Belgium E Invoice error while Payment Means are 49</t>
  </si>
  <si>
    <t>002075129400014638242025</t>
  </si>
  <si>
    <t>https://me.sap.com/case/002075129400014638242025</t>
  </si>
  <si>
    <t>0001465188</t>
  </si>
  <si>
    <t>Diff of GL amounts for the month end</t>
  </si>
  <si>
    <t>002075129400014651882025</t>
  </si>
  <si>
    <t>Revenue Accounting Analytics/Reporting</t>
  </si>
  <si>
    <t>FI-RA-ANA</t>
  </si>
  <si>
    <t>https://me.sap.com/case/002075129400014651882025</t>
  </si>
  <si>
    <t>0001467090</t>
  </si>
  <si>
    <t>NR5 - EWA Alert - A non-signed SAP Note was downloaded last time</t>
  </si>
  <si>
    <t>002075129400014670902025</t>
  </si>
  <si>
    <t>https://me.sap.com/case/002075129400014670902025</t>
  </si>
  <si>
    <t>0011193199</t>
  </si>
  <si>
    <t>Belgium Credit Note Issue for E Invoice creation - Pattern 2</t>
  </si>
  <si>
    <t>002028376700111931992025</t>
  </si>
  <si>
    <t>https://me.sap.com/case/002028376700111931992025</t>
  </si>
  <si>
    <t>0001455344</t>
  </si>
  <si>
    <t>Invoice number and VAT Amount extraction issue.</t>
  </si>
  <si>
    <t>002075129400014553442025</t>
  </si>
  <si>
    <t>https://me.sap.com/case/002075129400014553442025</t>
  </si>
  <si>
    <t>0001397193</t>
  </si>
  <si>
    <t>CDPOS TABLE Large size</t>
  </si>
  <si>
    <t>BC-SRV-ASF-CHD</t>
  </si>
  <si>
    <t>002075129500013971932025</t>
  </si>
  <si>
    <t>Change Documents</t>
  </si>
  <si>
    <t>https://me.sap.com/case/002075129500013971932025</t>
  </si>
  <si>
    <t>0001397399</t>
  </si>
  <si>
    <t>NR5 : High CPU consumption and  performance Issue</t>
  </si>
  <si>
    <t>002075129500013973992025</t>
  </si>
  <si>
    <t>https://me.sap.com/case/002075129500013973992025</t>
  </si>
  <si>
    <t>0001399265</t>
  </si>
  <si>
    <t>Consolidate email notification for Risk Management related planner activities</t>
  </si>
  <si>
    <t>002075129500013992652025</t>
  </si>
  <si>
    <t>https://me.sap.com/case/002075129500013992652025</t>
  </si>
  <si>
    <t>0001400061</t>
  </si>
  <si>
    <t>File Upload does not throw Validation error if PC/PCG is assigned multiple times to different PCG in Hierarchy</t>
  </si>
  <si>
    <t>CA-MDG-APP-FIN</t>
  </si>
  <si>
    <t>002075129500014000612025</t>
  </si>
  <si>
    <t>MDG Financials</t>
  </si>
  <si>
    <t>https://me.sap.com/case/002075129500014000612025</t>
  </si>
  <si>
    <t>NM7</t>
  </si>
  <si>
    <t>000000000800872929</t>
  </si>
  <si>
    <t>0001400443</t>
  </si>
  <si>
    <t>NB5 EWA - SAP HANA parameter recommendation</t>
  </si>
  <si>
    <t>002075129500014004432025</t>
  </si>
  <si>
    <t>https://me.sap.com/case/002075129500014004432025</t>
  </si>
  <si>
    <t>0001400979</t>
  </si>
  <si>
    <t>Work Order Duplication Issue in SAP Service and Asset Manager (SSAM)</t>
  </si>
  <si>
    <t>002075129500014009792025</t>
  </si>
  <si>
    <t>https://me.sap.com/case/002075129500014009792025</t>
  </si>
  <si>
    <t>000000000744782968</t>
  </si>
  <si>
    <t>0001451383</t>
  </si>
  <si>
    <t>Date format is not as per user profile in OCC Dynamic data provider</t>
  </si>
  <si>
    <t>SV-SMG-OST-FI</t>
  </si>
  <si>
    <t>002075129400014513832025</t>
  </si>
  <si>
    <t>Focused Insights</t>
  </si>
  <si>
    <t>https://me.sap.com/case/002075129400014513832025</t>
  </si>
  <si>
    <t>0001390865</t>
  </si>
  <si>
    <t>Wrong handler assigned</t>
  </si>
  <si>
    <t>002075129500013908652025</t>
  </si>
  <si>
    <t>https://me.sap.com/case/002075129500013908652025</t>
  </si>
  <si>
    <t>0001393956</t>
  </si>
  <si>
    <t>Import job is failing while importing Dimensions</t>
  </si>
  <si>
    <t>LOD-ANA-ACN</t>
  </si>
  <si>
    <t>002075129500013939562025</t>
  </si>
  <si>
    <t>SAC Content Network</t>
  </si>
  <si>
    <t>https://me.sap.com/case/002075129500013939562025</t>
  </si>
  <si>
    <t>0001394336</t>
  </si>
  <si>
    <t>When we pass fright order No in Fright order worklist. If the column was less than 20, it would show an error.</t>
  </si>
  <si>
    <t>002075129500013943362025</t>
  </si>
  <si>
    <t>https://me.sap.com/case/002075129500013943362025</t>
  </si>
  <si>
    <t>0001446588</t>
  </si>
  <si>
    <t>Issue in currency conversion of TRY / USD where USD amount is calculated as inflated.</t>
  </si>
  <si>
    <t>002075129400014465882025</t>
  </si>
  <si>
    <t>202511</t>
  </si>
  <si>
    <t>202548</t>
  </si>
  <si>
    <t>https://me.sap.com/case/002075129400014465882025</t>
  </si>
  <si>
    <t>0001446279</t>
  </si>
  <si>
    <t>Duplicate Fields in Adapt Filters - RAP Application</t>
  </si>
  <si>
    <t>BC-ESI-RAP-SRV</t>
  </si>
  <si>
    <t>002075129400014462792025</t>
  </si>
  <si>
    <t>RESTful ABAP Programming Model Services</t>
  </si>
  <si>
    <t>https://me.sap.com/case/002075129400014462792025</t>
  </si>
  <si>
    <t>0001441814</t>
  </si>
  <si>
    <t>VIM_Missing MM &amp; FI Document for DP# 6611914</t>
  </si>
  <si>
    <t>002075129400014418142025</t>
  </si>
  <si>
    <t>https://me.sap.com/case/002075129400014418142025</t>
  </si>
  <si>
    <t>0001442136</t>
  </si>
  <si>
    <t>Posting date Inconsistency : posting date in vim is different from posting date in FI doccument</t>
  </si>
  <si>
    <t>002075129400014421362025</t>
  </si>
  <si>
    <t>https://me.sap.com/case/002075129400014421362025</t>
  </si>
  <si>
    <t>0001444202</t>
  </si>
  <si>
    <t>Incorrect Customer Pickup dates in FWO</t>
  </si>
  <si>
    <t>002075129400014442022025</t>
  </si>
  <si>
    <t>https://me.sap.com/case/002075129400014442022025</t>
  </si>
  <si>
    <t>0001444964</t>
  </si>
  <si>
    <t>Default selection Filter to Contains instead of equal to in SAP RAP Application</t>
  </si>
  <si>
    <t>002075129400014449642025</t>
  </si>
  <si>
    <t>https://me.sap.com/case/002075129400014449642025</t>
  </si>
  <si>
    <t>0001384680</t>
  </si>
  <si>
    <t>Dump is raised – Access Previously Deleted Entity while creating supplier and customer</t>
  </si>
  <si>
    <t>002075129500013846802025</t>
  </si>
  <si>
    <t>https://me.sap.com/case/002075129500013846802025</t>
  </si>
  <si>
    <t>NM3</t>
  </si>
  <si>
    <t>000000000850448589</t>
  </si>
  <si>
    <t>0001384803</t>
  </si>
  <si>
    <t>500 Internal Server Error; Dereferencing of the NULL reference</t>
  </si>
  <si>
    <t>CA-MDG-APP-CA</t>
  </si>
  <si>
    <t>002075129500013848032025</t>
  </si>
  <si>
    <t>https://me.sap.com/case/002075129500013848032025</t>
  </si>
  <si>
    <t>0001437346</t>
  </si>
  <si>
    <t>Line Item extraction issue for layout id linked with multiple vendors</t>
  </si>
  <si>
    <t>002075129400014373462025</t>
  </si>
  <si>
    <t>https://me.sap.com/case/002075129400014373462025</t>
  </si>
  <si>
    <t>0001437829</t>
  </si>
  <si>
    <t>SAP_IPA_00015: Internal server error. Correlation ID: c29ec81d-006b-45c1-79e3-04d04032bb9e in SBPA all systems</t>
  </si>
  <si>
    <t>CA-ML-IPA-EXE-MTR</t>
  </si>
  <si>
    <t>Cloud Infrastructure</t>
  </si>
  <si>
    <t>IT infrastructure (Availability, Network, etc.)</t>
  </si>
  <si>
    <t>002075129400014378292025</t>
  </si>
  <si>
    <t>IRPA Execute - Monitoring</t>
  </si>
  <si>
    <t>LCNC Application Development Lobby</t>
  </si>
  <si>
    <t>CA-AP-LBY</t>
  </si>
  <si>
    <t>https://me.sap.com/case/002075129400014378292025</t>
  </si>
  <si>
    <t>SAP Build Process Automation</t>
  </si>
  <si>
    <t>SPA</t>
  </si>
  <si>
    <t>000000000743495016</t>
  </si>
  <si>
    <t>0001430493</t>
  </si>
  <si>
    <t>ML failing at regular intervals</t>
  </si>
  <si>
    <t>002075129400014304932025</t>
  </si>
  <si>
    <t>https://me.sap.com/case/002075129400014304932025</t>
  </si>
  <si>
    <t>0001433327</t>
  </si>
  <si>
    <t>Belgium E Invoice-Error all should be tax category O</t>
  </si>
  <si>
    <t>002075129400014333272025</t>
  </si>
  <si>
    <t>https://me.sap.com/case/002075129400014333272025</t>
  </si>
  <si>
    <t>0001434023</t>
  </si>
  <si>
    <t>Belgium E Invoice Response XML contains junk values</t>
  </si>
  <si>
    <t>002075129400014340232025</t>
  </si>
  <si>
    <t>https://me.sap.com/case/002075129400014340232025</t>
  </si>
  <si>
    <t>0001434027</t>
  </si>
  <si>
    <t>POB cancellation does not reverse Contract liability balance</t>
  </si>
  <si>
    <t>002075129400014340272025</t>
  </si>
  <si>
    <t>https://me.sap.com/case/002075129400014340272025</t>
  </si>
  <si>
    <t>DR4</t>
  </si>
  <si>
    <t>000000000850876165</t>
  </si>
  <si>
    <t>0001375234</t>
  </si>
  <si>
    <t>NS5 - CX_ODQ_TIMEOUT multiple dumps from RFC_TM &amp; BWREMOTE Users</t>
  </si>
  <si>
    <t>BC-BW-ODP</t>
  </si>
  <si>
    <t>002075129500013752342025</t>
  </si>
  <si>
    <t>Operational Data Provisioning (ODP) and Delta Queue (ODQ)</t>
  </si>
  <si>
    <t>https://me.sap.com/case/002075129500013752342025</t>
  </si>
  <si>
    <t>0001375894</t>
  </si>
  <si>
    <t>Global Variant Creation Access is missing SAP SAC</t>
  </si>
  <si>
    <t>PCO-OPS-BAS</t>
  </si>
  <si>
    <t>002075129500013758942025</t>
  </si>
  <si>
    <t>ECS TechOps SAP Basis</t>
  </si>
  <si>
    <t>https://me.sap.com/case/002075129500013758942025</t>
  </si>
  <si>
    <t>0001376523</t>
  </si>
  <si>
    <t>Not receiving Belgium incoming Einvoices</t>
  </si>
  <si>
    <t>002075129500013765232025</t>
  </si>
  <si>
    <t>https://me.sap.com/case/002075129500013765232025</t>
  </si>
  <si>
    <t>0001427725</t>
  </si>
  <si>
    <t>Not able to delete dependency from material configuration profile for material: 100362.</t>
  </si>
  <si>
    <t>LO-VC</t>
  </si>
  <si>
    <t>002075129400014277252025</t>
  </si>
  <si>
    <t>Variant Configuration</t>
  </si>
  <si>
    <t>https://me.sap.com/case/002075129400014277252025</t>
  </si>
  <si>
    <t>0001427971</t>
  </si>
  <si>
    <t>Program: RFARR_RAI_PP_PROC_START running too longer than usual..</t>
  </si>
  <si>
    <t>CA-GTF-TS-PPM</t>
  </si>
  <si>
    <t>002075129400014279712025</t>
  </si>
  <si>
    <t>Batch Oriented Parallel Processing of Mass Data</t>
  </si>
  <si>
    <t>https://me.sap.com/case/002075129400014279712025</t>
  </si>
  <si>
    <t>0001368756</t>
  </si>
  <si>
    <t>RAR Job Running for Longer duration</t>
  </si>
  <si>
    <t>002075129500013687562025</t>
  </si>
  <si>
    <t>https://me.sap.com/case/002075129500013687562025</t>
  </si>
  <si>
    <t>0001370186</t>
  </si>
  <si>
    <t>Reject and Accept button for Belgium incoming invoices in EDOC_COCKPIT</t>
  </si>
  <si>
    <t>002075129500013701862025</t>
  </si>
  <si>
    <t>https://me.sap.com/case/002075129500013701862025</t>
  </si>
  <si>
    <t>0001418742</t>
  </si>
  <si>
    <t>Escalation email is not getting generated</t>
  </si>
  <si>
    <t>002075129400014187422025</t>
  </si>
  <si>
    <t>https://me.sap.com/case/002075129400014187422025</t>
  </si>
  <si>
    <t>0001419329</t>
  </si>
  <si>
    <t>Issue with Revenue Recognition adjustment</t>
  </si>
  <si>
    <t>002075129400014193292025</t>
  </si>
  <si>
    <t>https://me.sap.com/case/002075129400014193292025</t>
  </si>
  <si>
    <t>0001420628</t>
  </si>
  <si>
    <t>Issue with Contract account</t>
  </si>
  <si>
    <t>002075129400014206282025</t>
  </si>
  <si>
    <t>https://me.sap.com/case/002075129400014206282025</t>
  </si>
  <si>
    <t>0001420884</t>
  </si>
  <si>
    <t>Belgium E Invoice- Edocument not create for CI document 004000011632</t>
  </si>
  <si>
    <t>002075129400014208842025</t>
  </si>
  <si>
    <t>https://me.sap.com/case/002075129400014208842025</t>
  </si>
  <si>
    <t>0001422611</t>
  </si>
  <si>
    <t>Business Partner is not synchronizing</t>
  </si>
  <si>
    <t>002075129400014226112025</t>
  </si>
  <si>
    <t>https://me.sap.com/case/002075129400014226112025</t>
  </si>
  <si>
    <t>0001408084</t>
  </si>
  <si>
    <t>Status Inconsistency in VIM Analytics</t>
  </si>
  <si>
    <t>002075129400014080842025</t>
  </si>
  <si>
    <t>202547</t>
  </si>
  <si>
    <t>https://me.sap.com/case/002075129400014080842025</t>
  </si>
  <si>
    <t>0001412773</t>
  </si>
  <si>
    <t>rap service called from CPI  uses wrong comm user</t>
  </si>
  <si>
    <t>002075129400014127732025</t>
  </si>
  <si>
    <t>https://me.sap.com/case/002075129400014127732025</t>
  </si>
  <si>
    <t>0001402965</t>
  </si>
  <si>
    <t>002075129400014029652025</t>
  </si>
  <si>
    <t>https://me.sap.com/case/002075129400014029652025</t>
  </si>
  <si>
    <t>0001357711</t>
  </si>
  <si>
    <t>Team Assignments Not Fully Displayed in Edit User Dialog with New User Interface in SAP Analytics Cloud (SAC)</t>
  </si>
  <si>
    <t>LOD-ANA-LS</t>
  </si>
  <si>
    <t>002075129500013577112025</t>
  </si>
  <si>
    <t>Licensing and Full User Equivalent</t>
  </si>
  <si>
    <t>https://me.sap.com/case/002075129500013577112025</t>
  </si>
  <si>
    <t>0001393313</t>
  </si>
  <si>
    <t>AUOM Materialissue.</t>
  </si>
  <si>
    <t>LO-MD-MM</t>
  </si>
  <si>
    <t>002075129400013933132025</t>
  </si>
  <si>
    <t>Material Master</t>
  </si>
  <si>
    <t>https://me.sap.com/case/002075129400013933132025</t>
  </si>
  <si>
    <t>0001393494</t>
  </si>
  <si>
    <t>Belgium Credit Note Issue for E Invoice creation</t>
  </si>
  <si>
    <t>002075129400013934942025</t>
  </si>
  <si>
    <t>https://me.sap.com/case/002075129400013934942025</t>
  </si>
  <si>
    <t>0001375805</t>
  </si>
  <si>
    <t>Payment transactions in Production NR5 failed due to swift code of intermediary bank not reflected in XML file</t>
  </si>
  <si>
    <t>FI-AP-AP-B1</t>
  </si>
  <si>
    <t>002075129400013758052025</t>
  </si>
  <si>
    <t>Payment transfer (w/o DE,  US)</t>
  </si>
  <si>
    <t>https://me.sap.com/case/002075129400013758052025</t>
  </si>
  <si>
    <t>0001386475</t>
  </si>
  <si>
    <t>Invoice number extraction issue</t>
  </si>
  <si>
    <t>002075129400013864752025</t>
  </si>
  <si>
    <t>https://me.sap.com/case/002075129400013864752025</t>
  </si>
  <si>
    <t>0001386508</t>
  </si>
  <si>
    <t>Line item details extraction issue</t>
  </si>
  <si>
    <t>002075129400013865082025</t>
  </si>
  <si>
    <t>https://me.sap.com/case/002075129400013865082025</t>
  </si>
  <si>
    <t>0001345738</t>
  </si>
  <si>
    <t>Invoicing job is running for longer duration</t>
  </si>
  <si>
    <t>002075129500013457382025</t>
  </si>
  <si>
    <t>https://me.sap.com/case/002075129500013457382025</t>
  </si>
  <si>
    <t>0001347724</t>
  </si>
  <si>
    <t>Deletion of temporary tables using RSDDTMPTAB_DELETE</t>
  </si>
  <si>
    <t>BW4-AE-DBIF</t>
  </si>
  <si>
    <t>002075129500013477242025</t>
  </si>
  <si>
    <t>DB Interface Data Manager</t>
  </si>
  <si>
    <t>https://me.sap.com/case/002075129500013477242025</t>
  </si>
  <si>
    <t>0001381661</t>
  </si>
  <si>
    <t>Change document missing for internal order deletion via OKO5</t>
  </si>
  <si>
    <t>CO-OM-OPA-A</t>
  </si>
  <si>
    <t>002075129400013816612025</t>
  </si>
  <si>
    <t>https://me.sap.com/case/002075129400013816612025</t>
  </si>
  <si>
    <t>NR0</t>
  </si>
  <si>
    <t>000000000850558504</t>
  </si>
  <si>
    <t>0001382363</t>
  </si>
  <si>
    <t>/EDOPL Namespace AIF mapping is not available</t>
  </si>
  <si>
    <t>002075129400013823632025</t>
  </si>
  <si>
    <t>https://me.sap.com/case/002075129400013823632025</t>
  </si>
  <si>
    <t>0001373668</t>
  </si>
  <si>
    <t>Getting error FF805 while releasing accounting</t>
  </si>
  <si>
    <t>002075129400013736682025</t>
  </si>
  <si>
    <t>202546</t>
  </si>
  <si>
    <t>https://me.sap.com/case/002075129400013736682025</t>
  </si>
  <si>
    <t>0001373807</t>
  </si>
  <si>
    <t>Issue in Concur posting, getting Accounting Interface: Balance in Transaction Currency</t>
  </si>
  <si>
    <t>002075129400013738072025</t>
  </si>
  <si>
    <t>https://me.sap.com/case/002075129400013738072025</t>
  </si>
  <si>
    <t>0001374088</t>
  </si>
  <si>
    <t>Facing error in SAP :BP role MKK still in use; change to validity not allowed</t>
  </si>
  <si>
    <t>LO-MD-BP-WS</t>
  </si>
  <si>
    <t>002075129400013740882025</t>
  </si>
  <si>
    <t>Web Service for Business Partner</t>
  </si>
  <si>
    <t>Business Partner Roles</t>
  </si>
  <si>
    <t>AP-MD-BP-RL</t>
  </si>
  <si>
    <t>https://me.sap.com/case/002075129400013740882025</t>
  </si>
  <si>
    <t>0001375710</t>
  </si>
  <si>
    <t>VIM: /OPT/DR_BR_WAIT Job Performance &amp; Trace Document</t>
  </si>
  <si>
    <t>002075129400013757102025</t>
  </si>
  <si>
    <t>https://me.sap.com/case/002075129400013757102025</t>
  </si>
  <si>
    <t>0001330467</t>
  </si>
  <si>
    <t>Belgium Incoming Einvoice- Fields not updating in EDOC-COCKPIT</t>
  </si>
  <si>
    <t>002075129500013304672025</t>
  </si>
  <si>
    <t>https://me.sap.com/case/002075129500013304672025</t>
  </si>
  <si>
    <t>0001331902</t>
  </si>
  <si>
    <t>Data Export API from SAP Analytics Cloud to SAP Data Intelligence</t>
  </si>
  <si>
    <t>002075129500013319022025</t>
  </si>
  <si>
    <t>https://me.sap.com/case/002075129500013319022025</t>
  </si>
  <si>
    <t>000000000850519860</t>
  </si>
  <si>
    <t>0001366448</t>
  </si>
  <si>
    <t>service binding not published in non dev systems when transported via ctms</t>
  </si>
  <si>
    <t>BC-DWB-AIE-SRB</t>
  </si>
  <si>
    <t>002075129400013664482025</t>
  </si>
  <si>
    <t>RAP service binding</t>
  </si>
  <si>
    <t>https://me.sap.com/case/002075129400013664482025</t>
  </si>
  <si>
    <t>0001366543</t>
  </si>
  <si>
    <t>Withholding tax code are disappearing the Tax tab of VIM</t>
  </si>
  <si>
    <t>002075129400013665432025</t>
  </si>
  <si>
    <t>https://me.sap.com/case/002075129400013665432025</t>
  </si>
  <si>
    <t>0001366914</t>
  </si>
  <si>
    <t>Automatic Data Volume Reclaim Not Triggering in NG5 (HANA 2.0 SP07)</t>
  </si>
  <si>
    <t>HAN-LM-INS-DB</t>
  </si>
  <si>
    <t>002075129400013669142025</t>
  </si>
  <si>
    <t>Installation of HANA Database</t>
  </si>
  <si>
    <t>https://me.sap.com/case/002075129400013669142025</t>
  </si>
  <si>
    <t>0001367260</t>
  </si>
  <si>
    <t>002075129400013672602025</t>
  </si>
  <si>
    <t>https://me.sap.com/case/002075129400013672602025</t>
  </si>
  <si>
    <t>0001325777</t>
  </si>
  <si>
    <t>Frequent restarts for SAP NQ5 ADS system</t>
  </si>
  <si>
    <t>002075129500013257772025</t>
  </si>
  <si>
    <t>https://me.sap.com/case/002075129500013257772025</t>
  </si>
  <si>
    <t>0001359358</t>
  </si>
  <si>
    <t>TAC button not working</t>
  </si>
  <si>
    <t>002075129400013593582025</t>
  </si>
  <si>
    <t>https://me.sap.com/case/002075129400013593582025</t>
  </si>
  <si>
    <t>0001359732</t>
  </si>
  <si>
    <t>BIT Duplication check - BIT set to excepted but still getting considered in duplicate check</t>
  </si>
  <si>
    <t>002075129400013597322025</t>
  </si>
  <si>
    <t>https://me.sap.com/case/002075129400013597322025</t>
  </si>
  <si>
    <t>0001362482</t>
  </si>
  <si>
    <t>PSAPSR3DB table space filling fast in ML POR system</t>
  </si>
  <si>
    <t>BC-XI-CON-MSG</t>
  </si>
  <si>
    <t>002075129400013624822025</t>
  </si>
  <si>
    <t>Messaging System</t>
  </si>
  <si>
    <t>Enterprise Runtime, Core J2EE Framework</t>
  </si>
  <si>
    <t>BC-JAS-COR</t>
  </si>
  <si>
    <t>https://me.sap.com/case/002075129400013624822025</t>
  </si>
  <si>
    <t>POR</t>
  </si>
  <si>
    <t>000000000311957711</t>
  </si>
  <si>
    <t>0001363052</t>
  </si>
  <si>
    <t>Issue in RFA Template Configuration of SAP PaPM Cloud (Standard Model)</t>
  </si>
  <si>
    <t>002075129400013630522025</t>
  </si>
  <si>
    <t>https://me.sap.com/case/002075129400013630522025</t>
  </si>
  <si>
    <t>000000000743629652</t>
  </si>
  <si>
    <t>0001363306</t>
  </si>
  <si>
    <t>VIM_DP documents_Missing End Date</t>
  </si>
  <si>
    <t>002075129400013633062025</t>
  </si>
  <si>
    <t>https://me.sap.com/case/002075129400013633062025</t>
  </si>
  <si>
    <t>0001363731</t>
  </si>
  <si>
    <t>End users facing issue in opening invoice in SBWP</t>
  </si>
  <si>
    <t>BC-FES-CTL</t>
  </si>
  <si>
    <t>002075129400013637312025</t>
  </si>
  <si>
    <t>SAP GUI for Windows Controls</t>
  </si>
  <si>
    <t>Worklist Client</t>
  </si>
  <si>
    <t>BC-BMT-WFM-WLC</t>
  </si>
  <si>
    <t>https://me.sap.com/case/002075129400013637312025</t>
  </si>
  <si>
    <t>0001314982</t>
  </si>
  <si>
    <t>BGN Currency Expiry issue</t>
  </si>
  <si>
    <t>002075129500013149822025</t>
  </si>
  <si>
    <t>https://me.sap.com/case/002075129500013149822025</t>
  </si>
  <si>
    <t>0001354157</t>
  </si>
  <si>
    <t>Extraction is not working even after successfull training</t>
  </si>
  <si>
    <t>002075129400013541572025</t>
  </si>
  <si>
    <t>https://me.sap.com/case/002075129400013541572025</t>
  </si>
  <si>
    <t>0001356587</t>
  </si>
  <si>
    <t>CALL_FUNCTION_SEND_ERROR in NR5 APP01</t>
  </si>
  <si>
    <t>002075129400013565872025</t>
  </si>
  <si>
    <t>https://me.sap.com/case/002075129400013565872025</t>
  </si>
  <si>
    <t>0001309893</t>
  </si>
  <si>
    <t>Delete old RAI's from table DFKKRA_RAI_MI, DFKKRA_RAI_CO and DFKKBIXBIT_RAI</t>
  </si>
  <si>
    <t>002075129500013098932025</t>
  </si>
  <si>
    <t>https://me.sap.com/case/002075129500013098932025</t>
  </si>
  <si>
    <t>0001310434</t>
  </si>
  <si>
    <t>Control Key value  of the Operation screen should be get defaulted.</t>
  </si>
  <si>
    <t>002075129500013104342025</t>
  </si>
  <si>
    <t>https://me.sap.com/case/002075129500013104342025</t>
  </si>
  <si>
    <t>0001352778</t>
  </si>
  <si>
    <t>Unknown issue happened during fetching result. Reducing the batch size in EDOC_EU_PART_LOOKUP</t>
  </si>
  <si>
    <t>002075129400013527782025</t>
  </si>
  <si>
    <t>https://me.sap.com/case/002075129400013527782025</t>
  </si>
  <si>
    <t>0001304139</t>
  </si>
  <si>
    <t>Error in EDOC_EU_PART_LOOKUP for suppliers</t>
  </si>
  <si>
    <t>002075129500013041392025</t>
  </si>
  <si>
    <t>https://me.sap.com/case/002075129500013041392025</t>
  </si>
  <si>
    <t>0001345985</t>
  </si>
  <si>
    <t>Copy the data from production data to development system.</t>
  </si>
  <si>
    <t>002075129400013459852025</t>
  </si>
  <si>
    <t>202545</t>
  </si>
  <si>
    <t>https://me.sap.com/case/002075129400013459852025</t>
  </si>
  <si>
    <t>0001342457</t>
  </si>
  <si>
    <t>SAP BTP ABAP environment - Planned Downtime - Announcement - 15 November 2025</t>
  </si>
  <si>
    <t>002075129400013424572025</t>
  </si>
  <si>
    <t>https://me.sap.com/case/002075129400013424572025</t>
  </si>
  <si>
    <t>0001342965</t>
  </si>
  <si>
    <t>Issue with business partner synchronization</t>
  </si>
  <si>
    <t>002075129400013429652025</t>
  </si>
  <si>
    <t>Vendor Master</t>
  </si>
  <si>
    <t>LO-MD-BP-VM</t>
  </si>
  <si>
    <t>https://me.sap.com/case/002075129400013429652025</t>
  </si>
  <si>
    <t>0001339496</t>
  </si>
  <si>
    <t>Can we get Audit logs from server side (Dt. 06/11/2025)</t>
  </si>
  <si>
    <t>LOD-ANA-PL-DE</t>
  </si>
  <si>
    <t>002075129400013394962025</t>
  </si>
  <si>
    <t>Data Entry and Mass Data Entry</t>
  </si>
  <si>
    <t>https://me.sap.com/case/002075129400013394962025</t>
  </si>
  <si>
    <t>0001292972</t>
  </si>
  <si>
    <t>NL*: SLS Authentication HANA Database not accessible.</t>
  </si>
  <si>
    <t>002075129500012929722025</t>
  </si>
  <si>
    <t>SAP HANA BW Engine</t>
  </si>
  <si>
    <t>HAN-DB-ENG-BW</t>
  </si>
  <si>
    <t>mySAP WEB AS Installation</t>
  </si>
  <si>
    <t>0020155157</t>
  </si>
  <si>
    <t>https://me.sap.com/case/002075129500012929722025</t>
  </si>
  <si>
    <t>NL3</t>
  </si>
  <si>
    <t>000000000800755785</t>
  </si>
  <si>
    <t>0001327646</t>
  </si>
  <si>
    <t>FPCPL Issue</t>
  </si>
  <si>
    <t>002075129400013276462025</t>
  </si>
  <si>
    <t>https://me.sap.com/case/002075129400013276462025</t>
  </si>
  <si>
    <t>0001330075</t>
  </si>
  <si>
    <t>FX entry is required to be posted at the corresponding trading partner balances -Not with same trading partner nor Blank</t>
  </si>
  <si>
    <t>002075129400013300752025</t>
  </si>
  <si>
    <t>https://me.sap.com/case/002075129400013300752025</t>
  </si>
  <si>
    <t>0001331241</t>
  </si>
  <si>
    <t>Bypass issue reporting for control self assessments</t>
  </si>
  <si>
    <t>002075129400013312412025</t>
  </si>
  <si>
    <t>https://me.sap.com/case/002075129400013312412025</t>
  </si>
  <si>
    <t>0001332207</t>
  </si>
  <si>
    <t>SAC connectivity with ABAP CLOUD Environment - Publishing reporting is failing</t>
  </si>
  <si>
    <t>002075129400013322072025</t>
  </si>
  <si>
    <t>https://me.sap.com/case/002075129400013322072025</t>
  </si>
  <si>
    <t>0001332531</t>
  </si>
  <si>
    <t>Issue with Depreciation posting for N1 ledger</t>
  </si>
  <si>
    <t>002075129400013325312025</t>
  </si>
  <si>
    <t>https://me.sap.com/case/002075129400013325312025</t>
  </si>
  <si>
    <t>0001333592</t>
  </si>
  <si>
    <t>SCC5N : Semaphore could not be set - subrc:1 error</t>
  </si>
  <si>
    <t>BC-CTS-CCO</t>
  </si>
  <si>
    <t>002075129400013335922025</t>
  </si>
  <si>
    <t>Client Copy (For ByD issues select BC-TLM-CP)</t>
  </si>
  <si>
    <t>https://me.sap.com/case/002075129400013335922025</t>
  </si>
  <si>
    <t>0001286895</t>
  </si>
  <si>
    <t>Inconsistency error while generating COPA profitability segment</t>
  </si>
  <si>
    <t>CO-PA-ACT</t>
  </si>
  <si>
    <t>002075129500012868952025</t>
  </si>
  <si>
    <t>Flow of actual values</t>
  </si>
  <si>
    <t>https://me.sap.com/case/002075129500012868952025</t>
  </si>
  <si>
    <t>0001320650</t>
  </si>
  <si>
    <t>Extraction issue for NET Amount</t>
  </si>
  <si>
    <t>002075129400013206502025</t>
  </si>
  <si>
    <t>https://me.sap.com/case/002075129400013206502025</t>
  </si>
  <si>
    <t>0001322090</t>
  </si>
  <si>
    <t>VIM Status issue_Obsolete cases</t>
  </si>
  <si>
    <t>002075129400013220902025</t>
  </si>
  <si>
    <t>https://me.sap.com/case/002075129400013220902025</t>
  </si>
  <si>
    <t>0001322351</t>
  </si>
  <si>
    <t>/EDOPL Namespace is not available in NR6 for Poland E Invoicing</t>
  </si>
  <si>
    <t>002075129400013223512025</t>
  </si>
  <si>
    <t>https://me.sap.com/case/002075129400013223512025</t>
  </si>
  <si>
    <t>0001323286</t>
  </si>
  <si>
    <t>Severe Performance Degradation and Memory Allocation Errors in SLT-based DTPs Post BW/4HANA &amp; HANA DB Upgrade (WP1 Prod)</t>
  </si>
  <si>
    <t>002075129400013232862025</t>
  </si>
  <si>
    <t>ABAP Orchestration of Data Transfer Process</t>
  </si>
  <si>
    <t>BW4-DM-DTP</t>
  </si>
  <si>
    <t>https://me.sap.com/case/002075129400013232862025</t>
  </si>
  <si>
    <t>0001323500</t>
  </si>
  <si>
    <t>The handling execution status of stop changes after service is updated for the item of FRO</t>
  </si>
  <si>
    <t>002075129400013235002025</t>
  </si>
  <si>
    <t>https://me.sap.com/case/002075129400013235002025</t>
  </si>
  <si>
    <t>0001277845</t>
  </si>
  <si>
    <t>Request for Hyperlink Logic in Audit Management Dashboard for SAC Integration</t>
  </si>
  <si>
    <t>002075129500012778452025</t>
  </si>
  <si>
    <t>https://me.sap.com/case/002075129500012778452025</t>
  </si>
  <si>
    <t>0001277963</t>
  </si>
  <si>
    <t>Belgium E-invoicing EDOEUBUPAV table maintainance</t>
  </si>
  <si>
    <t>002075129500012779632025</t>
  </si>
  <si>
    <t>https://me.sap.com/case/002075129500012779632025</t>
  </si>
  <si>
    <t>0001280287</t>
  </si>
  <si>
    <t>IS Landscape Archiving Threshold frequency</t>
  </si>
  <si>
    <t>BC-CP-CF-SEC-IAM</t>
  </si>
  <si>
    <t>002075129500012802872025</t>
  </si>
  <si>
    <t>UAA, Authentication, Authorization, Trust Mgmnt</t>
  </si>
  <si>
    <t>Provisioning</t>
  </si>
  <si>
    <t>LOD-HCI-PI-OPS-PROV</t>
  </si>
  <si>
    <t>https://me.sap.com/case/002075129500012802872025</t>
  </si>
  <si>
    <t>0001281719</t>
  </si>
  <si>
    <t>KYMA [EU30] - Post Kyma Migration -Intermittent "404 Page Not Found" Error During SAP Login and Enable Now Pop-Up - SAP</t>
  </si>
  <si>
    <t>KM-SEN-MGR</t>
  </si>
  <si>
    <t>002075129500012817192025</t>
  </si>
  <si>
    <t>SAP Enable Now - Manager</t>
  </si>
  <si>
    <t>SAP Companion former known as Web Assistant</t>
  </si>
  <si>
    <t>KM-SEN-CMP</t>
  </si>
  <si>
    <t>https://me.sap.com/case/002075129500012817192025</t>
  </si>
  <si>
    <t>SAP Enable Now</t>
  </si>
  <si>
    <t>WPB</t>
  </si>
  <si>
    <t>Other</t>
  </si>
  <si>
    <t>SAOTHER.2026</t>
  </si>
  <si>
    <t>Training and Adoption</t>
  </si>
  <si>
    <t>PFEDU.2026</t>
  </si>
  <si>
    <t>K_WPBEU1</t>
  </si>
  <si>
    <t>000000000742944543</t>
  </si>
  <si>
    <t>0001314852</t>
  </si>
  <si>
    <t>OpenText VIM - Unable to Activate the IC4SAP Profiles with SNAPSHOT data</t>
  </si>
  <si>
    <t>002075129400013148522025</t>
  </si>
  <si>
    <t>Business Workflow</t>
  </si>
  <si>
    <t>BC-BMT-WFM</t>
  </si>
  <si>
    <t>https://me.sap.com/case/002075129400013148522025</t>
  </si>
  <si>
    <t>000000000311982723</t>
  </si>
  <si>
    <t>0001316266</t>
  </si>
  <si>
    <t>Multiple Change Entries in Communication Data Replication.</t>
  </si>
  <si>
    <t>AP-MD-BP-CD</t>
  </si>
  <si>
    <t>002075129400013162662025</t>
  </si>
  <si>
    <t>Business Partner Change Documents</t>
  </si>
  <si>
    <t>https://me.sap.com/case/002075129400013162662025</t>
  </si>
  <si>
    <t>0001318626</t>
  </si>
  <si>
    <t>Long-running threads in the SAP PO system are causing unavailability of the NP5 system.</t>
  </si>
  <si>
    <t>002075129400013186262025</t>
  </si>
  <si>
    <t>https://me.sap.com/case/002075129400013186262025</t>
  </si>
  <si>
    <t>0001269081</t>
  </si>
  <si>
    <t>Wrong currency exchange rate determination</t>
  </si>
  <si>
    <t>002075129500012690812025</t>
  </si>
  <si>
    <t>202544</t>
  </si>
  <si>
    <t>https://me.sap.com/case/002075129500012690812025</t>
  </si>
  <si>
    <t>0001269498</t>
  </si>
  <si>
    <t>Business Partner is not replicated in MDG system</t>
  </si>
  <si>
    <t>002075129500012694982025</t>
  </si>
  <si>
    <t>https://me.sap.com/case/002075129500012694982025</t>
  </si>
  <si>
    <t>0001308152</t>
  </si>
  <si>
    <t>can't install the sap desktop agent in command prompt</t>
  </si>
  <si>
    <t>BPI-PA</t>
  </si>
  <si>
    <t>002075129400013081522025</t>
  </si>
  <si>
    <t>202510</t>
  </si>
  <si>
    <t>https://me.sap.com/case/002075129400013081522025</t>
  </si>
  <si>
    <t>0001308193</t>
  </si>
  <si>
    <t>bgRFC Errors" at "TP1~ABAP"</t>
  </si>
  <si>
    <t>BC-MID-RFC-BG</t>
  </si>
  <si>
    <t>002075129400013081932025</t>
  </si>
  <si>
    <t>Background RFC (bgRFC)</t>
  </si>
  <si>
    <t>https://me.sap.com/case/002075129400013081932025</t>
  </si>
  <si>
    <t>0001308482</t>
  </si>
  <si>
    <t>EDOEUBUPAV Belgium E Invoice</t>
  </si>
  <si>
    <t>002075129400013084822025</t>
  </si>
  <si>
    <t>https://me.sap.com/case/002075129400013084822025</t>
  </si>
  <si>
    <t>0001309496</t>
  </si>
  <si>
    <t>Principal propagation is not working with destination from PaPM Cloud</t>
  </si>
  <si>
    <t>002075129400013094962025</t>
  </si>
  <si>
    <t>https://me.sap.com/case/002075129400013094962025</t>
  </si>
  <si>
    <t>0001310556</t>
  </si>
  <si>
    <t>Integration steps for KSeF ECC &amp; S4</t>
  </si>
  <si>
    <t>002075129400013105562025</t>
  </si>
  <si>
    <t>https://me.sap.com/case/002075129400013105562025</t>
  </si>
  <si>
    <t>0001311536</t>
  </si>
  <si>
    <t>Error While running a Model - /NXI/P1_FW/021 Execution of Function=F_6 finished in AppServer in 0.712 seconds</t>
  </si>
  <si>
    <t>002075129400013115362025</t>
  </si>
  <si>
    <t>https://me.sap.com/case/002075129400013115362025</t>
  </si>
  <si>
    <t>SAP BTP, Cloud Foundry runtime and environment</t>
  </si>
  <si>
    <t>CP CLOUD FOUNDRY</t>
  </si>
  <si>
    <t>000000000743629147</t>
  </si>
  <si>
    <t>0001311620</t>
  </si>
  <si>
    <t>Query on EWA recommendation - Missing Single Column Indexes</t>
  </si>
  <si>
    <t>002075129400013116202025</t>
  </si>
  <si>
    <t>https://me.sap.com/case/002075129400013116202025</t>
  </si>
  <si>
    <t>0001265107</t>
  </si>
  <si>
    <t>Need SAP Cleanup Approach on Reducing Size of High-Volume BW Admin Tables</t>
  </si>
  <si>
    <t>002075129500012651072025</t>
  </si>
  <si>
    <t>https://me.sap.com/case/002075129500012651072025</t>
  </si>
  <si>
    <t>0001301340</t>
  </si>
  <si>
    <t>/OTX/PF02_T_IMGF /OTX/PF62_T_DCPH table cleanup</t>
  </si>
  <si>
    <t>002075129400013013402025</t>
  </si>
  <si>
    <t>https://me.sap.com/case/002075129400013013402025</t>
  </si>
  <si>
    <t>0001306535</t>
  </si>
  <si>
    <t>ACCT_SRF_REP_ITM - Number of entries reaching critical limit</t>
  </si>
  <si>
    <t>FI-LOC-SRF-RUN</t>
  </si>
  <si>
    <t>002075129400013065352025</t>
  </si>
  <si>
    <t>https://me.sap.com/case/002075129400013065352025</t>
  </si>
  <si>
    <t>0001307149</t>
  </si>
  <si>
    <t>Wrong quantity extraction In IES</t>
  </si>
  <si>
    <t>002075129400013071492025</t>
  </si>
  <si>
    <t>https://me.sap.com/case/002075129400013071492025</t>
  </si>
  <si>
    <t>0001257747</t>
  </si>
  <si>
    <t>Validity Start date in Framework PR</t>
  </si>
  <si>
    <t>MM-FIO-PUR-REQ-PRF</t>
  </si>
  <si>
    <t>002075129500012577472025</t>
  </si>
  <si>
    <t>Manage Purchase Requisitions – Professional</t>
  </si>
  <si>
    <t>Fiori UI for Services Management</t>
  </si>
  <si>
    <t>MM-FIO-SRV</t>
  </si>
  <si>
    <t>https://me.sap.com/case/002075129500012577472025</t>
  </si>
  <si>
    <t>0001259536</t>
  </si>
  <si>
    <t>Compatibility of NXI add-on with BW4HANA 2023</t>
  </si>
  <si>
    <t>LOD-PER-OP</t>
  </si>
  <si>
    <t>002075129500012595362025</t>
  </si>
  <si>
    <t>Profitability and Performance Management - On Premise</t>
  </si>
  <si>
    <t>https://me.sap.com/case/002075129500012595362025</t>
  </si>
  <si>
    <t>0001261272</t>
  </si>
  <si>
    <t>Experiencing Performance issue while selecting multiple orders</t>
  </si>
  <si>
    <t>TM-BF-UI</t>
  </si>
  <si>
    <t>002075129500012612722025</t>
  </si>
  <si>
    <t>User Interface</t>
  </si>
  <si>
    <t>https://me.sap.com/case/002075129500012612722025</t>
  </si>
  <si>
    <t>0001294136</t>
  </si>
  <si>
    <t>Issue with test log status update for Automated Monitoring</t>
  </si>
  <si>
    <t>002075129400012941362025</t>
  </si>
  <si>
    <t>https://me.sap.com/case/002075129400012941362025</t>
  </si>
  <si>
    <t>0001294681</t>
  </si>
  <si>
    <t>3610892 - [CVE-2025-42966] Insecure Deserialization vulnerability in SAP NetWeaver (XML Data Archiving)</t>
  </si>
  <si>
    <t>BC-ILM-DAS</t>
  </si>
  <si>
    <t>002075129400012946812025</t>
  </si>
  <si>
    <t>XML Data Archiving Service</t>
  </si>
  <si>
    <t>https://me.sap.com/case/002075129400012946812025</t>
  </si>
  <si>
    <t>0001297295</t>
  </si>
  <si>
    <t>Table growing huge in NR5 system</t>
  </si>
  <si>
    <t>002075129400012972952025</t>
  </si>
  <si>
    <t>https://me.sap.com/case/002075129400012972952025</t>
  </si>
  <si>
    <t>0001298257</t>
  </si>
  <si>
    <t>ZR_A2R_ACCRUALREV_UI06  job is spending 99.9% in BKPF table SINGLE SELECT</t>
  </si>
  <si>
    <t>002075129400012982572025</t>
  </si>
  <si>
    <t>https://me.sap.com/case/002075129400012982572025</t>
  </si>
  <si>
    <t>0001251464</t>
  </si>
  <si>
    <t>NE3: BALDAT Delta Merge</t>
  </si>
  <si>
    <t>002075129500012514642025</t>
  </si>
  <si>
    <t>https://me.sap.com/case/002075129500012514642025</t>
  </si>
  <si>
    <t>NE3</t>
  </si>
  <si>
    <t>000000000800460621</t>
  </si>
  <si>
    <t>0001253347</t>
  </si>
  <si>
    <t>Getting error message 'Address couldn't be deleted as it is still in use elsewhere while mass processing (BP:0021238831</t>
  </si>
  <si>
    <t>BC-SRV-ADR</t>
  </si>
  <si>
    <t>002075129500012533472025</t>
  </si>
  <si>
    <t>Address Management / Business Address Services</t>
  </si>
  <si>
    <t>Application Framework</t>
  </si>
  <si>
    <t>CA-MDG-CMP-AF</t>
  </si>
  <si>
    <t>https://me.sap.com/case/002075129500012533472025</t>
  </si>
  <si>
    <t>0001253999</t>
  </si>
  <si>
    <t>002075129500012539992025</t>
  </si>
  <si>
    <t>https://me.sap.com/case/002075129500012539992025</t>
  </si>
  <si>
    <t>0001255015</t>
  </si>
  <si>
    <t>Dual ADS Calls Due to Incorrect PPF Configuration</t>
  </si>
  <si>
    <t>TM-BF-OM</t>
  </si>
  <si>
    <t>002075129500012550152025</t>
  </si>
  <si>
    <t>Output Management</t>
  </si>
  <si>
    <t>Print and Output Management</t>
  </si>
  <si>
    <t>BC-CCM-PRN</t>
  </si>
  <si>
    <t>https://me.sap.com/case/002075129500012550152025</t>
  </si>
  <si>
    <t>0001286596</t>
  </si>
  <si>
    <t>Extraction issue in IES</t>
  </si>
  <si>
    <t>002075129400012865962025</t>
  </si>
  <si>
    <t>https://me.sap.com/case/002075129400012865962025</t>
  </si>
  <si>
    <t>0001287144</t>
  </si>
  <si>
    <t>SAP Integration Suite - Major Upgrade - Announcement - 15 November 2025</t>
  </si>
  <si>
    <t>002075129400012871442025</t>
  </si>
  <si>
    <t>https://me.sap.com/case/002075129400012871442025</t>
  </si>
  <si>
    <t>0001243368</t>
  </si>
  <si>
    <t>Auto validation failed</t>
  </si>
  <si>
    <t>002075129500012433682025</t>
  </si>
  <si>
    <t>https://me.sap.com/case/002075129500012433682025</t>
  </si>
  <si>
    <t>0001248532</t>
  </si>
  <si>
    <t>Duplicate final confirmations posted intermittently from SAP Service and Asset Manager App</t>
  </si>
  <si>
    <t>002075129500012485322025</t>
  </si>
  <si>
    <t>Cloud Platform Mobile Services</t>
  </si>
  <si>
    <t>MOB-CLD</t>
  </si>
  <si>
    <t>https://me.sap.com/case/002075129500012485322025</t>
  </si>
  <si>
    <t>0001248624</t>
  </si>
  <si>
    <t>Performance Optimization for Settlement Profile Determination</t>
  </si>
  <si>
    <t>002075129500012486242025</t>
  </si>
  <si>
    <t>https://me.sap.com/case/002075129500012486242025</t>
  </si>
  <si>
    <t>0010937044</t>
  </si>
  <si>
    <t>Wrong due date generation in performance plan steps</t>
  </si>
  <si>
    <t>002028376700109370442025</t>
  </si>
  <si>
    <t>https://me.sap.com/case/002028376700109370442025</t>
  </si>
  <si>
    <t>0001281619</t>
  </si>
  <si>
    <t>Monitoring tab is not visible in integration suite after 2pm IST</t>
  </si>
  <si>
    <t>LOD-HCI-PI-CON-TRM</t>
  </si>
  <si>
    <t>002075129400012816192025</t>
  </si>
  <si>
    <t>TRM - Provisioning and software update</t>
  </si>
  <si>
    <t>Integration Designer</t>
  </si>
  <si>
    <t>LOD-HCI-PI-WT-IFL</t>
  </si>
  <si>
    <t>https://me.sap.com/case/002075129400012816192025</t>
  </si>
  <si>
    <t>0001281823</t>
  </si>
  <si>
    <t>GL account not captured in FTXP</t>
  </si>
  <si>
    <t>002075129400012818232025</t>
  </si>
  <si>
    <t>https://me.sap.com/case/002075129400012818232025</t>
  </si>
  <si>
    <t>0001281864</t>
  </si>
  <si>
    <t>Depreciation not running for BE07</t>
  </si>
  <si>
    <t>002075129400012818642025</t>
  </si>
  <si>
    <t>https://me.sap.com/case/002075129400012818642025</t>
  </si>
  <si>
    <t>0001284804</t>
  </si>
  <si>
    <t>Huge size of /otx/pf02_t* tables in NR5</t>
  </si>
  <si>
    <t>002075129400012848042025</t>
  </si>
  <si>
    <t>https://me.sap.com/case/002075129400012848042025</t>
  </si>
  <si>
    <t>0001234392</t>
  </si>
  <si>
    <t>Invoice date issue - one day prior date getting picked on capture validation screen</t>
  </si>
  <si>
    <t>002075129500012343922025</t>
  </si>
  <si>
    <t>202543</t>
  </si>
  <si>
    <t>https://me.sap.com/case/002075129500012343922025</t>
  </si>
  <si>
    <t>0001272752</t>
  </si>
  <si>
    <t>RP1 critical job - dmcrp1a01,03,05,07,09,11,13,15 are performing good compared to dmcrp1a02,04,06,08,10,12,14,16</t>
  </si>
  <si>
    <t>SV-PERF</t>
  </si>
  <si>
    <t>002075129400012727522025</t>
  </si>
  <si>
    <t>Performance Problems</t>
  </si>
  <si>
    <t>https://me.sap.com/case/002075129400012727522025</t>
  </si>
  <si>
    <t>0001275510</t>
  </si>
  <si>
    <t>002075129400012755102025</t>
  </si>
  <si>
    <t>https://me.sap.com/case/002075129400012755102025</t>
  </si>
  <si>
    <t>0001229645</t>
  </si>
  <si>
    <t>Need to extend the US2 EIN for the USA from 10 to 12 digits</t>
  </si>
  <si>
    <t>002075129500012296452025</t>
  </si>
  <si>
    <t>https://me.sap.com/case/002075129500012296452025</t>
  </si>
  <si>
    <t>0001267396</t>
  </si>
  <si>
    <t>Belgium E Invoice XML generation issue</t>
  </si>
  <si>
    <t>002075129400012673962025</t>
  </si>
  <si>
    <t>https://me.sap.com/case/002075129400012673962025</t>
  </si>
  <si>
    <t>0001227716</t>
  </si>
  <si>
    <t>Late Changes Flag Issue</t>
  </si>
  <si>
    <t>TM-CF-CC</t>
  </si>
  <si>
    <t>002075129500012277162025</t>
  </si>
  <si>
    <t>Charge Calculation</t>
  </si>
  <si>
    <t>bgRFC Processing</t>
  </si>
  <si>
    <t>TM-BF-BG</t>
  </si>
  <si>
    <t>https://me.sap.com/case/002075129500012277162025</t>
  </si>
  <si>
    <t>0001260440</t>
  </si>
  <si>
    <t>Wrong Bank country code appearing in payment lot of FP05  D32500195P00</t>
  </si>
  <si>
    <t>002075129400012604402025</t>
  </si>
  <si>
    <t>IS-U-CA-INV</t>
  </si>
  <si>
    <t>https://me.sap.com/case/002075129400012604402025</t>
  </si>
  <si>
    <t>0001219042</t>
  </si>
  <si>
    <t>Electronic Document &amp; einvoice process implementation for country CROATIA | S4 &amp; ECC</t>
  </si>
  <si>
    <t>CA-GTF-CSC-EDO-HR</t>
  </si>
  <si>
    <t>002075129500012190422025</t>
  </si>
  <si>
    <t>Document Compliance Croatia</t>
  </si>
  <si>
    <t>https://me.sap.com/case/002075129500012190422025</t>
  </si>
  <si>
    <t>000000000312294922</t>
  </si>
  <si>
    <t>Backup</t>
  </si>
  <si>
    <t>BACKUP</t>
  </si>
  <si>
    <t>0001256943</t>
  </si>
  <si>
    <t>complete selection not possible due to block by mass process</t>
  </si>
  <si>
    <t>IS-U-CA</t>
  </si>
  <si>
    <t>002075129400012569432025</t>
  </si>
  <si>
    <t>https://me.sap.com/case/002075129400012569432025</t>
  </si>
  <si>
    <t>0001247171</t>
  </si>
  <si>
    <t>Custom Table Sort Defined in CDS View is not working in Workzone deployed Application</t>
  </si>
  <si>
    <t>002075129400012471712025</t>
  </si>
  <si>
    <t>202542</t>
  </si>
  <si>
    <t>https://me.sap.com/case/002075129400012471712025</t>
  </si>
  <si>
    <t>0001247221</t>
  </si>
  <si>
    <t>BDCP2 High Volume Issue</t>
  </si>
  <si>
    <t>002075129400012472212025</t>
  </si>
  <si>
    <t>Integration Technology ALE</t>
  </si>
  <si>
    <t>BC-MID-ALE</t>
  </si>
  <si>
    <t>https://me.sap.com/case/002075129400012472212025</t>
  </si>
  <si>
    <t>0010887159</t>
  </si>
  <si>
    <t>NSE Configuration Conflict for BALDAT Table in NS5 HANA Database</t>
  </si>
  <si>
    <t>002028376700108871592025</t>
  </si>
  <si>
    <t>https://me.sap.com/case/002028376700108871592025</t>
  </si>
  <si>
    <t>0001242354</t>
  </si>
  <si>
    <t>Issue with payment method not visible in production system</t>
  </si>
  <si>
    <t>FI-BL-PT-FO</t>
  </si>
  <si>
    <t>002075129400012423542025</t>
  </si>
  <si>
    <t>payment forms</t>
  </si>
  <si>
    <t>https://me.sap.com/case/002075129400012423542025</t>
  </si>
  <si>
    <t>0001245161</t>
  </si>
  <si>
    <t>Which teams/users are using the selected stories based on the selected period range</t>
  </si>
  <si>
    <t>002075129400012451612025</t>
  </si>
  <si>
    <t>https://me.sap.com/case/002075129400012451612025</t>
  </si>
  <si>
    <t>0001245445</t>
  </si>
  <si>
    <t>Approving, Creating GL accounts too slow in MDG system( Old OSS message reference - 868610/2025)</t>
  </si>
  <si>
    <t>002075129400012454452025</t>
  </si>
  <si>
    <t>CA-MDG-AF</t>
  </si>
  <si>
    <t>https://me.sap.com/case/002075129400012454452025</t>
  </si>
  <si>
    <t>0001199927</t>
  </si>
  <si>
    <t>Employee integration from S/4 to Concur failed due to hierarchy</t>
  </si>
  <si>
    <t>BNS-CON-SE-S4</t>
  </si>
  <si>
    <t>002075129500011999272025</t>
  </si>
  <si>
    <t>Concur Suite Enablement S/4HANA Integration</t>
  </si>
  <si>
    <t>https://me.sap.com/case/002075129500011999272025</t>
  </si>
  <si>
    <t>0001203153</t>
  </si>
  <si>
    <t>Inquiry on Release Date for SAP SDI Latest Patch 22</t>
  </si>
  <si>
    <t>002075129500012031532025</t>
  </si>
  <si>
    <t>https://me.sap.com/case/002075129500012031532025</t>
  </si>
  <si>
    <t>000000000850519857</t>
  </si>
  <si>
    <t>0001235879</t>
  </si>
  <si>
    <t>Shrink option in brtools to reclaim free space in Tablespace in Oracle DB</t>
  </si>
  <si>
    <t>002075129400012358792025</t>
  </si>
  <si>
    <t>https://me.sap.com/case/002075129400012358792025</t>
  </si>
  <si>
    <t>0001236390</t>
  </si>
  <si>
    <t>Issue while implementing Pre Requisite note for 3450381</t>
  </si>
  <si>
    <t>002075129400012363902025</t>
  </si>
  <si>
    <t>https://me.sap.com/case/002075129400012363902025</t>
  </si>
  <si>
    <t>0001237086</t>
  </si>
  <si>
    <t>Inconsistencies in the table: /OPT/VIM_2HEAD &amp; VA2</t>
  </si>
  <si>
    <t>002075129400012370862025</t>
  </si>
  <si>
    <t>https://me.sap.com/case/002075129400012370862025</t>
  </si>
  <si>
    <t>0001237110</t>
  </si>
  <si>
    <t>Java Instance Not Available" Alerts on NP5APP1 – PO Production</t>
  </si>
  <si>
    <t>002075129400012371102025</t>
  </si>
  <si>
    <t>Startup Framework</t>
  </si>
  <si>
    <t>BC-JAS-SF</t>
  </si>
  <si>
    <t>https://me.sap.com/case/002075129400012371102025</t>
  </si>
  <si>
    <t>0001237538</t>
  </si>
  <si>
    <t>Belgium E Invoice Solution-Invoice-4000011378 &amp; 7200700000 not showing in edoc_cockpit</t>
  </si>
  <si>
    <t>002075129400012375382025</t>
  </si>
  <si>
    <t>https://me.sap.com/case/002075129400012375382025</t>
  </si>
  <si>
    <t>0001239255</t>
  </si>
  <si>
    <t>AIF log error  Balance in Document currency is not zero, posting not possible</t>
  </si>
  <si>
    <t>002075129400012392552025</t>
  </si>
  <si>
    <t>https://me.sap.com/case/002075129400012392552025</t>
  </si>
  <si>
    <t>0001240267</t>
  </si>
  <si>
    <t>Asset IO blank in Document &amp; its report (KSB1)</t>
  </si>
  <si>
    <t>002075129400012402672025</t>
  </si>
  <si>
    <t>https://me.sap.com/case/002075129400012402672025</t>
  </si>
  <si>
    <t>0001240661</t>
  </si>
  <si>
    <t>transporting entries via workbench transport- restriction - query</t>
  </si>
  <si>
    <t>BC-CP-LCM-TMS</t>
  </si>
  <si>
    <t>002075129400012406612025</t>
  </si>
  <si>
    <t>SAP Cloud Transport Management service</t>
  </si>
  <si>
    <t>https://me.sap.com/case/002075129400012406612025</t>
  </si>
  <si>
    <t>0001228026</t>
  </si>
  <si>
    <t>CCM Alternate unit of measure can't be maintained for M3 base unit of measure in material master</t>
  </si>
  <si>
    <t>002075129400012280262025</t>
  </si>
  <si>
    <t>https://me.sap.com/case/002075129400012280262025</t>
  </si>
  <si>
    <t>0001228457</t>
  </si>
  <si>
    <t>CCM job steps failed with error</t>
  </si>
  <si>
    <t>002075129400012284572025</t>
  </si>
  <si>
    <t>https://me.sap.com/case/002075129400012284572025</t>
  </si>
  <si>
    <t>0001228508</t>
  </si>
  <si>
    <t>Wrong posting date in VIM</t>
  </si>
  <si>
    <t>002075129400012285082025</t>
  </si>
  <si>
    <t>https://me.sap.com/case/002075129400012285082025</t>
  </si>
  <si>
    <t>0001228888</t>
  </si>
  <si>
    <t>Possibility of sending multiple reminders based on step due dates in MCP</t>
  </si>
  <si>
    <t>002075129400012288882025</t>
  </si>
  <si>
    <t>https://me.sap.com/case/002075129400012288882025</t>
  </si>
  <si>
    <t>0001231313</t>
  </si>
  <si>
    <t>invoices going into 97 for KH06 company code invoices</t>
  </si>
  <si>
    <t>002075129400012313132025</t>
  </si>
  <si>
    <t>https://me.sap.com/case/002075129400012313132025</t>
  </si>
  <si>
    <t>0001221287</t>
  </si>
  <si>
    <t>Additional Line Items Appearing During Document Posting in RD1 (DEV)</t>
  </si>
  <si>
    <t>002075129400012212872025</t>
  </si>
  <si>
    <t>https://me.sap.com/case/002075129400012212872025</t>
  </si>
  <si>
    <t>0001221778</t>
  </si>
  <si>
    <t>Customer Group Field Addition in MJE template</t>
  </si>
  <si>
    <t>FI-FIO-GL-TRA</t>
  </si>
  <si>
    <t>002075129400012217782025</t>
  </si>
  <si>
    <t>Transaction Apps</t>
  </si>
  <si>
    <t>https://me.sap.com/case/002075129400012217782025</t>
  </si>
  <si>
    <t>0001222176</t>
  </si>
  <si>
    <t>FI document deletion</t>
  </si>
  <si>
    <t>002075129400012221762025</t>
  </si>
  <si>
    <t>https://me.sap.com/case/002075129400012221762025</t>
  </si>
  <si>
    <t>0001223668</t>
  </si>
  <si>
    <t>Reminders for manual control performance</t>
  </si>
  <si>
    <t>LOD-SF-PM-EML</t>
  </si>
  <si>
    <t>002075129400012236682025</t>
  </si>
  <si>
    <t>Emails and Notifications</t>
  </si>
  <si>
    <t>https://me.sap.com/case/002075129400012236682025</t>
  </si>
  <si>
    <t>NG4</t>
  </si>
  <si>
    <t>000000000850484444</t>
  </si>
  <si>
    <t>0001223770</t>
  </si>
  <si>
    <t>Issue while implementing OSS note 3412958</t>
  </si>
  <si>
    <t>002075129400012237702025</t>
  </si>
  <si>
    <t>https://me.sap.com/case/002075129400012237702025</t>
  </si>
  <si>
    <t>0001224097</t>
  </si>
  <si>
    <t>VIM document is not updated to Obsoleted when you reject a document thru Business Center</t>
  </si>
  <si>
    <t>002075129400012240972025</t>
  </si>
  <si>
    <t>https://me.sap.com/case/002075129400012240972025</t>
  </si>
  <si>
    <t>0001224326</t>
  </si>
  <si>
    <t>Issue while implementing OSS note 3607274</t>
  </si>
  <si>
    <t>002075129400012243262025</t>
  </si>
  <si>
    <t>https://me.sap.com/case/002075129400012243262025</t>
  </si>
  <si>
    <t>0001182188</t>
  </si>
  <si>
    <t>NS5 : Long Log Replication &amp; Replay Delay Alerts</t>
  </si>
  <si>
    <t>HAN-DB-HA</t>
  </si>
  <si>
    <t>002075129500011821882025</t>
  </si>
  <si>
    <t>SAP HANA High Availability (System Replication, DR, etc.)</t>
  </si>
  <si>
    <t>https://me.sap.com/case/002075129500011821882025</t>
  </si>
  <si>
    <t>0001182439</t>
  </si>
  <si>
    <t>Reporting country incorrect filling in BSET- LSTML.</t>
  </si>
  <si>
    <t>002075129500011824392025</t>
  </si>
  <si>
    <t>https://me.sap.com/case/002075129500011824392025</t>
  </si>
  <si>
    <t>0001182481</t>
  </si>
  <si>
    <t>Change Archiving Time and Job frequency in IS for Production systems</t>
  </si>
  <si>
    <t>002075129500011824812025</t>
  </si>
  <si>
    <t>https://me.sap.com/case/002075129500011824812025</t>
  </si>
  <si>
    <t>0001182800</t>
  </si>
  <si>
    <t>Repeated email notification for GRFN_SEND_TASKPLAN_NOTIF</t>
  </si>
  <si>
    <t>002075129500011828002025</t>
  </si>
  <si>
    <t>https://me.sap.com/case/002075129500011828002025</t>
  </si>
  <si>
    <t>0001183069</t>
  </si>
  <si>
    <t>Bulgaria Tax depreciation plan in ACR with EUR cuurency</t>
  </si>
  <si>
    <t>002075129500011830692025</t>
  </si>
  <si>
    <t>https://me.sap.com/case/002075129500011830692025</t>
  </si>
  <si>
    <t>0001214905</t>
  </si>
  <si>
    <t>OSS 3369003 BC Set Issue while implementation of OSS note 3369003</t>
  </si>
  <si>
    <t>002075129400012149052025</t>
  </si>
  <si>
    <t>https://me.sap.com/case/002075129400012149052025</t>
  </si>
  <si>
    <t>0001215886</t>
  </si>
  <si>
    <t>Change Object for FIWTIN_TAN_EXEM table</t>
  </si>
  <si>
    <t>FI-LOC-FI-IN-WHT</t>
  </si>
  <si>
    <t>002075129400012158862025</t>
  </si>
  <si>
    <t>Withholding Taxes</t>
  </si>
  <si>
    <t>https://me.sap.com/case/002075129400012158862025</t>
  </si>
  <si>
    <t>MR1</t>
  </si>
  <si>
    <t>000000000312335214</t>
  </si>
  <si>
    <t>0001215935</t>
  </si>
  <si>
    <t>AIF Logs - Expiration Date Missing</t>
  </si>
  <si>
    <t>BC-SRV-BAL</t>
  </si>
  <si>
    <t>002075129400012159352025</t>
  </si>
  <si>
    <t>Basis Application Log</t>
  </si>
  <si>
    <t>https://me.sap.com/case/002075129400012159352025</t>
  </si>
  <si>
    <t>0001219669</t>
  </si>
  <si>
    <t>002075129400012196692025</t>
  </si>
  <si>
    <t>https://me.sap.com/case/002075129400012196692025</t>
  </si>
  <si>
    <t>0001220447</t>
  </si>
  <si>
    <t>Disconnect of balances</t>
  </si>
  <si>
    <t>FI-CAX-IN</t>
  </si>
  <si>
    <t>002075129400012204472025</t>
  </si>
  <si>
    <t>Integration FI/CO / Reconciliation</t>
  </si>
  <si>
    <t>https://me.sap.com/case/002075129400012204472025</t>
  </si>
  <si>
    <t>0001178101</t>
  </si>
  <si>
    <t>SBAL_DELETE program is not deleting the entries in BALDAT Table</t>
  </si>
  <si>
    <t>002075129500011781012025</t>
  </si>
  <si>
    <t>https://me.sap.com/case/002075129500011781012025</t>
  </si>
  <si>
    <t>0001178826</t>
  </si>
  <si>
    <t>Clarification on creating new company code with EUR currency (Plants Abroad active)</t>
  </si>
  <si>
    <t>002075129500011788262025</t>
  </si>
  <si>
    <t>https://me.sap.com/case/002075129500011788262025</t>
  </si>
  <si>
    <t>0001214124</t>
  </si>
  <si>
    <t>RAP: Mandatory Field Validation and Message Navigation Issues in Draft Mode</t>
  </si>
  <si>
    <t>BC-SRV-NWD-XBR</t>
  </si>
  <si>
    <t>002075129400012141242025</t>
  </si>
  <si>
    <t>RAP Reference Scenarios</t>
  </si>
  <si>
    <t>202541</t>
  </si>
  <si>
    <t>https://me.sap.com/case/002075129400012141242025</t>
  </si>
  <si>
    <t>0001214252</t>
  </si>
  <si>
    <t>Adapt Filters Button not Working As Expected - SAP RAP</t>
  </si>
  <si>
    <t>002075129400012142522025</t>
  </si>
  <si>
    <t>https://me.sap.com/case/002075129400012142522025</t>
  </si>
  <si>
    <t>0001174257</t>
  </si>
  <si>
    <t>Sudden spike of 3TB in table BC_MSG_LOG Production PO system (NP5)</t>
  </si>
  <si>
    <t>002075129500011742572025</t>
  </si>
  <si>
    <t>Logging</t>
  </si>
  <si>
    <t>BC-JAS-ADM-LOG</t>
  </si>
  <si>
    <t>https://me.sap.com/case/002075129500011742572025</t>
  </si>
  <si>
    <t>0001208263</t>
  </si>
  <si>
    <t>IC4SAP Profile Activation error with SNAPSHOT data</t>
  </si>
  <si>
    <t>002075129400012082632025</t>
  </si>
  <si>
    <t>https://me.sap.com/case/002075129400012082632025</t>
  </si>
  <si>
    <t>0001208314</t>
  </si>
  <si>
    <t>Extraction issue for Dimler vendor</t>
  </si>
  <si>
    <t>002075129400012083142025</t>
  </si>
  <si>
    <t>https://me.sap.com/case/002075129400012083142025</t>
  </si>
  <si>
    <t>0001208872</t>
  </si>
  <si>
    <t>AUOM mass update issue</t>
  </si>
  <si>
    <t>CA-MDG-CMP-MM</t>
  </si>
  <si>
    <t>002075129400012088722025</t>
  </si>
  <si>
    <t>Material</t>
  </si>
  <si>
    <t>https://me.sap.com/case/002075129400012088722025</t>
  </si>
  <si>
    <t>0001209713</t>
  </si>
  <si>
    <t>Cost Center Hierarchy is not getting replicate in NR5 system</t>
  </si>
  <si>
    <t>002075129400012097132025</t>
  </si>
  <si>
    <t>CO-OM-CCA-A</t>
  </si>
  <si>
    <t>https://me.sap.com/case/002075129400012097132025</t>
  </si>
  <si>
    <t>0001209802</t>
  </si>
  <si>
    <t>SII list was successfully created, but submission to the portal did not occur with report: RPFIES_SII_EDOCLIST for Spain</t>
  </si>
  <si>
    <t>002075129400012098022025</t>
  </si>
  <si>
    <t>FI-LOC-CA-ES</t>
  </si>
  <si>
    <t>https://me.sap.com/case/002075129400012098022025</t>
  </si>
  <si>
    <t>0001210369</t>
  </si>
  <si>
    <t>System slowness</t>
  </si>
  <si>
    <t>002075129400012103692025</t>
  </si>
  <si>
    <t>https://me.sap.com/case/002075129400012103692025</t>
  </si>
  <si>
    <t>0001170146</t>
  </si>
  <si>
    <t>ToC release issues in Focused build - Impacting Project support</t>
  </si>
  <si>
    <t>002075129500011701462025</t>
  </si>
  <si>
    <t>Workbench/Customizing Organizer</t>
  </si>
  <si>
    <t>BC-CTS-ORG</t>
  </si>
  <si>
    <t>https://me.sap.com/case/002075129500011701462025</t>
  </si>
  <si>
    <t>0001203831</t>
  </si>
  <si>
    <t>Error while creating a team using Resource Management tile</t>
  </si>
  <si>
    <t>002075129400012038312025</t>
  </si>
  <si>
    <t>https://me.sap.com/case/002075129400012038312025</t>
  </si>
  <si>
    <t>0001203969</t>
  </si>
  <si>
    <t>002075129400012039692025</t>
  </si>
  <si>
    <t>https://me.sap.com/case/002075129400012039692025</t>
  </si>
  <si>
    <t>0001163865</t>
  </si>
  <si>
    <t>SAP WebGUI screen recording automation error -"Place cursor on selected line"</t>
  </si>
  <si>
    <t>002075129500011638652025</t>
  </si>
  <si>
    <t>https://me.sap.com/case/002075129500011638652025</t>
  </si>
  <si>
    <t>0001164406</t>
  </si>
  <si>
    <t>Tosca Execution Agent is not launching from Scratchbook</t>
  </si>
  <si>
    <t>002075129500011644062025</t>
  </si>
  <si>
    <t>https://me.sap.com/case/002075129500011644062025</t>
  </si>
  <si>
    <t>0001194257</t>
  </si>
  <si>
    <t>OCR validation issue for Fiori validation</t>
  </si>
  <si>
    <t>002075129400011942572025</t>
  </si>
  <si>
    <t>https://me.sap.com/case/002075129400011942572025</t>
  </si>
  <si>
    <t>0001196677</t>
  </si>
  <si>
    <t>Credit Limit is not updating at main segment 0000 using UKM_MASS_UPD3</t>
  </si>
  <si>
    <t>002075129400011966772025</t>
  </si>
  <si>
    <t>https://me.sap.com/case/002075129400011966772025</t>
  </si>
  <si>
    <t>0001197724</t>
  </si>
  <si>
    <t>Payment request failed due to IBAN missing</t>
  </si>
  <si>
    <t>002075129400011977242025</t>
  </si>
  <si>
    <t>https://me.sap.com/case/002075129400011977242025</t>
  </si>
  <si>
    <t>0001190035</t>
  </si>
  <si>
    <t>SWIFT code is not valid at VIM NPO completion</t>
  </si>
  <si>
    <t>002075129400011900352025</t>
  </si>
  <si>
    <t>Fiori UI for Invoice Verification</t>
  </si>
  <si>
    <t>MM-FIO-IV</t>
  </si>
  <si>
    <t>https://me.sap.com/case/002075129400011900352025</t>
  </si>
  <si>
    <t>0010805017</t>
  </si>
  <si>
    <t>Not able to delete deleted parked invoice from PO history tab.</t>
  </si>
  <si>
    <t>MM-IV-LIV-PP</t>
  </si>
  <si>
    <t>002028376700108050172025</t>
  </si>
  <si>
    <t>Preliminary Posting</t>
  </si>
  <si>
    <t>https://me.sap.com/case/002028376700108050172025</t>
  </si>
  <si>
    <t>0001182137</t>
  </si>
  <si>
    <t>BTP cloud unable to find any Fiori apps to troubleshoot ACM issues, similar to the onprem transactions SACM or SACMSEL</t>
  </si>
  <si>
    <t>BC-SEC-AUT-DCL</t>
  </si>
  <si>
    <t>002075129400011821372025</t>
  </si>
  <si>
    <t>Data Control Language (DCL). Defining authorizations for CDS</t>
  </si>
  <si>
    <t>https://me.sap.com/case/002075129400011821372025</t>
  </si>
  <si>
    <t>0001145708</t>
  </si>
  <si>
    <t>Customer group field for RAR postings to ACDOCA</t>
  </si>
  <si>
    <t>002075129500011457082025</t>
  </si>
  <si>
    <t>https://me.sap.com/case/002075129500011457082025</t>
  </si>
  <si>
    <t>0001180956</t>
  </si>
  <si>
    <t>Customer Defined Recipients configured in AIF, but Interface not visible on /AIFX/ERR_WEB</t>
  </si>
  <si>
    <t>002075129400011809562025</t>
  </si>
  <si>
    <t>202540</t>
  </si>
  <si>
    <t>https://me.sap.com/case/002075129400011809562025</t>
  </si>
  <si>
    <t>0010791274</t>
  </si>
  <si>
    <t>Still getting activity log is almost full notification even if the delete permission for activity log is removed</t>
  </si>
  <si>
    <t>002028376700107912742025</t>
  </si>
  <si>
    <t>https://me.sap.com/case/002028376700107912742025</t>
  </si>
  <si>
    <t>0010795339</t>
  </si>
  <si>
    <t>Non prod sac slow while performing the navigation of each tile</t>
  </si>
  <si>
    <t>002028376700107953392025</t>
  </si>
  <si>
    <t>https://me.sap.com/case/002028376700107953392025</t>
  </si>
  <si>
    <t>0001178191</t>
  </si>
  <si>
    <t>Carrier Invoice posting issue for FSD without PO/GR information.</t>
  </si>
  <si>
    <t>002075129400011781912025</t>
  </si>
  <si>
    <t>https://me.sap.com/case/002075129400011781912025</t>
  </si>
  <si>
    <t>0001138546</t>
  </si>
  <si>
    <t>KYMA [EU30] - Post Kyma Migration -Intermittent "404 Page Not Found" Error During SAP Login and Enable Now Pop-Up</t>
  </si>
  <si>
    <t>KM-SEN-PRO</t>
  </si>
  <si>
    <t>002075129500011385462025</t>
  </si>
  <si>
    <t>SAP Enable Now - Producer</t>
  </si>
  <si>
    <t>https://me.sap.com/case/002075129500011385462025</t>
  </si>
  <si>
    <t>0001138770</t>
  </si>
  <si>
    <t>SAP Companion announcement "Do Not Show Again"</t>
  </si>
  <si>
    <t>002075129500011387702025</t>
  </si>
  <si>
    <t>SAP Enable Now - SAP Companion Desktop Assistent (Navigator)</t>
  </si>
  <si>
    <t>KM-SEN-NAV</t>
  </si>
  <si>
    <t>https://me.sap.com/case/002075129500011387702025</t>
  </si>
  <si>
    <t>0001169225</t>
  </si>
  <si>
    <t>002075129400011692252025</t>
  </si>
  <si>
    <t>https://me.sap.com/case/002075129400011692252025</t>
  </si>
  <si>
    <t>0001170672</t>
  </si>
  <si>
    <t>Issue with assignment field in posting</t>
  </si>
  <si>
    <t>002075129400011706722025</t>
  </si>
  <si>
    <t>https://me.sap.com/case/002075129400011706722025</t>
  </si>
  <si>
    <t>0001130751</t>
  </si>
  <si>
    <t>3499841 : Electronic Document Processing for Croatia- A new version is in preparation...!</t>
  </si>
  <si>
    <t>002075129500011307512025</t>
  </si>
  <si>
    <t>https://me.sap.com/case/002075129500011307512025</t>
  </si>
  <si>
    <t>0001161829</t>
  </si>
  <si>
    <t>Issue with IHB bank statement interface</t>
  </si>
  <si>
    <t>002075129400011618292025</t>
  </si>
  <si>
    <t>202509</t>
  </si>
  <si>
    <t>20253</t>
  </si>
  <si>
    <t>https://me.sap.com/case/002075129400011618292025</t>
  </si>
  <si>
    <t>0001161907</t>
  </si>
  <si>
    <t>002075129400011619072025</t>
  </si>
  <si>
    <t>https://me.sap.com/case/002075129400011619072025</t>
  </si>
  <si>
    <t>0001164025</t>
  </si>
  <si>
    <t>follow up for OSS 1132995/2025</t>
  </si>
  <si>
    <t>002075129400011640252025</t>
  </si>
  <si>
    <t>https://me.sap.com/case/002075129400011640252025</t>
  </si>
  <si>
    <t>0001124153</t>
  </si>
  <si>
    <t>Exchange date not picked as per translation date in RAI processing</t>
  </si>
  <si>
    <t>002075129500011241532025</t>
  </si>
  <si>
    <t>https://me.sap.com/case/002075129500011241532025</t>
  </si>
  <si>
    <t>0001126684</t>
  </si>
  <si>
    <t>Files are not moving from "To Be Processed" to "Processed" folder while running "FEB_FILE_HANDLING" job</t>
  </si>
  <si>
    <t>002075129500011266842025</t>
  </si>
  <si>
    <t>https://me.sap.com/case/002075129500011266842025</t>
  </si>
  <si>
    <t>0001160421</t>
  </si>
  <si>
    <t>Dynamic App Navigation - RAP Model</t>
  </si>
  <si>
    <t>002075129400011604212025</t>
  </si>
  <si>
    <t>https://me.sap.com/case/002075129400011604212025</t>
  </si>
  <si>
    <t>0001160743</t>
  </si>
  <si>
    <t>CS_AUDIT_LOG table growth in ETD</t>
  </si>
  <si>
    <t>BC-SEC-ETD-OPC</t>
  </si>
  <si>
    <t>002075129400011607432025</t>
  </si>
  <si>
    <t>SAP ETD (on-Premise/ Private Cloud)</t>
  </si>
  <si>
    <t>https://me.sap.com/case/002075129400011607432025</t>
  </si>
  <si>
    <t>000000000800851508</t>
  </si>
  <si>
    <t>0001155657</t>
  </si>
  <si>
    <t>Unable to Activate Database Table - Cloud ABAP</t>
  </si>
  <si>
    <t>002075129400011556572025</t>
  </si>
  <si>
    <t>202539</t>
  </si>
  <si>
    <t>https://me.sap.com/case/002075129400011556572025</t>
  </si>
  <si>
    <t>0001150468</t>
  </si>
  <si>
    <t>No MM document exist for Accouting document for PO invoice</t>
  </si>
  <si>
    <t>002075129400011504682025</t>
  </si>
  <si>
    <t>https://me.sap.com/case/002075129400011504682025</t>
  </si>
  <si>
    <t>0001151895</t>
  </si>
  <si>
    <t>2442063 - eDocument EU: AIF Setup - SAP for Me</t>
  </si>
  <si>
    <t>002075129400011518952025</t>
  </si>
  <si>
    <t>https://me.sap.com/case/002075129400011518952025</t>
  </si>
  <si>
    <t>0001152183</t>
  </si>
  <si>
    <t>ETD /hana/data file system utilization getting high in PRD system</t>
  </si>
  <si>
    <t>002075129400011521832025</t>
  </si>
  <si>
    <t>https://me.sap.com/case/002075129400011521832025</t>
  </si>
  <si>
    <t>0001152954</t>
  </si>
  <si>
    <t>Unlinked incorrect credit note for HU02 company code.</t>
  </si>
  <si>
    <t>002075129400011529542025</t>
  </si>
  <si>
    <t>https://me.sap.com/case/002075129400011529542025</t>
  </si>
  <si>
    <t>0001153343</t>
  </si>
  <si>
    <t>Issue While Implementing SAP Note 3518281 – Activation Failure</t>
  </si>
  <si>
    <t>002075129400011533432025</t>
  </si>
  <si>
    <t>https://me.sap.com/case/002075129400011533432025</t>
  </si>
  <si>
    <t>0001113851</t>
  </si>
  <si>
    <t>CX_SY_OPEN_SQL_DB replication Error in SRT_MONI after CR activation for Profit Center &amp; Cost Center via File Upload</t>
  </si>
  <si>
    <t>002075129500011138512025</t>
  </si>
  <si>
    <t>https://me.sap.com/case/002075129500011138512025</t>
  </si>
  <si>
    <t>000000000850484314</t>
  </si>
  <si>
    <t>0001144860</t>
  </si>
  <si>
    <t>Production ETD /hana/data file system utilization High</t>
  </si>
  <si>
    <t>002075129400011448602025</t>
  </si>
  <si>
    <t>https://me.sap.com/case/002075129400011448602025</t>
  </si>
  <si>
    <t>0001147203</t>
  </si>
  <si>
    <t>Work order field extraction issue</t>
  </si>
  <si>
    <t>002075129400011472032025</t>
  </si>
  <si>
    <t>https://me.sap.com/case/002075129400011472032025</t>
  </si>
  <si>
    <t>0001149306</t>
  </si>
  <si>
    <t>RAISE_SHORTDUMP when saving the Language in SAP TM Fiori UI</t>
  </si>
  <si>
    <t>002075129400011493062025</t>
  </si>
  <si>
    <t>https://me.sap.com/case/002075129400011493062025</t>
  </si>
  <si>
    <t>0001105030</t>
  </si>
  <si>
    <t>Execution of report as per 796863/2025</t>
  </si>
  <si>
    <t>002075129500011050302025</t>
  </si>
  <si>
    <t>https://me.sap.com/case/002075129500011050302025</t>
  </si>
  <si>
    <t>0001110431</t>
  </si>
  <si>
    <t>FROs are getting delinked from the FWO.</t>
  </si>
  <si>
    <t>002075129500011104312025</t>
  </si>
  <si>
    <t>https://me.sap.com/case/002075129500011104312025</t>
  </si>
  <si>
    <t>0001141202</t>
  </si>
  <si>
    <t>Concur posting failed</t>
  </si>
  <si>
    <t>002075129400011412022025</t>
  </si>
  <si>
    <t>https://me.sap.com/case/002075129400011412022025</t>
  </si>
  <si>
    <t>0001141416</t>
  </si>
  <si>
    <t>Extraction issue for RP1</t>
  </si>
  <si>
    <t>002075129400011414162025</t>
  </si>
  <si>
    <t>https://me.sap.com/case/002075129400011414162025</t>
  </si>
  <si>
    <t>0001141876</t>
  </si>
  <si>
    <t>Belgium E Invoice solution for Convergent invoice</t>
  </si>
  <si>
    <t>002075129400011418762025</t>
  </si>
  <si>
    <t>https://me.sap.com/case/002075129400011418762025</t>
  </si>
  <si>
    <t>0001098278</t>
  </si>
  <si>
    <t>Bank Guarantee Correspondence Triggering Multiple MT763/767 After Rollover</t>
  </si>
  <si>
    <t>FIN-FSCM-TRM-TM-TF</t>
  </si>
  <si>
    <t>002075129500010982782025</t>
  </si>
  <si>
    <t>Trade Finance</t>
  </si>
  <si>
    <t>FIN-FSCM-TRM-TM-COR</t>
  </si>
  <si>
    <t>https://me.sap.com/case/002075129500010982782025</t>
  </si>
  <si>
    <t>0001098878</t>
  </si>
  <si>
    <t>FSD creation with Negative line item amount</t>
  </si>
  <si>
    <t>002075129500010988782025</t>
  </si>
  <si>
    <t>https://me.sap.com/case/002075129500010988782025</t>
  </si>
  <si>
    <t>0001099042</t>
  </si>
  <si>
    <t>Change Archiving Time and Job frequency in IS for Quality systems.</t>
  </si>
  <si>
    <t>002075129500010990422025</t>
  </si>
  <si>
    <t>Operations</t>
  </si>
  <si>
    <t>BC-CP-IS-OPS</t>
  </si>
  <si>
    <t>https://me.sap.com/case/002075129500010990422025</t>
  </si>
  <si>
    <t>000000000745112467</t>
  </si>
  <si>
    <t>0001102210</t>
  </si>
  <si>
    <t>Contract no assigned in RAI monitor and FARR_D_MAPPING but contract account not created</t>
  </si>
  <si>
    <t>002075129500011022102025</t>
  </si>
  <si>
    <t>https://me.sap.com/case/002075129500011022102025</t>
  </si>
  <si>
    <t>0001133583</t>
  </si>
  <si>
    <t>Data Actions &amp; Import Jobs are taking very long time than expected</t>
  </si>
  <si>
    <t>LOD-ANA-XUS</t>
  </si>
  <si>
    <t>002075129400011335832025</t>
  </si>
  <si>
    <t>User assistance, performance statistics</t>
  </si>
  <si>
    <t>Data Actions</t>
  </si>
  <si>
    <t>LOD-ANA-PL-DA</t>
  </si>
  <si>
    <t>https://me.sap.com/case/002075129400011335832025</t>
  </si>
  <si>
    <t>0001134147</t>
  </si>
  <si>
    <t>Queries in the functionalities of audit management</t>
  </si>
  <si>
    <t>002075129400011341472025</t>
  </si>
  <si>
    <t>https://me.sap.com/case/002075129400011341472025</t>
  </si>
  <si>
    <t>0001135828</t>
  </si>
  <si>
    <t>Material moving average price issue.</t>
  </si>
  <si>
    <t>002075129400011358282025</t>
  </si>
  <si>
    <t>Material Maintenance</t>
  </si>
  <si>
    <t>SD-MD-MM</t>
  </si>
  <si>
    <t>https://me.sap.com/case/002075129400011358282025</t>
  </si>
  <si>
    <t>0001137436</t>
  </si>
  <si>
    <t>Virtual Elements Missing in CDS Projection Calculation Exit in RAP</t>
  </si>
  <si>
    <t>002075129400011374362025</t>
  </si>
  <si>
    <t>https://me.sap.com/case/002075129400011374362025</t>
  </si>
  <si>
    <t>0001095547</t>
  </si>
  <si>
    <t>AI_CRM_CM_COM_IMPORT_FEEDBACK Job keeps running without returning import feedback</t>
  </si>
  <si>
    <t>002075129500010955472025</t>
  </si>
  <si>
    <t>https://me.sap.com/case/002075129500010955472025</t>
  </si>
  <si>
    <t>0010715893</t>
  </si>
  <si>
    <t>Multi-Action Master data query is running from 1 hour</t>
  </si>
  <si>
    <t>LOD-ANA-PL-MA</t>
  </si>
  <si>
    <t>002028376700107158932025</t>
  </si>
  <si>
    <t>Multi Actions</t>
  </si>
  <si>
    <t>https://me.sap.com/case/002028376700107158932025</t>
  </si>
  <si>
    <t>0001127628</t>
  </si>
  <si>
    <t>Issue while implementation of 3544162</t>
  </si>
  <si>
    <t>002075129400011276282025</t>
  </si>
  <si>
    <t>https://me.sap.com/case/002075129400011276282025</t>
  </si>
  <si>
    <t>0001086274</t>
  </si>
  <si>
    <t>SAP TM - Eliminating Redundant ADS Calls by Correcting PDF Output Configuration</t>
  </si>
  <si>
    <t>002075129500010862742025</t>
  </si>
  <si>
    <t>https://me.sap.com/case/002075129500010862742025</t>
  </si>
  <si>
    <t>0001089586</t>
  </si>
  <si>
    <t>002075129500010895862025</t>
  </si>
  <si>
    <t>https://me.sap.com/case/002075129500010895862025</t>
  </si>
  <si>
    <t>0001084981</t>
  </si>
  <si>
    <t>KYMA [EU30] : Production Issue : In-app help missing post kyma Migration</t>
  </si>
  <si>
    <t>002075129500010849812025</t>
  </si>
  <si>
    <t>202538</t>
  </si>
  <si>
    <t>https://me.sap.com/case/002075129500010849812025</t>
  </si>
  <si>
    <t>0001123701</t>
  </si>
  <si>
    <t>Wrong SAP Document type determination</t>
  </si>
  <si>
    <t>002075129400011237012025</t>
  </si>
  <si>
    <t>https://me.sap.com/case/002075129400011237012025</t>
  </si>
  <si>
    <t>0001123717</t>
  </si>
  <si>
    <t>Extraction issue for invoice</t>
  </si>
  <si>
    <t>002075129400011237172025</t>
  </si>
  <si>
    <t>https://me.sap.com/case/002075129400011237172025</t>
  </si>
  <si>
    <t>0001123756</t>
  </si>
  <si>
    <t>DR BR WAIT program not working for Norway</t>
  </si>
  <si>
    <t>002075129400011237562025</t>
  </si>
  <si>
    <t>https://me.sap.com/case/002075129400011237562025</t>
  </si>
  <si>
    <t>0001079712</t>
  </si>
  <si>
    <t>Electronic Document &amp; einvoice process implementation for country CROATIA in ECC</t>
  </si>
  <si>
    <t>002075129500010797122025</t>
  </si>
  <si>
    <t>https://me.sap.com/case/002075129500010797122025</t>
  </si>
  <si>
    <t>0001116271</t>
  </si>
  <si>
    <t>PI (invoicing party) partner can't be changed via ALE IDOC if default indicator is marked (WYT3 table)</t>
  </si>
  <si>
    <t>002075129400011162712025</t>
  </si>
  <si>
    <t>https://me.sap.com/case/002075129400011162712025</t>
  </si>
  <si>
    <t>0001116748</t>
  </si>
  <si>
    <t>Contract Account message ID issue in DRFOUT</t>
  </si>
  <si>
    <t>002075129400011167482025</t>
  </si>
  <si>
    <t>S4CRM: Contract Account</t>
  </si>
  <si>
    <t>CRM-S4-MD-CA</t>
  </si>
  <si>
    <t>https://me.sap.com/case/002075129400011167482025</t>
  </si>
  <si>
    <t>0001116855</t>
  </si>
  <si>
    <t>Exstraction issue in IES</t>
  </si>
  <si>
    <t>002075129400011168552025</t>
  </si>
  <si>
    <t>https://me.sap.com/case/002075129400011168552025</t>
  </si>
  <si>
    <t>0001117645</t>
  </si>
  <si>
    <t>NB5: "BW warehouse management" point reported critical in early watch report (EWA)</t>
  </si>
  <si>
    <t>SV-SMG-SER</t>
  </si>
  <si>
    <t>002075129400011176452025</t>
  </si>
  <si>
    <t>SAP Support Services</t>
  </si>
  <si>
    <t>Data Tiering Optimization</t>
  </si>
  <si>
    <t>BW4-DM-DTO</t>
  </si>
  <si>
    <t>https://me.sap.com/case/002075129400011176452025</t>
  </si>
  <si>
    <t>0001120198</t>
  </si>
  <si>
    <t>Communication with DS backend was unexpectedly closed</t>
  </si>
  <si>
    <t>002075129400011201982025</t>
  </si>
  <si>
    <t>https://me.sap.com/case/002075129400011201982025</t>
  </si>
  <si>
    <t>0001076055</t>
  </si>
  <si>
    <t>Chinese characters are not displaying correctly in FEBAN and FEBRE after statement processed through FEB_FILE_HANDLING</t>
  </si>
  <si>
    <t>BC-CCM-MON-OS</t>
  </si>
  <si>
    <t>002075129500010760552025</t>
  </si>
  <si>
    <t>Operating System Monitoring Tool</t>
  </si>
  <si>
    <t>https://me.sap.com/case/002075129500010760552025</t>
  </si>
  <si>
    <t>0001077558</t>
  </si>
  <si>
    <t>Special Characters Tax Code in S4 system issue</t>
  </si>
  <si>
    <t>002075129500010775582025</t>
  </si>
  <si>
    <t>https://me.sap.com/case/002075129500010775582025</t>
  </si>
  <si>
    <t>0001110843</t>
  </si>
  <si>
    <t>002075129400011108432025</t>
  </si>
  <si>
    <t>https://me.sap.com/case/002075129400011108432025</t>
  </si>
  <si>
    <t>0001112030</t>
  </si>
  <si>
    <t>Belgium E Invoice AIF Value Mapping</t>
  </si>
  <si>
    <t>002075129400011120302025</t>
  </si>
  <si>
    <t>https://me.sap.com/case/002075129400011120302025</t>
  </si>
  <si>
    <t>0001112268</t>
  </si>
  <si>
    <t>Issue while opening the story - (Comments were not loaded) error popup</t>
  </si>
  <si>
    <t>LOD-ANA-CMT</t>
  </si>
  <si>
    <t>002075129400011122682025</t>
  </si>
  <si>
    <t>SAC collaboration, commenting</t>
  </si>
  <si>
    <t>https://me.sap.com/case/002075129400011122682025</t>
  </si>
  <si>
    <t>0001113554</t>
  </si>
  <si>
    <t>High DB CPU utilization due to OTC jobs.</t>
  </si>
  <si>
    <t>002075129400011135542025</t>
  </si>
  <si>
    <t>https://me.sap.com/case/002075129400011135542025</t>
  </si>
  <si>
    <t>0001113913</t>
  </si>
  <si>
    <t>TradingPartner Not populated in FI Document</t>
  </si>
  <si>
    <t>002075129400011139132025</t>
  </si>
  <si>
    <t>https://me.sap.com/case/002075129400011139132025</t>
  </si>
  <si>
    <t>0001067723</t>
  </si>
  <si>
    <t>002075129500010677232025</t>
  </si>
  <si>
    <t>https://me.sap.com/case/002075129500010677232025</t>
  </si>
  <si>
    <t>0001104782</t>
  </si>
  <si>
    <t>Deletion of concur payment report in SAP production system</t>
  </si>
  <si>
    <t>BNS-CON-SE-ERP</t>
  </si>
  <si>
    <t>002075129400011047822025</t>
  </si>
  <si>
    <t>Concur ERP Integration</t>
  </si>
  <si>
    <t>https://me.sap.com/case/002075129400011047822025</t>
  </si>
  <si>
    <t>0001107118</t>
  </si>
  <si>
    <t>IBAN not getting updated in vendor master</t>
  </si>
  <si>
    <t>LO-MD-BP-ID</t>
  </si>
  <si>
    <t>002075129400011071182025</t>
  </si>
  <si>
    <t>IDocs for Customer/Supplier (DEBMAS/CREMAS)</t>
  </si>
  <si>
    <t>https://me.sap.com/case/002075129400011071182025</t>
  </si>
  <si>
    <t>0001062096</t>
  </si>
  <si>
    <t>FSD details are not linked in Carrier invoice outbound XML</t>
  </si>
  <si>
    <t>002075129500010620962025</t>
  </si>
  <si>
    <t>https://me.sap.com/case/002075129500010620962025</t>
  </si>
  <si>
    <t>0001063938</t>
  </si>
  <si>
    <t>0FI_AA_12 Data load in BW ADSO -  Creating Millions of Records</t>
  </si>
  <si>
    <t>BW4-DM-TRFN-ABAP</t>
  </si>
  <si>
    <t>002075129500010639382025</t>
  </si>
  <si>
    <t>SAP ABAP execution in Transformation and DTP</t>
  </si>
  <si>
    <t>ODP Source System</t>
  </si>
  <si>
    <t>BW4-DM-SRC-ODP</t>
  </si>
  <si>
    <t>https://me.sap.com/case/002075129500010639382025</t>
  </si>
  <si>
    <t>0001100994</t>
  </si>
  <si>
    <t>Issue while implementation of OSS 3353473</t>
  </si>
  <si>
    <t>002075129400011009942025</t>
  </si>
  <si>
    <t>https://me.sap.com/case/002075129400011009942025</t>
  </si>
  <si>
    <t>0001058490</t>
  </si>
  <si>
    <t>Mitigated control and Monitor IDs missing</t>
  </si>
  <si>
    <t>002075129500010584902025</t>
  </si>
  <si>
    <t>https://me.sap.com/case/002075129500010584902025</t>
  </si>
  <si>
    <t>0001058913</t>
  </si>
  <si>
    <t>Issue Downloading UDB Files in SSAM 2305 Client</t>
  </si>
  <si>
    <t>002075129500010589132025</t>
  </si>
  <si>
    <t>https://me.sap.com/case/002075129500010589132025</t>
  </si>
  <si>
    <t>0001097709</t>
  </si>
  <si>
    <t>Dynamic Hide of a Collection Facet on Object Page</t>
  </si>
  <si>
    <t>002075129400010977092025</t>
  </si>
  <si>
    <t>202537</t>
  </si>
  <si>
    <t>https://me.sap.com/case/002075129400010977092025</t>
  </si>
  <si>
    <t>0001095041</t>
  </si>
  <si>
    <t>Issue with partial GR clearing</t>
  </si>
  <si>
    <t>MM-IV-GF-VAL</t>
  </si>
  <si>
    <t>002075129400010950412025</t>
  </si>
  <si>
    <t>Valuation, Account determination, Postings</t>
  </si>
  <si>
    <t>https://me.sap.com/case/002075129400010950412025</t>
  </si>
  <si>
    <t>0001095117</t>
  </si>
  <si>
    <t>VIM NPO document posting issue</t>
  </si>
  <si>
    <t>002075129400010951172025</t>
  </si>
  <si>
    <t>https://me.sap.com/case/002075129400010951172025</t>
  </si>
  <si>
    <t>0001086976</t>
  </si>
  <si>
    <t>Same Layout ID for different vendor invoice copies in OpenText Vendor invoice management</t>
  </si>
  <si>
    <t>002075129400010869762025</t>
  </si>
  <si>
    <t>https://me.sap.com/case/002075129400010869762025</t>
  </si>
  <si>
    <t>0001090952</t>
  </si>
  <si>
    <t>Single Sign-On is failing for some users trying to access a SRM portal application URL</t>
  </si>
  <si>
    <t>002075129400010909522025</t>
  </si>
  <si>
    <t>FACT Enterprise Portal</t>
  </si>
  <si>
    <t>0020474922</t>
  </si>
  <si>
    <t>https://me.sap.com/case/002075129400010909522025</t>
  </si>
  <si>
    <t>SAP Supplier Relationship Management</t>
  </si>
  <si>
    <t>SAP SRM</t>
  </si>
  <si>
    <t>Procurement</t>
  </si>
  <si>
    <t>SAPROC.2026</t>
  </si>
  <si>
    <t>PTP</t>
  </si>
  <si>
    <t>000000000311963667</t>
  </si>
  <si>
    <t>0001039731</t>
  </si>
  <si>
    <t>Contract Account 'Last day' F4 Search help values issue in MDG UI</t>
  </si>
  <si>
    <t>002075129500010397312025</t>
  </si>
  <si>
    <t>https://me.sap.com/case/002075129500010397312025</t>
  </si>
  <si>
    <t>0001041877</t>
  </si>
  <si>
    <t>Bulgaria Tax depreciation plan in ACR</t>
  </si>
  <si>
    <t>002075129500010418772025</t>
  </si>
  <si>
    <t>https://me.sap.com/case/002075129500010418772025</t>
  </si>
  <si>
    <t>0001074481</t>
  </si>
  <si>
    <t>SAP TM DB Hung</t>
  </si>
  <si>
    <t>002075129400010744812025</t>
  </si>
  <si>
    <t>https://me.sap.com/case/002075129400010744812025</t>
  </si>
  <si>
    <t>0001031942</t>
  </si>
  <si>
    <t>/1DH/PUSH_CDS_DELTA - Creating OUT OF MEMORY issue in NS5 TMS system</t>
  </si>
  <si>
    <t>002075129500010319422025</t>
  </si>
  <si>
    <t>Data Staging</t>
  </si>
  <si>
    <t>BW-WHM-DST</t>
  </si>
  <si>
    <t>https://me.sap.com/case/002075129500010319422025</t>
  </si>
  <si>
    <t>0001033372</t>
  </si>
  <si>
    <t>Run time Dump while changing Focus build status due to enhancement object comparison</t>
  </si>
  <si>
    <t>002075129500010333722025</t>
  </si>
  <si>
    <t>https://me.sap.com/case/002075129500010333722025</t>
  </si>
  <si>
    <t>0001068688</t>
  </si>
  <si>
    <t>Account determination error while releasing accounting.</t>
  </si>
  <si>
    <t>002075129400010686882025</t>
  </si>
  <si>
    <t>https://me.sap.com/case/002075129400010686882025</t>
  </si>
  <si>
    <t>0001025408</t>
  </si>
  <si>
    <t>DIE Service Issue in SBPA</t>
  </si>
  <si>
    <t>CA-ML-BDP-UI</t>
  </si>
  <si>
    <t>002075129500010254082025</t>
  </si>
  <si>
    <t>AI Business document processing user interface</t>
  </si>
  <si>
    <t>https://me.sap.com/case/002075129500010254082025</t>
  </si>
  <si>
    <t>0001066237</t>
  </si>
  <si>
    <t>GRC - Hana Plugin Note Matrix</t>
  </si>
  <si>
    <t>002075129400010662372025</t>
  </si>
  <si>
    <t>202536</t>
  </si>
  <si>
    <t>https://me.sap.com/case/002075129400010662372025</t>
  </si>
  <si>
    <t>NG0</t>
  </si>
  <si>
    <t>000000000850618230</t>
  </si>
  <si>
    <t>0001019168</t>
  </si>
  <si>
    <t>Limitation on size for @Semantics : Large Objects in SAP BTP ABAP environment</t>
  </si>
  <si>
    <t>002075129500010191682025</t>
  </si>
  <si>
    <t>https://me.sap.com/case/002075129500010191682025</t>
  </si>
  <si>
    <t>0001056528</t>
  </si>
  <si>
    <t>Business place not assigned to plant error bypass</t>
  </si>
  <si>
    <t>002075129400010565282025</t>
  </si>
  <si>
    <t>https://me.sap.com/case/002075129400010565282025</t>
  </si>
  <si>
    <t>0001052374</t>
  </si>
  <si>
    <t>SPROXY modification not working properly</t>
  </si>
  <si>
    <t>BC-DWB-PRX</t>
  </si>
  <si>
    <t>002075129400010523742025</t>
  </si>
  <si>
    <t>Proxy Generation</t>
  </si>
  <si>
    <t>https://me.sap.com/case/002075129400010523742025</t>
  </si>
  <si>
    <t>NS6</t>
  </si>
  <si>
    <t>000000000800530658</t>
  </si>
  <si>
    <t>0001052863</t>
  </si>
  <si>
    <t>Deleting ODN Configuration at Attribute and Document Class level</t>
  </si>
  <si>
    <t>002075129400010528632025</t>
  </si>
  <si>
    <t>https://me.sap.com/case/002075129400010528632025</t>
  </si>
  <si>
    <t>0001042467</t>
  </si>
  <si>
    <t>WHT issue for FI documents of MIRO posting</t>
  </si>
  <si>
    <t>002075129400010424672025</t>
  </si>
  <si>
    <t>https://me.sap.com/case/002075129400010424672025</t>
  </si>
  <si>
    <t>0001004468</t>
  </si>
  <si>
    <t>Too much processing time in SAC excel add-in</t>
  </si>
  <si>
    <t>LOD-ANA-OF-XLA</t>
  </si>
  <si>
    <t>002075129500010044682025</t>
  </si>
  <si>
    <t>SAP Analytics Cloud, add-in for Microsoft Office</t>
  </si>
  <si>
    <t>https://me.sap.com/case/002075129500010044682025</t>
  </si>
  <si>
    <t>0001037416</t>
  </si>
  <si>
    <t>Issue with Disappearing Thread Count Settings in Adapter Engine → Queue</t>
  </si>
  <si>
    <t>002075129400010374162025</t>
  </si>
  <si>
    <t>SAP Process Integration (PI) related performance issues</t>
  </si>
  <si>
    <t>SV-PERF-PI</t>
  </si>
  <si>
    <t>https://me.sap.com/case/002075129400010374162025</t>
  </si>
  <si>
    <t>0001038350</t>
  </si>
  <si>
    <t>Case_645579_2025 Blank Contract Asset Liability Flag Still Reconciliation Key is Closed</t>
  </si>
  <si>
    <t>002075129400010383502025</t>
  </si>
  <si>
    <t>https://me.sap.com/case/002075129400010383502025</t>
  </si>
  <si>
    <t>0001040814</t>
  </si>
  <si>
    <t>Few users are unable to open BP's in MDG Fiori due to timeout error.</t>
  </si>
  <si>
    <t>002075129400010408142025</t>
  </si>
  <si>
    <t>Synchronization Business Partner with Customer/Vendor</t>
  </si>
  <si>
    <t>LO-MD-BP-SYN</t>
  </si>
  <si>
    <t>https://me.sap.com/case/002075129400010408142025</t>
  </si>
  <si>
    <t>0000969954</t>
  </si>
  <si>
    <t>NS5: EWA: Buffer Loading for Statement</t>
  </si>
  <si>
    <t>SCM-BAS-MD-RE</t>
  </si>
  <si>
    <t>002075129500009699542025</t>
  </si>
  <si>
    <t>Custom Fields</t>
  </si>
  <si>
    <t>BC-SRV-APS-EXT-FLD</t>
  </si>
  <si>
    <t>https://me.sap.com/case/002075129500009699542025</t>
  </si>
  <si>
    <t>0001036057</t>
  </si>
  <si>
    <t>MESSAGE_TYPE_X Dump for CL_USMD_HRY_GENIL Program</t>
  </si>
  <si>
    <t>002075129400010360572025</t>
  </si>
  <si>
    <t>202508</t>
  </si>
  <si>
    <t>202535</t>
  </si>
  <si>
    <t>https://me.sap.com/case/002075129400010360572025</t>
  </si>
  <si>
    <t>0001031752</t>
  </si>
  <si>
    <t>Portugal SAF-T Accounting file Error</t>
  </si>
  <si>
    <t>002075129400010317522025</t>
  </si>
  <si>
    <t>https://me.sap.com/case/002075129400010317522025</t>
  </si>
  <si>
    <t>0001032122</t>
  </si>
  <si>
    <t>Balance Mismatch Between FS10N &amp; GLPCA</t>
  </si>
  <si>
    <t>002075129400010321222025</t>
  </si>
  <si>
    <t>Profit Center Accounting</t>
  </si>
  <si>
    <t>EC-PCA</t>
  </si>
  <si>
    <t>https://me.sap.com/case/002075129400010321222025</t>
  </si>
  <si>
    <t>0000986694</t>
  </si>
  <si>
    <t>Inactive Charges from Freight order are getting copied to Carrier Invoice</t>
  </si>
  <si>
    <t>002075129500009866942025</t>
  </si>
  <si>
    <t>https://me.sap.com/case/002075129500009866942025</t>
  </si>
  <si>
    <t>0001013907</t>
  </si>
  <si>
    <t>Investment measure (Internal Order) line item settlement to AuC</t>
  </si>
  <si>
    <t>CO-OM-OPA-F</t>
  </si>
  <si>
    <t>002075129400010139072025</t>
  </si>
  <si>
    <t>Period-end Closing</t>
  </si>
  <si>
    <t>https://me.sap.com/case/002075129400010139072025</t>
  </si>
  <si>
    <t>0001014911</t>
  </si>
  <si>
    <t>Carrier Invoice Dispute Resolution</t>
  </si>
  <si>
    <t>002075129400010149112025</t>
  </si>
  <si>
    <t>https://me.sap.com/case/002075129400010149112025</t>
  </si>
  <si>
    <t>0000977077</t>
  </si>
  <si>
    <t>Spool not generated for batch jobs having report program /SCMTMS/TOR_FO_PROC_BATCH</t>
  </si>
  <si>
    <t>002075129500009770772025</t>
  </si>
  <si>
    <t>https://me.sap.com/case/002075129500009770772025</t>
  </si>
  <si>
    <t>0001007573</t>
  </si>
  <si>
    <t>Splitting the IES Snapshot based on Layout ID or Date range Reference (895136/2025 )</t>
  </si>
  <si>
    <t>002075129400010075732025</t>
  </si>
  <si>
    <t>https://me.sap.com/case/002075129400010075732025</t>
  </si>
  <si>
    <t>0000965027</t>
  </si>
  <si>
    <t>NM5 system application not able to start and getting the error DpUpdateStatusFileWith in dev logs</t>
  </si>
  <si>
    <t>BC-CST-DP</t>
  </si>
  <si>
    <t>002075129500009650272025</t>
  </si>
  <si>
    <t>Dispatcher, Task Handler</t>
  </si>
  <si>
    <t>202534</t>
  </si>
  <si>
    <t>https://me.sap.com/case/002075129500009650272025</t>
  </si>
  <si>
    <t>0001002674</t>
  </si>
  <si>
    <t>Supplier Invoice Flexible Workflow not getting triggered</t>
  </si>
  <si>
    <t>002075129400010026742025</t>
  </si>
  <si>
    <t>Task Gateway</t>
  </si>
  <si>
    <t>OPU-BSC-TGW</t>
  </si>
  <si>
    <t>https://me.sap.com/case/002075129400010026742025</t>
  </si>
  <si>
    <t>0000989291</t>
  </si>
  <si>
    <t>Outbound Asynchronous Proxy Dispatcher FIN S4 messages failed with internal server error in IS prod</t>
  </si>
  <si>
    <t>002075129400009892912025</t>
  </si>
  <si>
    <t>https://me.sap.com/case/002075129400009892912025</t>
  </si>
  <si>
    <t>0000989311</t>
  </si>
  <si>
    <t>The XLSX file copied from the application server cannot be opened on the local system.</t>
  </si>
  <si>
    <t>TM-MD-CM-RA-XL</t>
  </si>
  <si>
    <t>002075129400009893112025</t>
  </si>
  <si>
    <t>Rate Excel Integration</t>
  </si>
  <si>
    <t>https://me.sap.com/case/002075129400009893112025</t>
  </si>
  <si>
    <t>0000991666</t>
  </si>
  <si>
    <t>Withholding tax calculation error while running F110 for MIRO document type RE</t>
  </si>
  <si>
    <t>002075129400009916662025</t>
  </si>
  <si>
    <t>https://me.sap.com/case/002075129400009916662025</t>
  </si>
  <si>
    <t>0000961006</t>
  </si>
  <si>
    <t>Issue with Business rule for change log monitor after upgrade</t>
  </si>
  <si>
    <t>002075129500009610062025</t>
  </si>
  <si>
    <t>https://me.sap.com/case/002075129500009610062025</t>
  </si>
  <si>
    <t>0000961508</t>
  </si>
  <si>
    <t>Bulgaria  Tax Depreciation Plan in ACR</t>
  </si>
  <si>
    <t>002075129500009615082025</t>
  </si>
  <si>
    <t>https://me.sap.com/case/002075129500009615082025</t>
  </si>
  <si>
    <t>0000979083</t>
  </si>
  <si>
    <t>Vendor master data mismatch issue</t>
  </si>
  <si>
    <t>002075129400009790832025</t>
  </si>
  <si>
    <t>https://me.sap.com/case/002075129400009790832025</t>
  </si>
  <si>
    <t>0000948705</t>
  </si>
  <si>
    <t>Unable to cancel FSD which is in status "Posting Failed"</t>
  </si>
  <si>
    <t>002075129500009487052025</t>
  </si>
  <si>
    <t>https://me.sap.com/case/002075129500009487052025</t>
  </si>
  <si>
    <t>0010489660</t>
  </si>
  <si>
    <t>You have used up 93.25% of your data change log capacity for model "SGA_VIS_ACT</t>
  </si>
  <si>
    <t>LOD-ANA-ADM-AUD</t>
  </si>
  <si>
    <t>002028376700104896602025</t>
  </si>
  <si>
    <t>Data Audit</t>
  </si>
  <si>
    <t>https://me.sap.com/case/002028376700104896602025</t>
  </si>
  <si>
    <t>0000973552</t>
  </si>
  <si>
    <t>002075129400009735522025</t>
  </si>
  <si>
    <t>https://me.sap.com/case/002075129400009735522025</t>
  </si>
  <si>
    <t>0000942933</t>
  </si>
  <si>
    <t>Discrepency in structure COPACRIT</t>
  </si>
  <si>
    <t>002075129500009429332025</t>
  </si>
  <si>
    <t>https://me.sap.com/case/002075129500009429332025</t>
  </si>
  <si>
    <t>0000965546</t>
  </si>
  <si>
    <t>Messages Storage Capacity and Message retention requirement</t>
  </si>
  <si>
    <t>002075129400009655462025</t>
  </si>
  <si>
    <t>202533</t>
  </si>
  <si>
    <t>https://me.sap.com/case/002075129400009655462025</t>
  </si>
  <si>
    <t>0000936556</t>
  </si>
  <si>
    <t>The completed work orders are not disappearing from the SSAM ( SAP Service and Asset manager) App</t>
  </si>
  <si>
    <t>002075129500009365562025</t>
  </si>
  <si>
    <t>https://me.sap.com/case/002075129500009365562025</t>
  </si>
  <si>
    <t>0000959536</t>
  </si>
  <si>
    <t>SSAM Client Sync broken with Backend.</t>
  </si>
  <si>
    <t>MOB-APP-MAO</t>
  </si>
  <si>
    <t>002075129400009595362025</t>
  </si>
  <si>
    <t>Mobile Application Integration Framework</t>
  </si>
  <si>
    <t>https://me.sap.com/case/002075129400009595362025</t>
  </si>
  <si>
    <t>0000922773</t>
  </si>
  <si>
    <t>Fiori Capture validation is unable to read the India date format DD-MM-YYYY</t>
  </si>
  <si>
    <t>002075129400009227732025</t>
  </si>
  <si>
    <t>202532</t>
  </si>
  <si>
    <t>https://me.sap.com/case/002075129400009227732025</t>
  </si>
  <si>
    <t>0000914079</t>
  </si>
  <si>
    <t>PDF Image not generating for EDI Channel</t>
  </si>
  <si>
    <t>XX-PART-OPT-ARC</t>
  </si>
  <si>
    <t>002075129400009140792025</t>
  </si>
  <si>
    <t>SAP Archiving by OpenText</t>
  </si>
  <si>
    <t>https://me.sap.com/case/002075129400009140792025</t>
  </si>
  <si>
    <t>0000893084</t>
  </si>
  <si>
    <t>User Activities log is almost full in SAP Analytics Cloud (SAC)</t>
  </si>
  <si>
    <t>002075129400008930842025</t>
  </si>
  <si>
    <t>202507</t>
  </si>
  <si>
    <t>202531</t>
  </si>
  <si>
    <t>https://me.sap.com/case/002075129400008930842025</t>
  </si>
  <si>
    <t>0000879336</t>
  </si>
  <si>
    <t>High Garbage Collection Activity Detected on J2EE Instances dmcpopa04_POP_86 and dmcpopa03_POP_85</t>
  </si>
  <si>
    <t>002075129400008793362025</t>
  </si>
  <si>
    <t>Damco Fact XI Installation</t>
  </si>
  <si>
    <t>0020768279</t>
  </si>
  <si>
    <t>https://me.sap.com/case/002075129400008793362025</t>
  </si>
  <si>
    <t>000000000312344624</t>
  </si>
  <si>
    <t>0000868610</t>
  </si>
  <si>
    <t>Approving, Creating GL accounts too slow in MDG system</t>
  </si>
  <si>
    <t>002075129400008686102025</t>
  </si>
  <si>
    <t>202530</t>
  </si>
  <si>
    <t>https://me.sap.com/case/002075129400008686102025</t>
  </si>
  <si>
    <t>0000869330</t>
  </si>
  <si>
    <t>Ref : 569628 :Hudek vendor</t>
  </si>
  <si>
    <t>002075129400008693302025</t>
  </si>
  <si>
    <t>https://me.sap.com/case/002075129400008693302025</t>
  </si>
  <si>
    <t>0000870242</t>
  </si>
  <si>
    <t>FCLOCO Issue</t>
  </si>
  <si>
    <t>002075129400008702422025</t>
  </si>
  <si>
    <t>https://me.sap.com/case/002075129400008702422025</t>
  </si>
  <si>
    <t>0000871416</t>
  </si>
  <si>
    <t>Sharepoint connection getting into Error</t>
  </si>
  <si>
    <t>LOD-OCN-PTS</t>
  </si>
  <si>
    <t>002075129400008714162025</t>
  </si>
  <si>
    <t>Partner Service</t>
  </si>
  <si>
    <t>https://me.sap.com/case/002075129400008714162025</t>
  </si>
  <si>
    <t>0010313997</t>
  </si>
  <si>
    <t>An internal server error occurred in the SAP Analytics Cloud agent: Termination message sent &amp;#10;ABEND RS_EXCEPTION</t>
  </si>
  <si>
    <t>002028376700103139972025</t>
  </si>
  <si>
    <t>202529</t>
  </si>
  <si>
    <t>https://me.sap.com/case/002028376700103139972025</t>
  </si>
  <si>
    <t>0000840764</t>
  </si>
  <si>
    <t>Stop successor field OI_REQ_BY not updated on default route unassignment</t>
  </si>
  <si>
    <t>TM-PLN-TU</t>
  </si>
  <si>
    <t>002075129400008407642025</t>
  </si>
  <si>
    <t>Transportation Unit</t>
  </si>
  <si>
    <t>https://me.sap.com/case/002075129400008407642025</t>
  </si>
  <si>
    <t>0000814197</t>
  </si>
  <si>
    <t>Database deadlock scenarios in the NR5 (S4 Hana) due to CCM jobs</t>
  </si>
  <si>
    <t>002075129500008141972025</t>
  </si>
  <si>
    <t>https://me.sap.com/case/002075129500008141972025</t>
  </si>
  <si>
    <t>0000827153</t>
  </si>
  <si>
    <t>EP1 System high update response</t>
  </si>
  <si>
    <t>SRM-EBP-TEC-PFM</t>
  </si>
  <si>
    <t>002075129400008271532025</t>
  </si>
  <si>
    <t>Performance</t>
  </si>
  <si>
    <t>Local Purchase Order</t>
  </si>
  <si>
    <t>SRM-EBP-POR</t>
  </si>
  <si>
    <t>SAP SRM Tech Installation</t>
  </si>
  <si>
    <t>0020479185</t>
  </si>
  <si>
    <t>https://me.sap.com/case/002075129400008271532025</t>
  </si>
  <si>
    <t>EP1</t>
  </si>
  <si>
    <t>000000000311073618</t>
  </si>
  <si>
    <t>0000828808</t>
  </si>
  <si>
    <t>002075129400008288082025</t>
  </si>
  <si>
    <t>https://me.sap.com/case/002075129400008288082025</t>
  </si>
  <si>
    <t>0000805938</t>
  </si>
  <si>
    <t>NS5 : HANA DB Parameter Analysis</t>
  </si>
  <si>
    <t>002075129500008059382025</t>
  </si>
  <si>
    <t>https://me.sap.com/case/002075129500008059382025</t>
  </si>
  <si>
    <t>0000818836</t>
  </si>
  <si>
    <t>Poland E Invoice integration with KSeF</t>
  </si>
  <si>
    <t>002075129400008188362025</t>
  </si>
  <si>
    <t>202528</t>
  </si>
  <si>
    <t>https://me.sap.com/case/002075129400008188362025</t>
  </si>
  <si>
    <t>0000808710</t>
  </si>
  <si>
    <t>Query Performance Discrepancy Between WR1 (preprod) and WP1 (prod)  Systems (HANA Scale-Out)</t>
  </si>
  <si>
    <t>002075129400008087102025</t>
  </si>
  <si>
    <t>SAP HANA Cockpit 2 (Administration Core)</t>
  </si>
  <si>
    <t>HAN-CPT-CPT2-ADM</t>
  </si>
  <si>
    <t>https://me.sap.com/case/002075129400008087102025</t>
  </si>
  <si>
    <t>0000749795</t>
  </si>
  <si>
    <t>002075129500007497952025</t>
  </si>
  <si>
    <t>202527</t>
  </si>
  <si>
    <t>https://me.sap.com/case/002075129500007497952025</t>
  </si>
  <si>
    <t>PSLE / MA / SLA</t>
  </si>
  <si>
    <t>ZS3</t>
  </si>
  <si>
    <t>000000000850704660</t>
  </si>
  <si>
    <t>0000763858</t>
  </si>
  <si>
    <t>Multiple Queues stuck under same Forwarding Order with locking issue and not getting cleared.</t>
  </si>
  <si>
    <t>002075129400007638582025</t>
  </si>
  <si>
    <t>202506</t>
  </si>
  <si>
    <t>20252</t>
  </si>
  <si>
    <t>https://me.sap.com/case/002075129400007638582025</t>
  </si>
  <si>
    <t>0000747304</t>
  </si>
  <si>
    <t>WP1 : Table inconsistency reported in table /BIC/AZMA16SCLW1</t>
  </si>
  <si>
    <t>002075129400007473042025</t>
  </si>
  <si>
    <t>202526</t>
  </si>
  <si>
    <t>https://me.sap.com/case/002075129400007473042025</t>
  </si>
  <si>
    <t>0000732660</t>
  </si>
  <si>
    <t>Post HANA DB Update – Indexserver on Node mlwp1db02 Not Starting (HDB 2.00.079.01)</t>
  </si>
  <si>
    <t>002075129400007326602025</t>
  </si>
  <si>
    <t>202525</t>
  </si>
  <si>
    <t>https://me.sap.com/case/002075129400007326602025</t>
  </si>
  <si>
    <t>0000725380</t>
  </si>
  <si>
    <t>Contract Account message ID issue</t>
  </si>
  <si>
    <t>002075129400007253802025</t>
  </si>
  <si>
    <t>https://me.sap.com/case/002075129400007253802025</t>
  </si>
  <si>
    <t>0000693351</t>
  </si>
  <si>
    <t>J2EE Messages Issues metric is grey out in Technical Monitoring for NP5 System</t>
  </si>
  <si>
    <t>002075129400006933512025</t>
  </si>
  <si>
    <t>202524</t>
  </si>
  <si>
    <t>https://me.sap.com/case/002075129400006933512025</t>
  </si>
  <si>
    <t>0000658903</t>
  </si>
  <si>
    <t>Acceptable date range in FWO.</t>
  </si>
  <si>
    <t>TM-PLN-SCH-OPT</t>
  </si>
  <si>
    <t>002075129500006589032025</t>
  </si>
  <si>
    <t>Optimizer for Scheduling during Manual Planning</t>
  </si>
  <si>
    <t>Optimizer</t>
  </si>
  <si>
    <t>TM-PLN-VSR-OPT</t>
  </si>
  <si>
    <t>https://me.sap.com/case/002075129500006589032025</t>
  </si>
  <si>
    <t>0000636463</t>
  </si>
  <si>
    <t>When “Sent to vendor” action is performed on FRO XML ID is not getting generated.</t>
  </si>
  <si>
    <t>TM-FRM-INT-SUB</t>
  </si>
  <si>
    <t>002075129400006364632025</t>
  </si>
  <si>
    <t>Subcontracting Freight Order / Freight Booking Web Services</t>
  </si>
  <si>
    <t>202505</t>
  </si>
  <si>
    <t>202522</t>
  </si>
  <si>
    <t>https://me.sap.com/case/002075129400006364632025</t>
  </si>
  <si>
    <t>0000590843</t>
  </si>
  <si>
    <t>Dispute Case Status - AWAITING CARRIER APPROVAL</t>
  </si>
  <si>
    <t>002075129500005908432025</t>
  </si>
  <si>
    <t>https://me.sap.com/case/002075129500005908432025</t>
  </si>
  <si>
    <t>0000611381</t>
  </si>
  <si>
    <t>TIME_OUT dump for CCMSBI: THRESHOLDS central Extractor of TA5 SolMan</t>
  </si>
  <si>
    <t>BC-SRV-SUA-CUP</t>
  </si>
  <si>
    <t>002075129400006113812025</t>
  </si>
  <si>
    <t>Central Component for USAGE Measurement Objects</t>
  </si>
  <si>
    <t>202521</t>
  </si>
  <si>
    <t>https://me.sap.com/case/002075129400006113812025</t>
  </si>
  <si>
    <t>0000611582</t>
  </si>
  <si>
    <t>Address could not be deleted as it is still used elsewhere</t>
  </si>
  <si>
    <t>002075129400006115822025</t>
  </si>
  <si>
    <t>https://me.sap.com/case/002075129400006115822025</t>
  </si>
  <si>
    <t>0000594976</t>
  </si>
  <si>
    <t>PT SAf-T ATCUD / ODN</t>
  </si>
  <si>
    <t>002075129400005949762025</t>
  </si>
  <si>
    <t>https://me.sap.com/case/002075129400005949762025</t>
  </si>
  <si>
    <t>0000559629</t>
  </si>
  <si>
    <t>Local currency amount is having negative amount in FSD Charges</t>
  </si>
  <si>
    <t>002075129500005596292025</t>
  </si>
  <si>
    <t>202520</t>
  </si>
  <si>
    <t>https://me.sap.com/case/002075129500005596292025</t>
  </si>
  <si>
    <t>0000560311</t>
  </si>
  <si>
    <t>Optimizer not considering the consumed schedule capacity</t>
  </si>
  <si>
    <t>002075129500005603112025</t>
  </si>
  <si>
    <t>Profiles and Settings</t>
  </si>
  <si>
    <t>TM-PLN-PS</t>
  </si>
  <si>
    <t>https://me.sap.com/case/002075129500005603112025</t>
  </si>
  <si>
    <t>0000548583</t>
  </si>
  <si>
    <t>unattended agent is going disconnect status frequently</t>
  </si>
  <si>
    <t>CA-ML-IPA-EXE-CNX</t>
  </si>
  <si>
    <t>002075129400005485832025</t>
  </si>
  <si>
    <t>IRPA Execute - Agent-Factory connection</t>
  </si>
  <si>
    <t>https://me.sap.com/case/002075129400005485832025</t>
  </si>
  <si>
    <t>0000439539</t>
  </si>
  <si>
    <t>Fros are picking Generic rates instead of MPT rates - INC7828164</t>
  </si>
  <si>
    <t>Product documentation</t>
  </si>
  <si>
    <t>002075129500004395392025</t>
  </si>
  <si>
    <t>202504</t>
  </si>
  <si>
    <t>202516</t>
  </si>
  <si>
    <t>https://me.sap.com/case/002075129500004395392025</t>
  </si>
  <si>
    <t>0000435436</t>
  </si>
  <si>
    <t>Here Maps is not providing the distance</t>
  </si>
  <si>
    <t>002075129500004354362025</t>
  </si>
  <si>
    <t>https://me.sap.com/case/002075129500004354362025</t>
  </si>
  <si>
    <t>0000413099</t>
  </si>
  <si>
    <t>Inconsistent System Status Update for phase-based orders from SSAM App</t>
  </si>
  <si>
    <t>002075129400004130992025</t>
  </si>
  <si>
    <t>202515</t>
  </si>
  <si>
    <t>https://me.sap.com/case/002075129400004130992025</t>
  </si>
  <si>
    <t>000000000745013058</t>
  </si>
  <si>
    <t>0000206311</t>
  </si>
  <si>
    <t>Carrier invoice status getting over invoiced even its dispute case is resolved</t>
  </si>
  <si>
    <t>002075129500002063112025</t>
  </si>
  <si>
    <t>202502</t>
  </si>
  <si>
    <t>20251</t>
  </si>
  <si>
    <t>Commodity Management - Invoice Verification</t>
  </si>
  <si>
    <t>LO-INT-TM-IV</t>
  </si>
  <si>
    <t>https://me.sap.com/case/002075129500002063112025</t>
  </si>
  <si>
    <t>0000147318</t>
  </si>
  <si>
    <t>ACR Romania SAFT reporting - FICA integration</t>
  </si>
  <si>
    <t>002075129400001473182025</t>
  </si>
  <si>
    <t>Romania</t>
  </si>
  <si>
    <t>FI-LOC-SAF-RO</t>
  </si>
  <si>
    <t>https://me.sap.com/case/002075129400001473182025</t>
  </si>
  <si>
    <t>Flag_HowToOrConsulting</t>
  </si>
  <si>
    <t>Flag_PriorityInflation</t>
  </si>
  <si>
    <t>Flag_CustomerDelay</t>
  </si>
  <si>
    <t>Flag_ComponentMismatch</t>
  </si>
  <si>
    <t>Flag_Reopened</t>
  </si>
  <si>
    <t>Flag_AutoConfirmed</t>
  </si>
  <si>
    <t>Flag_TotalCoaching</t>
  </si>
  <si>
    <t>📌 Incident Quality Insights (vs SAP Support Best Practices)</t>
  </si>
  <si>
    <t>📊 KPI</t>
  </si>
  <si>
    <t>Value</t>
  </si>
  <si>
    <t>What it suggests</t>
  </si>
  <si>
    <t>Total cases</t>
  </si>
  <si>
    <t>Overall volume in this export</t>
  </si>
  <si>
    <t>Avg coaching flags per case</t>
  </si>
  <si>
    <t>Higher = more rework/triage waste</t>
  </si>
  <si>
    <t>Should be handled via docs/consulting, not incident</t>
  </si>
  <si>
    <t>Priority inflation (breaks priority intent)</t>
  </si>
  <si>
    <t>% Customer delay &gt; 2× SAP time</t>
  </si>
  <si>
    <t>Missing details / slow feedback increases lead time</t>
  </si>
  <si>
    <t>% Component mismatch (initial vs final)</t>
  </si>
  <si>
    <t>Routing quality issue; slows resolution</t>
  </si>
  <si>
    <t>Reopen rate</t>
  </si>
  <si>
    <t>Fix not validated or info incomplete</t>
  </si>
  <si>
    <t>May indicate confirmation not explicitly validated</t>
  </si>
  <si>
    <t>Median days at customer</t>
  </si>
  <si>
    <t>Time waiting on customer action</t>
  </si>
  <si>
    <t>Median days at SAP</t>
  </si>
  <si>
    <t>Time SAP actually worked on the case</t>
  </si>
  <si>
    <t>🧭 Coaching Pattern</t>
  </si>
  <si>
    <t># Cases</t>
  </si>
  <si>
    <t>% of total</t>
  </si>
  <si>
    <t>Example case</t>
  </si>
  <si>
    <t>Coaching message (what to do differently)</t>
  </si>
  <si>
    <t>Match priority to business impact in productive systems. Use lower priority for DEV/TEST unless production is blocked.</t>
  </si>
  <si>
    <t>Customer delay / missing information</t>
  </si>
  <si>
    <t>Wrong component / routing mismatch</t>
  </si>
  <si>
    <t>Reopened cases</t>
  </si>
  <si>
    <t>Validate the fix in the same landscape and confirm closure criteria (expected vs actual). Add test evidence before closing.</t>
  </si>
  <si>
    <t>Explicitly confirm the solution works and document root cause + fix + prevention to reduce repeats.</t>
  </si>
  <si>
    <t>Row Labels</t>
  </si>
  <si>
    <t>Grand Total</t>
  </si>
  <si>
    <t>Cases (count)</t>
  </si>
  <si>
    <t>Total coaching flags (sum)</t>
  </si>
  <si>
    <t>Workstream</t>
  </si>
  <si>
    <t>Cases</t>
  </si>
  <si>
    <t>Avg flags / case</t>
  </si>
  <si>
    <t>% How-to</t>
  </si>
  <si>
    <t>% Priority inflation</t>
  </si>
  <si>
    <t>% Cust. delay</t>
  </si>
  <si>
    <t>% Comp mismatch</t>
  </si>
  <si>
    <t>% Reopened</t>
  </si>
  <si>
    <t>% Auto-confirmed</t>
  </si>
  <si>
    <t>🧩 Workstream Insights (remapped)</t>
  </si>
  <si>
    <t>Source: SAPUI5 Export (table: Cases) • Workstream recategorized from Initial Component ID • Generated: 18/05/2026</t>
  </si>
  <si>
    <t>% How-to / consulting raised as incident</t>
  </si>
  <si>
    <t>% High priority in non-productive systems</t>
  </si>
  <si>
    <t>How-to / consulting raised as incident</t>
  </si>
  <si>
    <t>Use self-service first (KBA/Notes/help portal) and raise an incident only for product defects with reproducible steps + evidence.</t>
  </si>
  <si>
    <t>High priority used on non-productive systems</t>
  </si>
  <si>
    <t>Provide logs, screenshots, exact timestamps, reproducible steps, and answer SAP questions quickly to avoid ping-pong.</t>
  </si>
  <si>
    <t>Pick the best-fit component and product area up-front. Misrouting increases handoffs and time-to-resolution.</t>
  </si>
  <si>
    <t>Auto-confirmed cases</t>
  </si>
  <si>
    <t>Reporting &amp; Analytics (BW)</t>
  </si>
  <si>
    <t>Cash/Treasury</t>
  </si>
  <si>
    <t>GRC</t>
  </si>
  <si>
    <t>OTC</t>
  </si>
  <si>
    <t>MDG</t>
  </si>
  <si>
    <t>Integration</t>
  </si>
  <si>
    <t>EAM</t>
  </si>
  <si>
    <t>Tax &amp; E-Invoicing</t>
  </si>
  <si>
    <t>Basis</t>
  </si>
  <si>
    <t>ATR + RAR</t>
  </si>
  <si>
    <t>ABAP</t>
  </si>
  <si>
    <t>PTP + OpenText</t>
  </si>
  <si>
    <t>Distinct workstreams</t>
  </si>
  <si>
    <t>Number of workstream buckets in scope</t>
  </si>
  <si>
    <t>Largest workstream</t>
  </si>
  <si>
    <t>Workstream with the most cases (drives focus)</t>
  </si>
  <si>
    <t>Largest workstream share</t>
  </si>
  <si>
    <t>Concentration of volume in top workstream</t>
  </si>
  <si>
    <t>Top workstream</t>
  </si>
  <si>
    <t>Cases in top 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</si>
</sst>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%"/>
  </numFmts>
  <fonts count="5" x14ac:knownFonts="1"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4"/>
      <color rgb="FFFFFFFF"/>
      <name val="Arial"/>
      <family val="2"/>
    </font>
    <font>
      <i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right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1" fillId="2" borderId="0" xfId="0" applyFont="1" applyFill="1"/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/>
    <xf numFmtId="0" fontId="3" fillId="4" borderId="0" xfId="0" applyFont="1" applyFill="1"/>
    <xf numFmtId="0" fontId="4" fillId="0" borderId="0" xfId="0" applyFont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wrapText="1"/>
    </xf>
    <xf numFmtId="3" fontId="0" fillId="0" borderId="0" xfId="0" applyNumberFormat="1"/>
    <xf numFmtId="1" fontId="2" fillId="0" borderId="0" xfId="0" applyNumberFormat="1" applyFont="1"/>
    <xf numFmtId="2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79"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dd\.mm\.yyyy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dd\.mm\.yyyy"/>
      <alignment horizontal="right" vertical="bottom" textRotation="0" wrapText="0" indent="0" justifyLastLine="0" shrinkToFit="0" readingOrder="0"/>
    </dxf>
    <dxf>
      <numFmt numFmtId="164" formatCode="dd\.mm\.yyyy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7F7F7"/>
        </patternFill>
      </fill>
    </dxf>
  </dxfs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Coaching Patterns (# Cases)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'Insights &amp; Coaching'!$B$19</c:f>
              <c:strCache>
                <c:ptCount val="1"/>
                <c:pt idx="0">
                  <c:v># 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'Insights &amp; Coaching'!$A$20:$A$25</c:f>
              <c:strCache>
                <c:ptCount val="6"/>
                <c:pt idx="0">
                  <c:v>How-to / consulting raised as incident</c:v>
                </c:pt>
                <c:pt idx="1">
                  <c:v>High priority used on non-productive systems</c:v>
                </c:pt>
                <c:pt idx="2">
                  <c:v>Customer delay / missing information</c:v>
                </c:pt>
                <c:pt idx="3">
                  <c:v>Wrong component / routing mismatch</c:v>
                </c:pt>
                <c:pt idx="4">
                  <c:v>Reopened cases</c:v>
                </c:pt>
                <c:pt idx="5">
                  <c:v>Auto-confirmed cases</c:v>
                </c:pt>
              </c:strCache>
            </c:strRef>
          </c:cat>
          <c:val>
            <c:numRef>
              <c:f>'Insights &amp; Coaching'!$B$20:$B$25</c:f>
              <c:numCache>
                <c:formatCode>General</c:formatCode>
                <c:ptCount val="6"/>
                <c:pt idx="0">
                  <c:v>238</c:v>
                </c:pt>
                <c:pt idx="1">
                  <c:v>143</c:v>
                </c:pt>
                <c:pt idx="2">
                  <c:v>553</c:v>
                </c:pt>
                <c:pt idx="3">
                  <c:v>241</c:v>
                </c:pt>
                <c:pt idx="4">
                  <c:v>145</c:v>
                </c:pt>
                <c:pt idx="5">
                  <c:v>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8-45D8-9BF6-77A8E3D9B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9686575"/>
        <c:axId val="1569689935"/>
      </c:barChart>
      <c:catAx>
        <c:axId val="156968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689935"/>
        <c:crosses val="autoZero"/>
        <c:auto val="1"/>
        <c:lblAlgn val="ctr"/>
        <c:lblOffset val="100"/>
        <c:noMultiLvlLbl val="0"/>
      </c:catAx>
      <c:valAx>
        <c:axId val="156968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68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Workstream Cases (remapped)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'Insights &amp; Coaching'!$B$28</c:f>
              <c:strCache>
                <c:ptCount val="1"/>
                <c:pt idx="0">
                  <c:v>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'Insights &amp; Coaching'!$A$29:$A$41</c:f>
              <c:strCache>
                <c:ptCount val="13"/>
                <c:pt idx="0">
                  <c:v>Tax &amp; E-Invoicing</c:v>
                </c:pt>
                <c:pt idx="1">
                  <c:v>PTP + OpenText</c:v>
                </c:pt>
                <c:pt idx="2">
                  <c:v>Basis</c:v>
                </c:pt>
                <c:pt idx="3">
                  <c:v>ATR + RAR</c:v>
                </c:pt>
                <c:pt idx="4">
                  <c:v>ABAP</c:v>
                </c:pt>
                <c:pt idx="5">
                  <c:v>Reporting &amp; Analytics (BW)</c:v>
                </c:pt>
                <c:pt idx="6">
                  <c:v>Cash/Treasury</c:v>
                </c:pt>
                <c:pt idx="7">
                  <c:v>Integration</c:v>
                </c:pt>
                <c:pt idx="8">
                  <c:v>GRC</c:v>
                </c:pt>
                <c:pt idx="9">
                  <c:v>MDG</c:v>
                </c:pt>
                <c:pt idx="10">
                  <c:v>OTC</c:v>
                </c:pt>
                <c:pt idx="11">
                  <c:v>EAM</c:v>
                </c:pt>
                <c:pt idx="12">
                  <c:v>Others</c:v>
                </c:pt>
              </c:strCache>
            </c:strRef>
          </c:cat>
          <c:val>
            <c:numRef>
              <c:f>'Insights &amp; Coaching'!$B$29:$B$41</c:f>
              <c:numCache>
                <c:formatCode>#,##0</c:formatCode>
                <c:ptCount val="13"/>
                <c:pt idx="0">
                  <c:v>146</c:v>
                </c:pt>
                <c:pt idx="1">
                  <c:v>115</c:v>
                </c:pt>
                <c:pt idx="2">
                  <c:v>110</c:v>
                </c:pt>
                <c:pt idx="3">
                  <c:v>64</c:v>
                </c:pt>
                <c:pt idx="4">
                  <c:v>54</c:v>
                </c:pt>
                <c:pt idx="5">
                  <c:v>47</c:v>
                </c:pt>
                <c:pt idx="6">
                  <c:v>46</c:v>
                </c:pt>
                <c:pt idx="7">
                  <c:v>38</c:v>
                </c:pt>
                <c:pt idx="8">
                  <c:v>31</c:v>
                </c:pt>
                <c:pt idx="9">
                  <c:v>31</c:v>
                </c:pt>
                <c:pt idx="10">
                  <c:v>23</c:v>
                </c:pt>
                <c:pt idx="11">
                  <c:v>12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B-44CD-8827-68350FBEE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9690895"/>
        <c:axId val="1569691375"/>
      </c:barChart>
      <c:catAx>
        <c:axId val="156969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691375"/>
        <c:crosses val="autoZero"/>
        <c:auto val="1"/>
        <c:lblAlgn val="ctr"/>
        <c:lblOffset val="100"/>
        <c:noMultiLvlLbl val="0"/>
      </c:catAx>
      <c:valAx>
        <c:axId val="156969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690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11</xdr:col>
      <xdr:colOff>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A5B298-9EEB-32DE-62F3-95F1DB31A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18</xdr:col>
      <xdr:colOff>0</xdr:colOff>
      <xdr:row>61</xdr:row>
      <xdr:rowOff>0</xdr:rowOff>
    </xdr:to>
    <xdr:graphicFrame macro="">
      <xdr:nvGraphicFramePr>
        <xdr:cNvPr id="3" name="Workstream Cases">
          <a:extLst>
            <a:ext uri="{FF2B5EF4-FFF2-40B4-BE49-F238E27FC236}">
              <a16:creationId xmlns:a16="http://schemas.microsoft.com/office/drawing/2014/main" id="{ABF501F0-ECDF-8F57-3076-D223A96D2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22947C-62E6-4D87-9890-D4E314B07FCA}" name="Cases" displayName="Cases" ref="A1:CE719" totalsRowShown="0" headerRowDxfId="78" dataDxfId="77">
  <autoFilter ref="A1:CE719" xr:uid="{00000000-0009-0000-0000-000000000000}"/>
  <sortState xmlns:xlrd2="http://schemas.microsoft.com/office/spreadsheetml/2017/richdata2" ref="A3:CE714">
    <sortCondition ref="L1:L719"/>
  </sortState>
  <tableColumns count="83">
    <tableColumn id="1" xr3:uid="{E8E6B127-166B-4F05-B54F-CF09D0DF5C15}" name="Case No." dataDxfId="76"/>
    <tableColumn id="2" xr3:uid="{4E90854D-E488-4B86-BF69-E5F96CF197A3}" name="Description" dataDxfId="75"/>
    <tableColumn id="3" xr3:uid="{A2EAEE58-5852-4616-83F7-D8C532A22C70}" name="Component ID" dataDxfId="74"/>
    <tableColumn id="4" xr3:uid="{F7008B37-D181-4816-8491-5B6496BC0DB7}" name="Confirmation Type" dataDxfId="73"/>
    <tableColumn id="5" xr3:uid="{EB7272A5-9553-4BA8-BC98-64A4326F0A91}" name="Days at SAP" dataDxfId="72"/>
    <tableColumn id="6" xr3:uid="{6C3F5F89-D240-4552-9A74-B944D39B3DD7}" name="Days at Customer" dataDxfId="71"/>
    <tableColumn id="7" xr3:uid="{2BCF03BD-5B12-46A4-BE8A-C6032FE4456E}" name="Error Category" dataDxfId="70"/>
    <tableColumn id="8" xr3:uid="{57C09681-68BB-4560-AA5C-A477F72EFA7C}" name="Error Subcategory" dataDxfId="69"/>
    <tableColumn id="9" xr3:uid="{2F7D0387-4E4E-47F3-8619-4258EA7889E0}" name="Account ID" dataDxfId="68"/>
    <tableColumn id="10" xr3:uid="{96A81053-90B6-4805-BC87-24A32B88AD45}" name="Age" dataDxfId="67"/>
    <tableColumn id="11" xr3:uid="{F1150357-D41B-4549-BC8A-40380B6037BE}" name="Case ID" dataDxfId="66"/>
    <tableColumn id="12" xr3:uid="{38087A73-39A9-4589-AC28-359E81A5EB29}" name="Change Date" dataDxfId="65"/>
    <tableColumn id="13" xr3:uid="{24D398F4-8F34-4EFA-AB31-5CF7B4A5A54B}" name="Closing Date" dataDxfId="64"/>
    <tableColumn id="14" xr3:uid="{C7C5C408-293B-4C44-9F8D-0730F092F56C}" name="Closing Month" dataDxfId="63"/>
    <tableColumn id="15" xr3:uid="{DE975D90-A620-43CB-B811-CC63A1EA1DE8}" name="Closing Quarter" dataDxfId="62"/>
    <tableColumn id="16" xr3:uid="{D17F3896-11BA-4041-A66B-72E3AC6CE25A}" name="Closing Week" dataDxfId="61"/>
    <tableColumn id="17" xr3:uid="{B069DC5A-4C06-4753-A47E-BE394816CCE5}" name="Closing Year" dataDxfId="60"/>
    <tableColumn id="18" xr3:uid="{E273BB42-A2F9-452D-9123-5C7E48591222}" name="Component" dataDxfId="59"/>
    <tableColumn id="19" xr3:uid="{D487FE16-2CD0-4A2D-92AD-A10714A3D60C}" name="Creation Date" dataDxfId="58"/>
    <tableColumn id="20" xr3:uid="{7943CC17-7CB4-4E03-8164-1B4A7D549BBD}" name="Creation Month" dataDxfId="57"/>
    <tableColumn id="21" xr3:uid="{B0E86694-D0BA-4434-B927-0DDA49ABE486}" name="Creation Quarter" dataDxfId="56"/>
    <tableColumn id="22" xr3:uid="{0BCD3314-7BFE-4968-B2DD-4D4499CB0623}" name="Creation Week" dataDxfId="55"/>
    <tableColumn id="23" xr3:uid="{5CD722CB-3FEB-4541-83FE-04070A8E7D81}" name="Creation Year" dataDxfId="54"/>
    <tableColumn id="24" xr3:uid="{7842F431-F930-45C8-BF50-66C397915CA4}" name="Customer Name" dataDxfId="53"/>
    <tableColumn id="25" xr3:uid="{944238A5-FC49-4AD6-81E9-943B15FAC4B2}" name="Customer No." dataDxfId="52"/>
    <tableColumn id="26" xr3:uid="{AC0B4ACE-F5D2-40F1-9F27-389BFF01F654}" name="Days in Total" dataDxfId="51"/>
    <tableColumn id="27" xr3:uid="{C4EC8CE8-136C-4D53-BB73-68C198930DCE}" name="Deployment Type" dataDxfId="50"/>
    <tableColumn id="28" xr3:uid="{730F663F-DB9E-416F-B71C-10388A929277}" name="Initial Component" dataDxfId="49"/>
    <tableColumn id="29" xr3:uid="{2571C30D-FC75-4C4E-BCD6-EE02AD617E76}" name="Initial Component ID" dataDxfId="48"/>
    <tableColumn id="83" xr3:uid="{B7B9A246-B78B-42F8-A07D-125E842F9400}" name="Workstream" dataDxfId="0">
      <calculatedColumnFormula array="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calculatedColumnFormula>
    </tableColumn>
    <tableColumn id="30" xr3:uid="{936437F2-FA33-4087-9817-2AB09F6080EF}" name="Initial Priority" dataDxfId="47"/>
    <tableColumn id="31" xr3:uid="{882B3B99-4989-42AB-AB15-5CDE325281B0}" name="Input Channel" dataDxfId="46"/>
    <tableColumn id="32" xr3:uid="{CC151040-355A-4123-BE1B-6E6749CC9780}" name="Installation Name" dataDxfId="45"/>
    <tableColumn id="33" xr3:uid="{7083255A-756E-45A7-8992-935BB984A456}" name="Installation No." dataDxfId="44"/>
    <tableColumn id="34" xr3:uid="{1332220F-CA8B-4A6C-B39D-F00C3B7494BE}" name="Is Open"/>
    <tableColumn id="35" xr3:uid="{C521F978-1E72-4F21-855F-A34E57F2F845}" name="Is Reopened" dataDxfId="43"/>
    <tableColumn id="36" xr3:uid="{80D07D31-AF96-405B-B59B-4D15F63A3E7E}" name="Link to Case" dataDxfId="42"/>
    <tableColumn id="37" xr3:uid="{2E74BE33-0816-4BB0-9899-3A7D95D3B841}" name="Months Since Confirmation"/>
    <tableColumn id="38" xr3:uid="{E54970AD-D131-44B5-89BF-EBD3B10EF5F9}" name="Months Since Creation"/>
    <tableColumn id="39" xr3:uid="{69DC56AD-8D9F-4DAD-9187-D8CAC6C33803}" name="No. of Cases" dataDxfId="41"/>
    <tableColumn id="40" xr3:uid="{060972DE-6E99-40F0-9F54-08A3CE1117C2}" name="No. of Cases (Last 6 Months)" dataDxfId="40"/>
    <tableColumn id="41" xr3:uid="{CC898907-D350-4878-8339-3C924E06F3FF}" name="No. of Closed Cases" dataDxfId="39"/>
    <tableColumn id="42" xr3:uid="{EE080FC5-06A4-4053-A5A7-FD5D0F109E1F}" name="No. of Closed Cases (Last 6 Months)" dataDxfId="38"/>
    <tableColumn id="43" xr3:uid="{C4EFB0D1-189F-41E9-91D5-6ED56CEE9A3F}" name="No. of Closed High" dataDxfId="37"/>
    <tableColumn id="44" xr3:uid="{B44E64A6-1F7A-41A9-AA5B-48EA6ACBE26F}" name="No. of Closed Low" dataDxfId="36"/>
    <tableColumn id="45" xr3:uid="{FE56D01E-5CF7-416E-BE41-D048B8322112}" name="No. of Closed Medium" dataDxfId="35"/>
    <tableColumn id="46" xr3:uid="{8EFA4C71-BE46-4A0E-B16F-1E15D0D6D23E}" name="No. of Closed Very High" dataDxfId="34"/>
    <tableColumn id="47" xr3:uid="{AD421ADB-F47C-47AF-82BC-E9D10B1F50D8}" name="No. of Confirmed Automatically" dataDxfId="33"/>
    <tableColumn id="48" xr3:uid="{47C175C3-F4B7-4514-86D8-55F5EFA65945}" name="No. of Confirmed Manually" dataDxfId="32"/>
    <tableColumn id="49" xr3:uid="{9E0FB8D7-C52B-4073-971C-4BEEB4713106}" name="No. of High" dataDxfId="31"/>
    <tableColumn id="50" xr3:uid="{FF998B41-501C-4E05-A806-F9798B0E4D46}" name="No. of Low" dataDxfId="30"/>
    <tableColumn id="51" xr3:uid="{5079A994-0E67-4B42-903B-488B340ACC1D}" name="No. of Medium" dataDxfId="29"/>
    <tableColumn id="52" xr3:uid="{FA0DB9AD-6898-45E0-B570-F83B96DB21B4}" name="No. of Non-Productive" dataDxfId="28"/>
    <tableColumn id="53" xr3:uid="{421DDBF1-7111-4D87-AFC6-1B090CA58259}" name="No. of Open Cases" dataDxfId="27"/>
    <tableColumn id="54" xr3:uid="{C2510B82-6675-4759-9398-A50F2E47D8EB}" name="No. of Productive" dataDxfId="26"/>
    <tableColumn id="55" xr3:uid="{778543F3-B3C2-479E-AEAE-9D76ECAC2B9F}" name="No. of Reopenings" dataDxfId="25"/>
    <tableColumn id="56" xr3:uid="{4E0CA913-6F59-4842-8080-357C1988B896}" name="No. of Very High" dataDxfId="24"/>
    <tableColumn id="57" xr3:uid="{2F585FA0-C330-44C4-B7F8-3C06B3AE9964}" name="Partner"/>
    <tableColumn id="58" xr3:uid="{8E6CA25D-9B4A-4BA7-8A7E-AB564D74A013}" name="Priority" dataDxfId="23"/>
    <tableColumn id="59" xr3:uid="{0E06C02A-BA7F-4387-8C21-38BA1A7ABE2B}" name="Priority Level" dataDxfId="22"/>
    <tableColumn id="60" xr3:uid="{100D1829-2F28-4BBE-86D7-60DBC4293C46}" name="Processed by Partner"/>
    <tableColumn id="61" xr3:uid="{2DFA9061-2183-4741-8957-239BC80070CE}" name="Reporter Type" dataDxfId="21"/>
    <tableColumn id="62" xr3:uid="{D03C7046-EE87-4F05-ADC0-A0393EFECE34}" name="Required Action By"/>
    <tableColumn id="63" xr3:uid="{712E72AB-E604-44FC-A6AA-722AE8F8EABD}" name="Software Product" dataDxfId="20"/>
    <tableColumn id="64" xr3:uid="{E99B3E2F-4C1C-4CD0-8723-E8C7A02AC81A}" name="Software Product ID" dataDxfId="19"/>
    <tableColumn id="65" xr3:uid="{996C21B1-0FC8-4926-96B0-A69A6AA91523}" name="Solution Area" dataDxfId="18"/>
    <tableColumn id="66" xr3:uid="{7B32A664-829D-4720-BCCD-AF393974FD54}" name="Solution Area ID" dataDxfId="17"/>
    <tableColumn id="67" xr3:uid="{5BFDB50E-BB6F-4D40-B9D8-01404A7D7F14}" name="Status" dataDxfId="16"/>
    <tableColumn id="68" xr3:uid="{F2D98210-965D-4086-BAB8-8D9E620AAA22}" name="Sub-Solution Area" dataDxfId="15"/>
    <tableColumn id="69" xr3:uid="{F12F44E7-3284-4ADD-9B23-31506AC7A19C}" name="Sub-Solution Area ID" dataDxfId="14"/>
    <tableColumn id="70" xr3:uid="{66EE449A-1B54-411A-9C63-99F89B724B05}" name="Support Contract Code" dataDxfId="13"/>
    <tableColumn id="71" xr3:uid="{65FD9AA8-E9BC-4B0D-BA55-5C9CA5B727C5}" name="System ID" dataDxfId="12"/>
    <tableColumn id="72" xr3:uid="{CA059CF0-43A3-4E6C-9851-7F8D9780E52B}" name="System No." dataDxfId="11"/>
    <tableColumn id="73" xr3:uid="{C5BB0031-C2E1-4931-912C-5B358693CC8F}" name="System Role" dataDxfId="10"/>
    <tableColumn id="74" xr3:uid="{9D593C55-8EAF-43A1-B78D-782A3BA4776C}" name="System Role ID" dataDxfId="9"/>
    <tableColumn id="75" xr3:uid="{29AB081B-DD03-4BB1-B038-2D3D62C28D22}" name="Top Priority" dataDxfId="8"/>
    <tableColumn id="76" xr3:uid="{B8C54FA7-B67E-4C39-94BA-950C21008201}" name="Flag_HowToOrConsulting" dataDxfId="7">
      <calculatedColumnFormula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calculatedColumnFormula>
    </tableColumn>
    <tableColumn id="77" xr3:uid="{56E78F46-E822-4535-9640-08D4FB737EB1}" name="Flag_PriorityInflation" dataDxfId="6">
      <calculatedColumnFormula>IF(AND(Cases[[#This Row],[Priority Level]]&gt;=3,Cases[[#This Row],[System Role]]&lt;&gt;"Productive"),1,0)</calculatedColumnFormula>
    </tableColumn>
    <tableColumn id="78" xr3:uid="{C43383EB-5395-4E10-A60E-CA2B1621CDB1}" name="Flag_CustomerDelay" dataDxfId="5">
      <calculatedColumnFormula>IFERROR(IF(Cases[[#This Row],[Days at Customer]]&gt;MAX(1,Cases[[#This Row],[Days at SAP]]*2),1,0),0)</calculatedColumnFormula>
    </tableColumn>
    <tableColumn id="79" xr3:uid="{C3B9982C-1150-4076-973F-E7D9A7726B3F}" name="Flag_ComponentMismatch" dataDxfId="4">
      <calculatedColumnFormula>IF(AND(Cases[[#This Row],[Initial Component]]&lt;&gt;"",Cases[[#This Row],[Component]]&lt;&gt;"",Cases[[#This Row],[Initial Component]]&lt;&gt;Cases[[#This Row],[Component]]),1,0)</calculatedColumnFormula>
    </tableColumn>
    <tableColumn id="80" xr3:uid="{469C138C-2383-4A92-ACA2-FC2ACB348929}" name="Flag_Reopened" dataDxfId="3">
      <calculatedColumnFormula>IF(OR(Cases[[#This Row],[Is Reopened]]="X",Cases[[#This Row],[No. of Reopenings]]&gt;0),1,0)</calculatedColumnFormula>
    </tableColumn>
    <tableColumn id="81" xr3:uid="{A5CA7441-15E1-4F94-8450-6C875B3FB794}" name="Flag_AutoConfirmed" dataDxfId="2">
      <calculatedColumnFormula>IF(Cases[[#This Row],[Confirmation Type]]="Automatic",1,0)</calculatedColumnFormula>
    </tableColumn>
    <tableColumn id="82" xr3:uid="{8FB47345-C669-4FF8-837B-B004B6CE02ED}" name="Flag_TotalCoaching" dataDxfId="1">
      <calculatedColumnFormula>Cases[[#This Row],[Flag_HowToOrConsulting]]+Cases[[#This Row],[Flag_PriorityInflation]]+Cases[[#This Row],[Flag_CustomerDelay]]+Cases[[#This Row],[Flag_ComponentMismatch]]+Cases[[#This Row],[Flag_Reopened]]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E719"/>
  <sheetViews>
    <sheetView topLeftCell="X1" workbookViewId="0">
      <pane ySplit="1" topLeftCell="A2" activePane="bottomLeft" state="frozen"/>
      <selection pane="bottomLeft" activeCell="C6" sqref="C6"/>
    </sheetView>
  </sheetViews>
  <sheetFormatPr defaultRowHeight="14.25" x14ac:dyDescent="0.2"/>
  <cols>
    <col min="1" max="1" width="11.25" bestFit="1" customWidth="1"/>
    <col min="2" max="2" width="20.75" bestFit="1" customWidth="1"/>
    <col min="3" max="3" width="15.75" bestFit="1" customWidth="1"/>
    <col min="4" max="4" width="20.25" bestFit="1" customWidth="1"/>
    <col min="5" max="5" width="14.25" bestFit="1" customWidth="1"/>
    <col min="6" max="6" width="19.25" bestFit="1" customWidth="1"/>
    <col min="7" max="7" width="18.75" bestFit="1" customWidth="1"/>
    <col min="8" max="8" width="20.25" bestFit="1" customWidth="1"/>
    <col min="9" max="9" width="13.25" bestFit="1" customWidth="1"/>
    <col min="10" max="10" width="6.75" bestFit="1" customWidth="1"/>
    <col min="11" max="11" width="13.75" bestFit="1" customWidth="1"/>
    <col min="12" max="12" width="14.25" bestFit="1" customWidth="1"/>
    <col min="13" max="13" width="15.25" bestFit="1" customWidth="1"/>
    <col min="14" max="14" width="16.25" bestFit="1" customWidth="1"/>
    <col min="15" max="15" width="18.25" bestFit="1" customWidth="1"/>
    <col min="16" max="17" width="15.25" bestFit="1" customWidth="1"/>
    <col min="18" max="18" width="20.75" bestFit="1" customWidth="1"/>
    <col min="19" max="19" width="16.25" bestFit="1" customWidth="1"/>
    <col min="20" max="20" width="17.25" bestFit="1" customWidth="1"/>
    <col min="21" max="21" width="19.25" bestFit="1" customWidth="1"/>
    <col min="22" max="23" width="16.25" bestFit="1" customWidth="1"/>
    <col min="24" max="24" width="20.75" bestFit="1" customWidth="1"/>
    <col min="25" max="25" width="15.25" bestFit="1" customWidth="1"/>
    <col min="26" max="26" width="16.25" bestFit="1" customWidth="1"/>
    <col min="27" max="27" width="18.25" bestFit="1" customWidth="1"/>
    <col min="28" max="28" width="32.75" customWidth="1"/>
    <col min="29" max="29" width="23.25" bestFit="1" customWidth="1"/>
    <col min="30" max="30" width="19.25" bestFit="1" customWidth="1"/>
    <col min="31" max="31" width="16.25" bestFit="1" customWidth="1"/>
    <col min="32" max="32" width="20.75" bestFit="1" customWidth="1"/>
    <col min="33" max="33" width="19.25" bestFit="1" customWidth="1"/>
    <col min="34" max="34" width="10.25" bestFit="1" customWidth="1"/>
    <col min="35" max="35" width="14.25" bestFit="1" customWidth="1"/>
    <col min="36" max="36" width="17.75" bestFit="1" customWidth="1"/>
    <col min="37" max="37" width="28.25" bestFit="1" customWidth="1"/>
    <col min="38" max="38" width="24.25" bestFit="1" customWidth="1"/>
    <col min="39" max="39" width="15.25" bestFit="1" customWidth="1"/>
    <col min="40" max="40" width="31.25" bestFit="1" customWidth="1"/>
    <col min="41" max="41" width="22.25" bestFit="1" customWidth="1"/>
    <col min="42" max="42" width="38.25" bestFit="1" customWidth="1"/>
    <col min="43" max="43" width="21.25" bestFit="1" customWidth="1"/>
    <col min="44" max="44" width="20.25" bestFit="1" customWidth="1"/>
    <col min="45" max="45" width="23.25" bestFit="1" customWidth="1"/>
    <col min="46" max="46" width="26.25" bestFit="1" customWidth="1"/>
    <col min="47" max="47" width="33.25" bestFit="1" customWidth="1"/>
    <col min="48" max="48" width="28.25" bestFit="1" customWidth="1"/>
    <col min="49" max="49" width="14.25" bestFit="1" customWidth="1"/>
    <col min="50" max="50" width="13.25" bestFit="1" customWidth="1"/>
    <col min="51" max="51" width="16.25" bestFit="1" customWidth="1"/>
    <col min="52" max="52" width="24.25" bestFit="1" customWidth="1"/>
    <col min="53" max="55" width="20.25" bestFit="1" customWidth="1"/>
    <col min="56" max="56" width="19.25" bestFit="1" customWidth="1"/>
    <col min="57" max="57" width="20.75" bestFit="1" customWidth="1"/>
    <col min="58" max="58" width="11.25" bestFit="1" customWidth="1"/>
    <col min="59" max="59" width="17.25" bestFit="1" customWidth="1"/>
    <col min="60" max="60" width="23.25" bestFit="1" customWidth="1"/>
    <col min="61" max="61" width="16.25" bestFit="1" customWidth="1"/>
    <col min="62" max="62" width="21.25" bestFit="1" customWidth="1"/>
    <col min="63" max="63" width="20.75" bestFit="1" customWidth="1"/>
    <col min="64" max="64" width="22.25" bestFit="1" customWidth="1"/>
    <col min="65" max="65" width="20.75" bestFit="1" customWidth="1"/>
    <col min="66" max="66" width="19.25" bestFit="1" customWidth="1"/>
    <col min="67" max="67" width="13.75" bestFit="1" customWidth="1"/>
    <col min="68" max="68" width="20.75" bestFit="1" customWidth="1"/>
    <col min="69" max="69" width="23.25" bestFit="1" customWidth="1"/>
    <col min="70" max="70" width="24.25" bestFit="1" customWidth="1"/>
    <col min="71" max="71" width="12.25" bestFit="1" customWidth="1"/>
    <col min="72" max="72" width="13.25" bestFit="1" customWidth="1"/>
    <col min="73" max="73" width="14.25" bestFit="1" customWidth="1"/>
    <col min="74" max="74" width="17.25" bestFit="1" customWidth="1"/>
    <col min="75" max="75" width="15.25" bestFit="1" customWidth="1"/>
  </cols>
  <sheetData>
    <row r="1" spans="1:83" s="8" customFormat="1" ht="1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4015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  <c r="BD1" s="8" t="s">
        <v>54</v>
      </c>
      <c r="BE1" s="8" t="s">
        <v>55</v>
      </c>
      <c r="BF1" s="8" t="s">
        <v>56</v>
      </c>
      <c r="BG1" s="8" t="s">
        <v>57</v>
      </c>
      <c r="BH1" s="8" t="s">
        <v>58</v>
      </c>
      <c r="BI1" s="8" t="s">
        <v>59</v>
      </c>
      <c r="BJ1" s="8" t="s">
        <v>60</v>
      </c>
      <c r="BK1" s="8" t="s">
        <v>61</v>
      </c>
      <c r="BL1" s="8" t="s">
        <v>62</v>
      </c>
      <c r="BM1" s="8" t="s">
        <v>63</v>
      </c>
      <c r="BN1" s="8" t="s">
        <v>64</v>
      </c>
      <c r="BO1" s="8" t="s">
        <v>65</v>
      </c>
      <c r="BP1" s="8" t="s">
        <v>66</v>
      </c>
      <c r="BQ1" s="8" t="s">
        <v>67</v>
      </c>
      <c r="BR1" s="8" t="s">
        <v>68</v>
      </c>
      <c r="BS1" s="8" t="s">
        <v>69</v>
      </c>
      <c r="BT1" s="8" t="s">
        <v>70</v>
      </c>
      <c r="BU1" s="8" t="s">
        <v>71</v>
      </c>
      <c r="BV1" s="8" t="s">
        <v>72</v>
      </c>
      <c r="BW1" s="8" t="s">
        <v>73</v>
      </c>
      <c r="BX1" s="8" t="s">
        <v>74</v>
      </c>
      <c r="BY1" s="8" t="s">
        <v>3972</v>
      </c>
      <c r="BZ1" s="8" t="s">
        <v>3973</v>
      </c>
      <c r="CA1" s="8" t="s">
        <v>3974</v>
      </c>
      <c r="CB1" s="8" t="s">
        <v>3975</v>
      </c>
      <c r="CC1" s="8" t="s">
        <v>3976</v>
      </c>
      <c r="CD1" s="8" t="s">
        <v>3977</v>
      </c>
      <c r="CE1" s="8" t="s">
        <v>3978</v>
      </c>
    </row>
    <row r="2" spans="1:83" x14ac:dyDescent="0.2">
      <c r="A2" s="1" t="s">
        <v>75</v>
      </c>
      <c r="B2" s="2" t="s">
        <v>76</v>
      </c>
      <c r="C2" s="2" t="s">
        <v>77</v>
      </c>
      <c r="D2" s="2" t="s">
        <v>78</v>
      </c>
      <c r="E2" s="3">
        <v>1.03</v>
      </c>
      <c r="F2" s="3">
        <v>0.22</v>
      </c>
      <c r="G2" s="2" t="s">
        <v>79</v>
      </c>
      <c r="H2" s="2" t="s">
        <v>80</v>
      </c>
      <c r="I2" s="3" t="s">
        <v>81</v>
      </c>
      <c r="J2" s="3">
        <v>7</v>
      </c>
      <c r="K2" s="2" t="s">
        <v>82</v>
      </c>
      <c r="L2" s="4">
        <v>46124</v>
      </c>
      <c r="M2" s="4">
        <v>46121</v>
      </c>
      <c r="N2" s="2" t="s">
        <v>83</v>
      </c>
      <c r="O2" s="2" t="s">
        <v>84</v>
      </c>
      <c r="P2" s="2" t="s">
        <v>85</v>
      </c>
      <c r="Q2" s="2" t="s">
        <v>86</v>
      </c>
      <c r="R2" s="2" t="s">
        <v>87</v>
      </c>
      <c r="S2" s="4">
        <v>46120</v>
      </c>
      <c r="T2" s="2" t="s">
        <v>83</v>
      </c>
      <c r="U2" s="2" t="s">
        <v>84</v>
      </c>
      <c r="V2" s="2" t="s">
        <v>85</v>
      </c>
      <c r="W2" s="2" t="s">
        <v>86</v>
      </c>
      <c r="X2" s="2" t="s">
        <v>88</v>
      </c>
      <c r="Y2" s="3" t="s">
        <v>89</v>
      </c>
      <c r="Z2" s="3">
        <v>1.25</v>
      </c>
      <c r="AA2" s="2" t="s">
        <v>90</v>
      </c>
      <c r="AB2" s="2" t="s">
        <v>87</v>
      </c>
      <c r="AC2" s="2" t="s">
        <v>77</v>
      </c>
      <c r="AD2" t="str" cm="1">
        <f t="array" ref="AD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2" s="2" t="s">
        <v>91</v>
      </c>
      <c r="AF2" s="2" t="s">
        <v>92</v>
      </c>
      <c r="AG2" s="2" t="s">
        <v>93</v>
      </c>
      <c r="AH2" s="2" t="s">
        <v>94</v>
      </c>
      <c r="AK2" s="2" t="s">
        <v>95</v>
      </c>
      <c r="AN2" s="3">
        <v>1</v>
      </c>
      <c r="AO2" s="3">
        <v>1</v>
      </c>
      <c r="AP2" s="3">
        <v>1</v>
      </c>
      <c r="AQ2" s="3">
        <v>1</v>
      </c>
      <c r="AR2" s="3">
        <v>1</v>
      </c>
      <c r="AS2" s="3">
        <v>0</v>
      </c>
      <c r="AT2" s="3">
        <v>0</v>
      </c>
      <c r="AU2" s="3">
        <v>0</v>
      </c>
      <c r="AV2" s="3">
        <v>0</v>
      </c>
      <c r="AW2" s="3">
        <v>1</v>
      </c>
      <c r="AX2" s="3">
        <v>1</v>
      </c>
      <c r="AY2" s="3">
        <v>0</v>
      </c>
      <c r="AZ2" s="3">
        <v>0</v>
      </c>
      <c r="BA2" s="3">
        <v>1</v>
      </c>
      <c r="BB2" s="3">
        <v>0</v>
      </c>
      <c r="BC2" s="3">
        <v>0</v>
      </c>
      <c r="BD2" s="3">
        <v>0</v>
      </c>
      <c r="BE2" s="3">
        <v>0</v>
      </c>
      <c r="BG2" s="2" t="s">
        <v>91</v>
      </c>
      <c r="BH2" s="3">
        <v>3</v>
      </c>
      <c r="BJ2" s="2" t="s">
        <v>96</v>
      </c>
      <c r="BL2" s="2" t="s">
        <v>97</v>
      </c>
      <c r="BM2" s="2" t="s">
        <v>98</v>
      </c>
      <c r="BN2" s="2" t="s">
        <v>99</v>
      </c>
      <c r="BO2" s="2" t="s">
        <v>100</v>
      </c>
      <c r="BP2" s="2" t="s">
        <v>101</v>
      </c>
      <c r="BQ2" s="2" t="s">
        <v>102</v>
      </c>
      <c r="BR2" s="2" t="s">
        <v>103</v>
      </c>
      <c r="BS2" s="2" t="s">
        <v>104</v>
      </c>
      <c r="BT2" s="2" t="s">
        <v>105</v>
      </c>
      <c r="BU2" s="2" t="s">
        <v>106</v>
      </c>
      <c r="BV2" s="2" t="s">
        <v>107</v>
      </c>
      <c r="BW2" s="2" t="s">
        <v>108</v>
      </c>
      <c r="BX2" s="2" t="s">
        <v>91</v>
      </c>
      <c r="BY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" s="2">
        <f>IF(AND(Cases[[#This Row],[Priority Level]]&gt;=3,Cases[[#This Row],[System Role]]&lt;&gt;"Productive"),1,0)</f>
        <v>1</v>
      </c>
      <c r="CA2" s="2">
        <f>IFERROR(IF(Cases[[#This Row],[Days at Customer]]&gt;MAX(1,Cases[[#This Row],[Days at SAP]]*2),1,0),0)</f>
        <v>0</v>
      </c>
      <c r="CB2" s="2">
        <f>IF(AND(Cases[[#This Row],[Initial Component]]&lt;&gt;"",Cases[[#This Row],[Component]]&lt;&gt;"",Cases[[#This Row],[Initial Component]]&lt;&gt;Cases[[#This Row],[Component]]),1,0)</f>
        <v>0</v>
      </c>
      <c r="CC2" s="2">
        <f>IF(OR(Cases[[#This Row],[Is Reopened]]="X",Cases[[#This Row],[No. of Reopenings]]&gt;0),1,0)</f>
        <v>0</v>
      </c>
      <c r="CD2" s="2">
        <f>IF(Cases[[#This Row],[Confirmation Type]]="Automatic",1,0)</f>
        <v>0</v>
      </c>
      <c r="CE2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" spans="1:83" x14ac:dyDescent="0.2">
      <c r="A3" s="1" t="s">
        <v>2102</v>
      </c>
      <c r="B3" s="2" t="s">
        <v>2099</v>
      </c>
      <c r="C3" s="2" t="s">
        <v>203</v>
      </c>
      <c r="D3" s="2" t="s">
        <v>78</v>
      </c>
      <c r="E3" s="3">
        <v>0</v>
      </c>
      <c r="F3" s="3">
        <v>0</v>
      </c>
      <c r="G3" s="2" t="s">
        <v>112</v>
      </c>
      <c r="H3" s="2" t="s">
        <v>113</v>
      </c>
      <c r="I3" s="3" t="s">
        <v>114</v>
      </c>
      <c r="J3" s="3">
        <v>126</v>
      </c>
      <c r="K3" s="2" t="s">
        <v>2103</v>
      </c>
      <c r="L3" s="4">
        <v>46009</v>
      </c>
      <c r="M3" s="4">
        <v>46001</v>
      </c>
      <c r="N3" s="2" t="s">
        <v>1804</v>
      </c>
      <c r="O3" s="2" t="s">
        <v>1805</v>
      </c>
      <c r="P3" s="2" t="s">
        <v>2037</v>
      </c>
      <c r="Q3" s="2" t="s">
        <v>1806</v>
      </c>
      <c r="R3" s="2" t="s">
        <v>205</v>
      </c>
      <c r="S3" s="4">
        <v>46001</v>
      </c>
      <c r="T3" s="2" t="s">
        <v>1804</v>
      </c>
      <c r="U3" s="2" t="s">
        <v>1805</v>
      </c>
      <c r="V3" s="2" t="s">
        <v>2037</v>
      </c>
      <c r="W3" s="2" t="s">
        <v>1806</v>
      </c>
      <c r="X3" s="2" t="s">
        <v>117</v>
      </c>
      <c r="Y3" s="3" t="s">
        <v>118</v>
      </c>
      <c r="Z3" s="3">
        <v>0</v>
      </c>
      <c r="AA3" s="2" t="s">
        <v>90</v>
      </c>
      <c r="AB3" s="2" t="s">
        <v>205</v>
      </c>
      <c r="AC3" s="2" t="s">
        <v>203</v>
      </c>
      <c r="AD3" t="str" cm="1">
        <f t="array" ref="AD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3" s="2" t="s">
        <v>91</v>
      </c>
      <c r="AF3" s="2" t="s">
        <v>92</v>
      </c>
      <c r="AG3" s="2" t="s">
        <v>119</v>
      </c>
      <c r="AH3" s="2" t="s">
        <v>120</v>
      </c>
      <c r="AK3" s="2" t="s">
        <v>2104</v>
      </c>
      <c r="AN3" s="3">
        <v>1</v>
      </c>
      <c r="AO3" s="3">
        <v>1</v>
      </c>
      <c r="AP3" s="3">
        <v>1</v>
      </c>
      <c r="AQ3" s="3">
        <v>1</v>
      </c>
      <c r="AR3" s="3">
        <v>1</v>
      </c>
      <c r="AS3" s="3">
        <v>0</v>
      </c>
      <c r="AT3" s="3">
        <v>0</v>
      </c>
      <c r="AU3" s="3">
        <v>0</v>
      </c>
      <c r="AV3" s="3">
        <v>0</v>
      </c>
      <c r="AW3" s="3">
        <v>1</v>
      </c>
      <c r="AX3" s="3">
        <v>1</v>
      </c>
      <c r="AY3" s="3">
        <v>0</v>
      </c>
      <c r="AZ3" s="3">
        <v>0</v>
      </c>
      <c r="BA3" s="3">
        <v>0</v>
      </c>
      <c r="BB3" s="3">
        <v>0</v>
      </c>
      <c r="BC3" s="3">
        <v>1</v>
      </c>
      <c r="BD3" s="3">
        <v>0</v>
      </c>
      <c r="BE3" s="3">
        <v>0</v>
      </c>
      <c r="BG3" s="2" t="s">
        <v>91</v>
      </c>
      <c r="BH3" s="3">
        <v>3</v>
      </c>
      <c r="BI3" s="2" t="s">
        <v>122</v>
      </c>
      <c r="BJ3" s="2" t="s">
        <v>96</v>
      </c>
      <c r="BL3" s="2" t="s">
        <v>123</v>
      </c>
      <c r="BM3" s="2" t="s">
        <v>123</v>
      </c>
      <c r="BN3" s="2" t="s">
        <v>124</v>
      </c>
      <c r="BO3" s="2" t="s">
        <v>125</v>
      </c>
      <c r="BP3" s="2" t="s">
        <v>101</v>
      </c>
      <c r="BQ3" s="2" t="s">
        <v>124</v>
      </c>
      <c r="BR3" s="2" t="s">
        <v>126</v>
      </c>
      <c r="BS3" s="2" t="s">
        <v>127</v>
      </c>
      <c r="BT3" s="2" t="s">
        <v>207</v>
      </c>
      <c r="BU3" s="2" t="s">
        <v>208</v>
      </c>
      <c r="BV3" s="2" t="s">
        <v>150</v>
      </c>
      <c r="BW3" s="2" t="s">
        <v>151</v>
      </c>
      <c r="BX3" s="2" t="s">
        <v>91</v>
      </c>
      <c r="BY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" s="2">
        <f>IF(AND(Cases[[#This Row],[Priority Level]]&gt;=3,Cases[[#This Row],[System Role]]&lt;&gt;"Productive"),1,0)</f>
        <v>0</v>
      </c>
      <c r="CA3" s="2">
        <f>IFERROR(IF(Cases[[#This Row],[Days at Customer]]&gt;MAX(1,Cases[[#This Row],[Days at SAP]]*2),1,0),0)</f>
        <v>0</v>
      </c>
      <c r="CB3" s="2">
        <f>IF(AND(Cases[[#This Row],[Initial Component]]&lt;&gt;"",Cases[[#This Row],[Component]]&lt;&gt;"",Cases[[#This Row],[Initial Component]]&lt;&gt;Cases[[#This Row],[Component]]),1,0)</f>
        <v>0</v>
      </c>
      <c r="CC3" s="2">
        <f>IF(OR(Cases[[#This Row],[Is Reopened]]="X",Cases[[#This Row],[No. of Reopenings]]&gt;0),1,0)</f>
        <v>0</v>
      </c>
      <c r="CD3" s="2">
        <f>IF(Cases[[#This Row],[Confirmation Type]]="Automatic",1,0)</f>
        <v>0</v>
      </c>
      <c r="CE3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4" spans="1:83" x14ac:dyDescent="0.2">
      <c r="A4" s="1" t="s">
        <v>130</v>
      </c>
      <c r="B4" s="2" t="s">
        <v>131</v>
      </c>
      <c r="C4" s="2" t="s">
        <v>132</v>
      </c>
      <c r="D4" s="2" t="s">
        <v>78</v>
      </c>
      <c r="E4" s="3">
        <v>0</v>
      </c>
      <c r="F4" s="3">
        <v>0</v>
      </c>
      <c r="G4" s="2" t="s">
        <v>133</v>
      </c>
      <c r="H4" s="2" t="s">
        <v>134</v>
      </c>
      <c r="I4" s="3" t="s">
        <v>114</v>
      </c>
      <c r="J4" s="3">
        <v>13</v>
      </c>
      <c r="K4" s="2" t="s">
        <v>135</v>
      </c>
      <c r="L4" s="4">
        <v>46117</v>
      </c>
      <c r="M4" s="4">
        <v>46114</v>
      </c>
      <c r="N4" s="2" t="s">
        <v>83</v>
      </c>
      <c r="O4" s="2" t="s">
        <v>84</v>
      </c>
      <c r="P4" s="2" t="s">
        <v>136</v>
      </c>
      <c r="Q4" s="2" t="s">
        <v>86</v>
      </c>
      <c r="R4" s="2" t="s">
        <v>137</v>
      </c>
      <c r="S4" s="4">
        <v>46114</v>
      </c>
      <c r="T4" s="2" t="s">
        <v>83</v>
      </c>
      <c r="U4" s="2" t="s">
        <v>84</v>
      </c>
      <c r="V4" s="2" t="s">
        <v>136</v>
      </c>
      <c r="W4" s="2" t="s">
        <v>86</v>
      </c>
      <c r="X4" s="2" t="s">
        <v>117</v>
      </c>
      <c r="Y4" s="3" t="s">
        <v>118</v>
      </c>
      <c r="Z4" s="3">
        <v>0</v>
      </c>
      <c r="AA4" s="2" t="s">
        <v>138</v>
      </c>
      <c r="AB4" s="2" t="s">
        <v>137</v>
      </c>
      <c r="AC4" s="2" t="s">
        <v>132</v>
      </c>
      <c r="AD4" t="str" cm="1">
        <f t="array" ref="AD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4" s="2" t="s">
        <v>139</v>
      </c>
      <c r="AF4" s="2" t="s">
        <v>92</v>
      </c>
      <c r="AG4" s="2" t="s">
        <v>140</v>
      </c>
      <c r="AH4" s="2" t="s">
        <v>141</v>
      </c>
      <c r="AK4" s="2" t="s">
        <v>142</v>
      </c>
      <c r="AN4" s="3">
        <v>1</v>
      </c>
      <c r="AO4" s="3">
        <v>1</v>
      </c>
      <c r="AP4" s="3">
        <v>1</v>
      </c>
      <c r="AQ4" s="3">
        <v>1</v>
      </c>
      <c r="AR4" s="3">
        <v>0</v>
      </c>
      <c r="AS4" s="3">
        <v>0</v>
      </c>
      <c r="AT4" s="3">
        <v>1</v>
      </c>
      <c r="AU4" s="3">
        <v>0</v>
      </c>
      <c r="AV4" s="3">
        <v>0</v>
      </c>
      <c r="AW4" s="3">
        <v>1</v>
      </c>
      <c r="AX4" s="3">
        <v>0</v>
      </c>
      <c r="AY4" s="3">
        <v>0</v>
      </c>
      <c r="AZ4" s="3">
        <v>1</v>
      </c>
      <c r="BA4" s="3">
        <v>0</v>
      </c>
      <c r="BB4" s="3">
        <v>0</v>
      </c>
      <c r="BC4" s="3">
        <v>1</v>
      </c>
      <c r="BD4" s="3">
        <v>0</v>
      </c>
      <c r="BE4" s="3">
        <v>0</v>
      </c>
      <c r="BG4" s="2" t="s">
        <v>139</v>
      </c>
      <c r="BH4" s="3">
        <v>2</v>
      </c>
      <c r="BJ4" s="2" t="s">
        <v>96</v>
      </c>
      <c r="BL4" s="2" t="s">
        <v>143</v>
      </c>
      <c r="BM4" s="2" t="s">
        <v>144</v>
      </c>
      <c r="BN4" s="2" t="s">
        <v>99</v>
      </c>
      <c r="BO4" s="2" t="s">
        <v>100</v>
      </c>
      <c r="BP4" s="2" t="s">
        <v>101</v>
      </c>
      <c r="BQ4" s="2" t="s">
        <v>145</v>
      </c>
      <c r="BR4" s="2" t="s">
        <v>146</v>
      </c>
      <c r="BS4" s="2" t="s">
        <v>147</v>
      </c>
      <c r="BT4" s="2" t="s">
        <v>148</v>
      </c>
      <c r="BU4" s="2" t="s">
        <v>149</v>
      </c>
      <c r="BV4" s="2" t="s">
        <v>150</v>
      </c>
      <c r="BW4" s="2" t="s">
        <v>151</v>
      </c>
      <c r="BX4" s="2" t="s">
        <v>139</v>
      </c>
      <c r="BY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" s="2">
        <f>IF(AND(Cases[[#This Row],[Priority Level]]&gt;=3,Cases[[#This Row],[System Role]]&lt;&gt;"Productive"),1,0)</f>
        <v>0</v>
      </c>
      <c r="CA4" s="2">
        <f>IFERROR(IF(Cases[[#This Row],[Days at Customer]]&gt;MAX(1,Cases[[#This Row],[Days at SAP]]*2),1,0),0)</f>
        <v>0</v>
      </c>
      <c r="CB4" s="2">
        <f>IF(AND(Cases[[#This Row],[Initial Component]]&lt;&gt;"",Cases[[#This Row],[Component]]&lt;&gt;"",Cases[[#This Row],[Initial Component]]&lt;&gt;Cases[[#This Row],[Component]]),1,0)</f>
        <v>0</v>
      </c>
      <c r="CC4" s="2">
        <f>IF(OR(Cases[[#This Row],[Is Reopened]]="X",Cases[[#This Row],[No. of Reopenings]]&gt;0),1,0)</f>
        <v>0</v>
      </c>
      <c r="CD4" s="2">
        <f>IF(Cases[[#This Row],[Confirmation Type]]="Automatic",1,0)</f>
        <v>0</v>
      </c>
      <c r="CE4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5" spans="1:83" x14ac:dyDescent="0.2">
      <c r="A5" s="1" t="s">
        <v>152</v>
      </c>
      <c r="B5" s="2" t="s">
        <v>153</v>
      </c>
      <c r="C5" s="2" t="s">
        <v>154</v>
      </c>
      <c r="D5" s="2" t="s">
        <v>78</v>
      </c>
      <c r="E5" s="3">
        <v>1.9</v>
      </c>
      <c r="F5" s="3">
        <v>3.89</v>
      </c>
      <c r="G5" s="2" t="s">
        <v>79</v>
      </c>
      <c r="H5" s="2" t="s">
        <v>155</v>
      </c>
      <c r="I5" s="3" t="s">
        <v>114</v>
      </c>
      <c r="J5" s="3">
        <v>13</v>
      </c>
      <c r="K5" s="2" t="s">
        <v>156</v>
      </c>
      <c r="L5" s="4">
        <v>46127</v>
      </c>
      <c r="M5" s="4">
        <v>46120</v>
      </c>
      <c r="N5" s="2" t="s">
        <v>83</v>
      </c>
      <c r="O5" s="2" t="s">
        <v>84</v>
      </c>
      <c r="P5" s="2" t="s">
        <v>85</v>
      </c>
      <c r="Q5" s="2" t="s">
        <v>86</v>
      </c>
      <c r="R5" s="2" t="s">
        <v>157</v>
      </c>
      <c r="S5" s="4">
        <v>46114</v>
      </c>
      <c r="T5" s="2" t="s">
        <v>83</v>
      </c>
      <c r="U5" s="2" t="s">
        <v>84</v>
      </c>
      <c r="V5" s="2" t="s">
        <v>136</v>
      </c>
      <c r="W5" s="2" t="s">
        <v>86</v>
      </c>
      <c r="X5" s="2" t="s">
        <v>117</v>
      </c>
      <c r="Y5" s="3" t="s">
        <v>118</v>
      </c>
      <c r="Z5" s="3">
        <v>5.79</v>
      </c>
      <c r="AA5" s="2" t="s">
        <v>90</v>
      </c>
      <c r="AB5" s="2" t="s">
        <v>157</v>
      </c>
      <c r="AC5" s="2" t="s">
        <v>154</v>
      </c>
      <c r="AD5" t="str" cm="1">
        <f t="array" ref="AD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5" s="2" t="s">
        <v>158</v>
      </c>
      <c r="AF5" s="2" t="s">
        <v>92</v>
      </c>
      <c r="AG5" s="2" t="s">
        <v>159</v>
      </c>
      <c r="AH5" s="2" t="s">
        <v>160</v>
      </c>
      <c r="AK5" s="2" t="s">
        <v>161</v>
      </c>
      <c r="AN5" s="3">
        <v>1</v>
      </c>
      <c r="AO5" s="3">
        <v>1</v>
      </c>
      <c r="AP5" s="3">
        <v>1</v>
      </c>
      <c r="AQ5" s="3">
        <v>1</v>
      </c>
      <c r="AR5" s="3">
        <v>0</v>
      </c>
      <c r="AS5" s="3">
        <v>1</v>
      </c>
      <c r="AT5" s="3">
        <v>0</v>
      </c>
      <c r="AU5" s="3">
        <v>0</v>
      </c>
      <c r="AV5" s="3">
        <v>0</v>
      </c>
      <c r="AW5" s="3">
        <v>1</v>
      </c>
      <c r="AX5" s="3">
        <v>0</v>
      </c>
      <c r="AY5" s="3">
        <v>1</v>
      </c>
      <c r="AZ5" s="3">
        <v>0</v>
      </c>
      <c r="BA5" s="3">
        <v>1</v>
      </c>
      <c r="BB5" s="3">
        <v>0</v>
      </c>
      <c r="BC5" s="3">
        <v>0</v>
      </c>
      <c r="BD5" s="3">
        <v>0</v>
      </c>
      <c r="BE5" s="3">
        <v>0</v>
      </c>
      <c r="BG5" s="2" t="s">
        <v>158</v>
      </c>
      <c r="BH5" s="3">
        <v>1</v>
      </c>
      <c r="BJ5" s="2" t="s">
        <v>96</v>
      </c>
      <c r="BL5" s="2" t="s">
        <v>162</v>
      </c>
      <c r="BM5" s="2" t="s">
        <v>163</v>
      </c>
      <c r="BN5" s="2" t="s">
        <v>99</v>
      </c>
      <c r="BO5" s="2" t="s">
        <v>100</v>
      </c>
      <c r="BP5" s="2" t="s">
        <v>101</v>
      </c>
      <c r="BQ5" s="2" t="s">
        <v>102</v>
      </c>
      <c r="BR5" s="2" t="s">
        <v>103</v>
      </c>
      <c r="BS5" s="2" t="s">
        <v>127</v>
      </c>
      <c r="BT5" s="2" t="s">
        <v>164</v>
      </c>
      <c r="BU5" s="2" t="s">
        <v>165</v>
      </c>
      <c r="BV5" s="2" t="s">
        <v>166</v>
      </c>
      <c r="BW5" s="2" t="s">
        <v>167</v>
      </c>
      <c r="BX5" s="2" t="s">
        <v>158</v>
      </c>
      <c r="BY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" s="2">
        <f>IF(AND(Cases[[#This Row],[Priority Level]]&gt;=3,Cases[[#This Row],[System Role]]&lt;&gt;"Productive"),1,0)</f>
        <v>0</v>
      </c>
      <c r="CA5" s="2">
        <f>IFERROR(IF(Cases[[#This Row],[Days at Customer]]&gt;MAX(1,Cases[[#This Row],[Days at SAP]]*2),1,0),0)</f>
        <v>1</v>
      </c>
      <c r="CB5" s="2">
        <f>IF(AND(Cases[[#This Row],[Initial Component]]&lt;&gt;"",Cases[[#This Row],[Component]]&lt;&gt;"",Cases[[#This Row],[Initial Component]]&lt;&gt;Cases[[#This Row],[Component]]),1,0)</f>
        <v>0</v>
      </c>
      <c r="CC5" s="2">
        <f>IF(OR(Cases[[#This Row],[Is Reopened]]="X",Cases[[#This Row],[No. of Reopenings]]&gt;0),1,0)</f>
        <v>0</v>
      </c>
      <c r="CD5" s="2">
        <f>IF(Cases[[#This Row],[Confirmation Type]]="Automatic",1,0)</f>
        <v>0</v>
      </c>
      <c r="CE5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" spans="1:83" x14ac:dyDescent="0.2">
      <c r="A6" s="1" t="s">
        <v>168</v>
      </c>
      <c r="B6" s="2" t="s">
        <v>169</v>
      </c>
      <c r="C6" s="2" t="s">
        <v>170</v>
      </c>
      <c r="D6" s="2" t="s">
        <v>78</v>
      </c>
      <c r="E6" s="3">
        <v>0.01</v>
      </c>
      <c r="F6" s="3">
        <v>0</v>
      </c>
      <c r="G6" s="2" t="s">
        <v>133</v>
      </c>
      <c r="H6" s="2" t="s">
        <v>134</v>
      </c>
      <c r="I6" s="3" t="s">
        <v>114</v>
      </c>
      <c r="J6" s="3">
        <v>14</v>
      </c>
      <c r="K6" s="2" t="s">
        <v>171</v>
      </c>
      <c r="L6" s="4">
        <v>46117</v>
      </c>
      <c r="M6" s="4">
        <v>46113</v>
      </c>
      <c r="N6" s="2" t="s">
        <v>83</v>
      </c>
      <c r="O6" s="2" t="s">
        <v>84</v>
      </c>
      <c r="P6" s="2" t="s">
        <v>136</v>
      </c>
      <c r="Q6" s="2" t="s">
        <v>86</v>
      </c>
      <c r="R6" s="2" t="s">
        <v>172</v>
      </c>
      <c r="S6" s="4">
        <v>46113</v>
      </c>
      <c r="T6" s="2" t="s">
        <v>83</v>
      </c>
      <c r="U6" s="2" t="s">
        <v>84</v>
      </c>
      <c r="V6" s="2" t="s">
        <v>136</v>
      </c>
      <c r="W6" s="2" t="s">
        <v>86</v>
      </c>
      <c r="X6" s="2" t="s">
        <v>117</v>
      </c>
      <c r="Y6" s="3" t="s">
        <v>118</v>
      </c>
      <c r="Z6" s="3">
        <v>0.01</v>
      </c>
      <c r="AA6" s="2" t="s">
        <v>90</v>
      </c>
      <c r="AB6" s="2" t="s">
        <v>172</v>
      </c>
      <c r="AC6" s="2" t="s">
        <v>170</v>
      </c>
      <c r="AD6" t="str" cm="1">
        <f t="array" ref="AD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6" s="2" t="s">
        <v>139</v>
      </c>
      <c r="AF6" s="2" t="s">
        <v>92</v>
      </c>
      <c r="AG6" s="2" t="s">
        <v>119</v>
      </c>
      <c r="AH6" s="2" t="s">
        <v>120</v>
      </c>
      <c r="AK6" s="2" t="s">
        <v>173</v>
      </c>
      <c r="AN6" s="3">
        <v>1</v>
      </c>
      <c r="AO6" s="3">
        <v>1</v>
      </c>
      <c r="AP6" s="3">
        <v>1</v>
      </c>
      <c r="AQ6" s="3">
        <v>1</v>
      </c>
      <c r="AR6" s="3">
        <v>0</v>
      </c>
      <c r="AS6" s="3">
        <v>0</v>
      </c>
      <c r="AT6" s="3">
        <v>1</v>
      </c>
      <c r="AU6" s="3">
        <v>0</v>
      </c>
      <c r="AV6" s="3">
        <v>0</v>
      </c>
      <c r="AW6" s="3">
        <v>1</v>
      </c>
      <c r="AX6" s="3">
        <v>0</v>
      </c>
      <c r="AY6" s="3">
        <v>0</v>
      </c>
      <c r="AZ6" s="3">
        <v>1</v>
      </c>
      <c r="BA6" s="3">
        <v>0</v>
      </c>
      <c r="BB6" s="3">
        <v>0</v>
      </c>
      <c r="BC6" s="3">
        <v>1</v>
      </c>
      <c r="BD6" s="3">
        <v>0</v>
      </c>
      <c r="BE6" s="3">
        <v>0</v>
      </c>
      <c r="BG6" s="2" t="s">
        <v>139</v>
      </c>
      <c r="BH6" s="3">
        <v>2</v>
      </c>
      <c r="BJ6" s="2" t="s">
        <v>96</v>
      </c>
      <c r="BL6" s="2" t="s">
        <v>123</v>
      </c>
      <c r="BM6" s="2" t="s">
        <v>123</v>
      </c>
      <c r="BN6" s="2" t="s">
        <v>124</v>
      </c>
      <c r="BO6" s="2" t="s">
        <v>125</v>
      </c>
      <c r="BP6" s="2" t="s">
        <v>101</v>
      </c>
      <c r="BQ6" s="2" t="s">
        <v>124</v>
      </c>
      <c r="BR6" s="2" t="s">
        <v>126</v>
      </c>
      <c r="BS6" s="2" t="s">
        <v>127</v>
      </c>
      <c r="BT6" s="2" t="s">
        <v>174</v>
      </c>
      <c r="BU6" s="2" t="s">
        <v>175</v>
      </c>
      <c r="BV6" s="2" t="s">
        <v>150</v>
      </c>
      <c r="BW6" s="2" t="s">
        <v>151</v>
      </c>
      <c r="BX6" s="2" t="s">
        <v>139</v>
      </c>
      <c r="BY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" s="2">
        <f>IF(AND(Cases[[#This Row],[Priority Level]]&gt;=3,Cases[[#This Row],[System Role]]&lt;&gt;"Productive"),1,0)</f>
        <v>0</v>
      </c>
      <c r="CA6" s="2">
        <f>IFERROR(IF(Cases[[#This Row],[Days at Customer]]&gt;MAX(1,Cases[[#This Row],[Days at SAP]]*2),1,0),0)</f>
        <v>0</v>
      </c>
      <c r="CB6" s="2">
        <f>IF(AND(Cases[[#This Row],[Initial Component]]&lt;&gt;"",Cases[[#This Row],[Component]]&lt;&gt;"",Cases[[#This Row],[Initial Component]]&lt;&gt;Cases[[#This Row],[Component]]),1,0)</f>
        <v>0</v>
      </c>
      <c r="CC6" s="2">
        <f>IF(OR(Cases[[#This Row],[Is Reopened]]="X",Cases[[#This Row],[No. of Reopenings]]&gt;0),1,0)</f>
        <v>0</v>
      </c>
      <c r="CD6" s="2">
        <f>IF(Cases[[#This Row],[Confirmation Type]]="Automatic",1,0)</f>
        <v>0</v>
      </c>
      <c r="CE6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7" spans="1:83" x14ac:dyDescent="0.2">
      <c r="A7" s="1" t="s">
        <v>176</v>
      </c>
      <c r="B7" s="2" t="s">
        <v>177</v>
      </c>
      <c r="C7" s="2" t="s">
        <v>77</v>
      </c>
      <c r="D7" s="2" t="s">
        <v>78</v>
      </c>
      <c r="E7" s="3">
        <v>0.19</v>
      </c>
      <c r="F7" s="3">
        <v>0.88</v>
      </c>
      <c r="G7" s="2" t="s">
        <v>79</v>
      </c>
      <c r="H7" s="2" t="s">
        <v>178</v>
      </c>
      <c r="I7" s="3" t="s">
        <v>81</v>
      </c>
      <c r="J7" s="3">
        <v>15</v>
      </c>
      <c r="K7" s="2" t="s">
        <v>179</v>
      </c>
      <c r="L7" s="4">
        <v>46117</v>
      </c>
      <c r="M7" s="4">
        <v>46113</v>
      </c>
      <c r="N7" s="2" t="s">
        <v>83</v>
      </c>
      <c r="O7" s="2" t="s">
        <v>84</v>
      </c>
      <c r="P7" s="2" t="s">
        <v>136</v>
      </c>
      <c r="Q7" s="2" t="s">
        <v>86</v>
      </c>
      <c r="R7" s="2" t="s">
        <v>87</v>
      </c>
      <c r="S7" s="4">
        <v>46112</v>
      </c>
      <c r="T7" s="2" t="s">
        <v>180</v>
      </c>
      <c r="U7" s="2" t="s">
        <v>181</v>
      </c>
      <c r="V7" s="2" t="s">
        <v>136</v>
      </c>
      <c r="W7" s="2" t="s">
        <v>86</v>
      </c>
      <c r="X7" s="2" t="s">
        <v>88</v>
      </c>
      <c r="Y7" s="3" t="s">
        <v>89</v>
      </c>
      <c r="Z7" s="3">
        <v>1.07</v>
      </c>
      <c r="AA7" s="2" t="s">
        <v>90</v>
      </c>
      <c r="AB7" s="2" t="s">
        <v>87</v>
      </c>
      <c r="AC7" s="2" t="s">
        <v>77</v>
      </c>
      <c r="AD7" t="str" cm="1">
        <f t="array" ref="AD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7" s="2" t="s">
        <v>182</v>
      </c>
      <c r="AF7" s="2" t="s">
        <v>92</v>
      </c>
      <c r="AG7" s="2" t="s">
        <v>93</v>
      </c>
      <c r="AH7" s="2" t="s">
        <v>94</v>
      </c>
      <c r="AK7" s="2" t="s">
        <v>183</v>
      </c>
      <c r="AN7" s="3">
        <v>1</v>
      </c>
      <c r="AO7" s="3">
        <v>1</v>
      </c>
      <c r="AP7" s="3">
        <v>1</v>
      </c>
      <c r="AQ7" s="3">
        <v>1</v>
      </c>
      <c r="AR7" s="3">
        <v>0</v>
      </c>
      <c r="AS7" s="3">
        <v>0</v>
      </c>
      <c r="AT7" s="3">
        <v>0</v>
      </c>
      <c r="AU7" s="3">
        <v>1</v>
      </c>
      <c r="AV7" s="3">
        <v>0</v>
      </c>
      <c r="AW7" s="3">
        <v>1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1</v>
      </c>
      <c r="BD7" s="3">
        <v>0</v>
      </c>
      <c r="BE7" s="3">
        <v>1</v>
      </c>
      <c r="BG7" s="2" t="s">
        <v>182</v>
      </c>
      <c r="BH7" s="3">
        <v>4</v>
      </c>
      <c r="BJ7" s="2" t="s">
        <v>96</v>
      </c>
      <c r="BL7" s="2" t="s">
        <v>184</v>
      </c>
      <c r="BM7" s="2" t="s">
        <v>184</v>
      </c>
      <c r="BN7" s="2" t="s">
        <v>124</v>
      </c>
      <c r="BO7" s="2" t="s">
        <v>125</v>
      </c>
      <c r="BP7" s="2" t="s">
        <v>101</v>
      </c>
      <c r="BQ7" s="2" t="s">
        <v>124</v>
      </c>
      <c r="BR7" s="2" t="s">
        <v>126</v>
      </c>
      <c r="BS7" s="2" t="s">
        <v>127</v>
      </c>
      <c r="BT7" s="2" t="s">
        <v>185</v>
      </c>
      <c r="BU7" s="2" t="s">
        <v>186</v>
      </c>
      <c r="BV7" s="2" t="s">
        <v>150</v>
      </c>
      <c r="BW7" s="2" t="s">
        <v>151</v>
      </c>
      <c r="BX7" s="2" t="s">
        <v>182</v>
      </c>
      <c r="BY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7" s="2">
        <f>IF(AND(Cases[[#This Row],[Priority Level]]&gt;=3,Cases[[#This Row],[System Role]]&lt;&gt;"Productive"),1,0)</f>
        <v>0</v>
      </c>
      <c r="CA7" s="2">
        <f>IFERROR(IF(Cases[[#This Row],[Days at Customer]]&gt;MAX(1,Cases[[#This Row],[Days at SAP]]*2),1,0),0)</f>
        <v>0</v>
      </c>
      <c r="CB7" s="2">
        <f>IF(AND(Cases[[#This Row],[Initial Component]]&lt;&gt;"",Cases[[#This Row],[Component]]&lt;&gt;"",Cases[[#This Row],[Initial Component]]&lt;&gt;Cases[[#This Row],[Component]]),1,0)</f>
        <v>0</v>
      </c>
      <c r="CC7" s="2">
        <f>IF(OR(Cases[[#This Row],[Is Reopened]]="X",Cases[[#This Row],[No. of Reopenings]]&gt;0),1,0)</f>
        <v>0</v>
      </c>
      <c r="CD7" s="2">
        <f>IF(Cases[[#This Row],[Confirmation Type]]="Automatic",1,0)</f>
        <v>0</v>
      </c>
      <c r="CE7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8" spans="1:83" x14ac:dyDescent="0.2">
      <c r="A8" s="1" t="s">
        <v>187</v>
      </c>
      <c r="B8" s="2" t="s">
        <v>188</v>
      </c>
      <c r="C8" s="2" t="s">
        <v>189</v>
      </c>
      <c r="D8" s="2" t="s">
        <v>78</v>
      </c>
      <c r="E8" s="3">
        <v>11.05</v>
      </c>
      <c r="F8" s="3">
        <v>7.82</v>
      </c>
      <c r="G8" s="2" t="s">
        <v>190</v>
      </c>
      <c r="H8" s="2" t="s">
        <v>191</v>
      </c>
      <c r="I8" s="3" t="s">
        <v>114</v>
      </c>
      <c r="J8" s="3">
        <v>19</v>
      </c>
      <c r="K8" s="2" t="s">
        <v>192</v>
      </c>
      <c r="L8" s="4">
        <v>46127</v>
      </c>
      <c r="M8" s="4">
        <v>46127</v>
      </c>
      <c r="N8" s="2" t="s">
        <v>83</v>
      </c>
      <c r="O8" s="2" t="s">
        <v>84</v>
      </c>
      <c r="P8" s="2" t="s">
        <v>193</v>
      </c>
      <c r="Q8" s="2" t="s">
        <v>86</v>
      </c>
      <c r="R8" s="2" t="s">
        <v>194</v>
      </c>
      <c r="S8" s="4">
        <v>46108</v>
      </c>
      <c r="T8" s="2" t="s">
        <v>180</v>
      </c>
      <c r="U8" s="2" t="s">
        <v>181</v>
      </c>
      <c r="V8" s="2" t="s">
        <v>195</v>
      </c>
      <c r="W8" s="2" t="s">
        <v>86</v>
      </c>
      <c r="X8" s="2" t="s">
        <v>117</v>
      </c>
      <c r="Y8" s="3" t="s">
        <v>118</v>
      </c>
      <c r="Z8" s="3">
        <v>18.87</v>
      </c>
      <c r="AA8" s="2" t="s">
        <v>90</v>
      </c>
      <c r="AB8" s="2" t="s">
        <v>196</v>
      </c>
      <c r="AC8" s="2" t="s">
        <v>197</v>
      </c>
      <c r="AD8" t="str" cm="1">
        <f t="array" ref="AD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8" s="2" t="s">
        <v>91</v>
      </c>
      <c r="AF8" s="2" t="s">
        <v>92</v>
      </c>
      <c r="AG8" s="2" t="s">
        <v>119</v>
      </c>
      <c r="AH8" s="2" t="s">
        <v>120</v>
      </c>
      <c r="AK8" s="2" t="s">
        <v>198</v>
      </c>
      <c r="AN8" s="3">
        <v>1</v>
      </c>
      <c r="AO8" s="3">
        <v>1</v>
      </c>
      <c r="AP8" s="3">
        <v>1</v>
      </c>
      <c r="AQ8" s="3">
        <v>1</v>
      </c>
      <c r="AR8" s="3">
        <v>1</v>
      </c>
      <c r="AS8" s="3">
        <v>0</v>
      </c>
      <c r="AT8" s="3">
        <v>0</v>
      </c>
      <c r="AU8" s="3">
        <v>0</v>
      </c>
      <c r="AV8" s="3">
        <v>0</v>
      </c>
      <c r="AW8" s="3">
        <v>1</v>
      </c>
      <c r="AX8" s="3">
        <v>1</v>
      </c>
      <c r="AY8" s="3">
        <v>0</v>
      </c>
      <c r="AZ8" s="3">
        <v>0</v>
      </c>
      <c r="BA8" s="3">
        <v>1</v>
      </c>
      <c r="BB8" s="3">
        <v>0</v>
      </c>
      <c r="BC8" s="3">
        <v>0</v>
      </c>
      <c r="BD8" s="3">
        <v>0</v>
      </c>
      <c r="BE8" s="3">
        <v>0</v>
      </c>
      <c r="BG8" s="2" t="s">
        <v>91</v>
      </c>
      <c r="BH8" s="3">
        <v>3</v>
      </c>
      <c r="BJ8" s="2" t="s">
        <v>96</v>
      </c>
      <c r="BL8" s="2" t="s">
        <v>123</v>
      </c>
      <c r="BM8" s="2" t="s">
        <v>123</v>
      </c>
      <c r="BN8" s="2" t="s">
        <v>124</v>
      </c>
      <c r="BO8" s="2" t="s">
        <v>125</v>
      </c>
      <c r="BP8" s="2" t="s">
        <v>101</v>
      </c>
      <c r="BQ8" s="2" t="s">
        <v>124</v>
      </c>
      <c r="BR8" s="2" t="s">
        <v>126</v>
      </c>
      <c r="BS8" s="2" t="s">
        <v>127</v>
      </c>
      <c r="BT8" s="2" t="s">
        <v>199</v>
      </c>
      <c r="BU8" s="2" t="s">
        <v>200</v>
      </c>
      <c r="BV8" s="2" t="s">
        <v>166</v>
      </c>
      <c r="BW8" s="2" t="s">
        <v>167</v>
      </c>
      <c r="BX8" s="2" t="s">
        <v>91</v>
      </c>
      <c r="BY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8" s="2">
        <f>IF(AND(Cases[[#This Row],[Priority Level]]&gt;=3,Cases[[#This Row],[System Role]]&lt;&gt;"Productive"),1,0)</f>
        <v>1</v>
      </c>
      <c r="CA8" s="2">
        <f>IFERROR(IF(Cases[[#This Row],[Days at Customer]]&gt;MAX(1,Cases[[#This Row],[Days at SAP]]*2),1,0),0)</f>
        <v>0</v>
      </c>
      <c r="CB8" s="2">
        <f>IF(AND(Cases[[#This Row],[Initial Component]]&lt;&gt;"",Cases[[#This Row],[Component]]&lt;&gt;"",Cases[[#This Row],[Initial Component]]&lt;&gt;Cases[[#This Row],[Component]]),1,0)</f>
        <v>1</v>
      </c>
      <c r="CC8" s="2">
        <f>IF(OR(Cases[[#This Row],[Is Reopened]]="X",Cases[[#This Row],[No. of Reopenings]]&gt;0),1,0)</f>
        <v>0</v>
      </c>
      <c r="CD8" s="2">
        <f>IF(Cases[[#This Row],[Confirmation Type]]="Automatic",1,0)</f>
        <v>0</v>
      </c>
      <c r="CE8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9" spans="1:83" x14ac:dyDescent="0.2">
      <c r="A9" s="1" t="s">
        <v>2435</v>
      </c>
      <c r="B9" s="2" t="s">
        <v>2436</v>
      </c>
      <c r="C9" s="2" t="s">
        <v>111</v>
      </c>
      <c r="D9" s="2" t="s">
        <v>78</v>
      </c>
      <c r="E9" s="3">
        <v>0</v>
      </c>
      <c r="F9" s="3">
        <v>16.73</v>
      </c>
      <c r="G9" s="2" t="s">
        <v>112</v>
      </c>
      <c r="H9" s="2" t="s">
        <v>113</v>
      </c>
      <c r="I9" s="3" t="s">
        <v>114</v>
      </c>
      <c r="J9" s="3">
        <v>148</v>
      </c>
      <c r="K9" s="2" t="s">
        <v>2437</v>
      </c>
      <c r="L9" s="4">
        <v>46009</v>
      </c>
      <c r="M9" s="4">
        <v>45996</v>
      </c>
      <c r="N9" s="2" t="s">
        <v>1804</v>
      </c>
      <c r="O9" s="2" t="s">
        <v>1805</v>
      </c>
      <c r="P9" s="2" t="s">
        <v>2169</v>
      </c>
      <c r="Q9" s="2" t="s">
        <v>1806</v>
      </c>
      <c r="R9" s="2" t="s">
        <v>116</v>
      </c>
      <c r="S9" s="4">
        <v>45979</v>
      </c>
      <c r="T9" s="2" t="s">
        <v>2274</v>
      </c>
      <c r="U9" s="2" t="s">
        <v>1805</v>
      </c>
      <c r="V9" s="2" t="s">
        <v>2404</v>
      </c>
      <c r="W9" s="2" t="s">
        <v>1806</v>
      </c>
      <c r="X9" s="2" t="s">
        <v>117</v>
      </c>
      <c r="Y9" s="3" t="s">
        <v>118</v>
      </c>
      <c r="Z9" s="3">
        <v>16.73</v>
      </c>
      <c r="AA9" s="2" t="s">
        <v>90</v>
      </c>
      <c r="AB9" s="2" t="s">
        <v>116</v>
      </c>
      <c r="AC9" s="2" t="s">
        <v>111</v>
      </c>
      <c r="AD9" t="str" cm="1">
        <f t="array" ref="AD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9" s="2" t="s">
        <v>139</v>
      </c>
      <c r="AF9" s="2" t="s">
        <v>92</v>
      </c>
      <c r="AG9" s="2" t="s">
        <v>119</v>
      </c>
      <c r="AH9" s="2" t="s">
        <v>120</v>
      </c>
      <c r="AK9" s="2" t="s">
        <v>2438</v>
      </c>
      <c r="AN9" s="3">
        <v>1</v>
      </c>
      <c r="AO9" s="3">
        <v>1</v>
      </c>
      <c r="AP9" s="3">
        <v>1</v>
      </c>
      <c r="AQ9" s="3">
        <v>1</v>
      </c>
      <c r="AR9" s="3">
        <v>0</v>
      </c>
      <c r="AS9" s="3">
        <v>0</v>
      </c>
      <c r="AT9" s="3">
        <v>1</v>
      </c>
      <c r="AU9" s="3">
        <v>0</v>
      </c>
      <c r="AV9" s="3">
        <v>0</v>
      </c>
      <c r="AW9" s="3">
        <v>1</v>
      </c>
      <c r="AX9" s="3">
        <v>0</v>
      </c>
      <c r="AY9" s="3">
        <v>0</v>
      </c>
      <c r="AZ9" s="3">
        <v>1</v>
      </c>
      <c r="BA9" s="3">
        <v>0</v>
      </c>
      <c r="BB9" s="3">
        <v>0</v>
      </c>
      <c r="BC9" s="3">
        <v>1</v>
      </c>
      <c r="BD9" s="3">
        <v>0</v>
      </c>
      <c r="BE9" s="3">
        <v>0</v>
      </c>
      <c r="BG9" s="2" t="s">
        <v>139</v>
      </c>
      <c r="BH9" s="3">
        <v>2</v>
      </c>
      <c r="BI9" s="2" t="s">
        <v>122</v>
      </c>
      <c r="BJ9" s="2" t="s">
        <v>96</v>
      </c>
      <c r="BL9" s="2" t="s">
        <v>123</v>
      </c>
      <c r="BM9" s="2" t="s">
        <v>123</v>
      </c>
      <c r="BN9" s="2" t="s">
        <v>124</v>
      </c>
      <c r="BO9" s="2" t="s">
        <v>125</v>
      </c>
      <c r="BP9" s="2" t="s">
        <v>101</v>
      </c>
      <c r="BQ9" s="2" t="s">
        <v>124</v>
      </c>
      <c r="BR9" s="2" t="s">
        <v>126</v>
      </c>
      <c r="BS9" s="2" t="s">
        <v>127</v>
      </c>
      <c r="BT9" s="2" t="s">
        <v>207</v>
      </c>
      <c r="BU9" s="2" t="s">
        <v>208</v>
      </c>
      <c r="BV9" s="2" t="s">
        <v>150</v>
      </c>
      <c r="BW9" s="2" t="s">
        <v>151</v>
      </c>
      <c r="BX9" s="2" t="s">
        <v>139</v>
      </c>
      <c r="BY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9" s="2">
        <f>IF(AND(Cases[[#This Row],[Priority Level]]&gt;=3,Cases[[#This Row],[System Role]]&lt;&gt;"Productive"),1,0)</f>
        <v>0</v>
      </c>
      <c r="CA9" s="2">
        <f>IFERROR(IF(Cases[[#This Row],[Days at Customer]]&gt;MAX(1,Cases[[#This Row],[Days at SAP]]*2),1,0),0)</f>
        <v>1</v>
      </c>
      <c r="CB9" s="2">
        <f>IF(AND(Cases[[#This Row],[Initial Component]]&lt;&gt;"",Cases[[#This Row],[Component]]&lt;&gt;"",Cases[[#This Row],[Initial Component]]&lt;&gt;Cases[[#This Row],[Component]]),1,0)</f>
        <v>0</v>
      </c>
      <c r="CC9" s="2">
        <f>IF(OR(Cases[[#This Row],[Is Reopened]]="X",Cases[[#This Row],[No. of Reopenings]]&gt;0),1,0)</f>
        <v>0</v>
      </c>
      <c r="CD9" s="2">
        <f>IF(Cases[[#This Row],[Confirmation Type]]="Automatic",1,0)</f>
        <v>0</v>
      </c>
      <c r="CE9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0" spans="1:83" x14ac:dyDescent="0.2">
      <c r="A10" s="1" t="s">
        <v>209</v>
      </c>
      <c r="B10" s="2" t="s">
        <v>210</v>
      </c>
      <c r="C10" s="2" t="s">
        <v>211</v>
      </c>
      <c r="D10" s="2" t="s">
        <v>78</v>
      </c>
      <c r="E10" s="3">
        <v>0.17</v>
      </c>
      <c r="F10" s="3">
        <v>2.02</v>
      </c>
      <c r="G10" s="2" t="s">
        <v>133</v>
      </c>
      <c r="H10" s="2" t="s">
        <v>134</v>
      </c>
      <c r="I10" s="3" t="s">
        <v>114</v>
      </c>
      <c r="J10" s="3">
        <v>21</v>
      </c>
      <c r="K10" s="2" t="s">
        <v>212</v>
      </c>
      <c r="L10" s="4">
        <v>46110</v>
      </c>
      <c r="M10" s="4">
        <v>46108</v>
      </c>
      <c r="N10" s="2" t="s">
        <v>180</v>
      </c>
      <c r="O10" s="2" t="s">
        <v>181</v>
      </c>
      <c r="P10" s="2" t="s">
        <v>195</v>
      </c>
      <c r="Q10" s="2" t="s">
        <v>86</v>
      </c>
      <c r="R10" s="2" t="s">
        <v>213</v>
      </c>
      <c r="S10" s="4">
        <v>46106</v>
      </c>
      <c r="T10" s="2" t="s">
        <v>180</v>
      </c>
      <c r="U10" s="2" t="s">
        <v>181</v>
      </c>
      <c r="V10" s="2" t="s">
        <v>195</v>
      </c>
      <c r="W10" s="2" t="s">
        <v>86</v>
      </c>
      <c r="X10" s="2" t="s">
        <v>117</v>
      </c>
      <c r="Y10" s="3" t="s">
        <v>118</v>
      </c>
      <c r="Z10" s="3">
        <v>2.19</v>
      </c>
      <c r="AA10" s="2" t="s">
        <v>90</v>
      </c>
      <c r="AB10" s="2" t="s">
        <v>213</v>
      </c>
      <c r="AC10" s="2" t="s">
        <v>211</v>
      </c>
      <c r="AD10" t="str" cm="1">
        <f t="array" ref="AD1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10" s="2" t="s">
        <v>139</v>
      </c>
      <c r="AF10" s="2" t="s">
        <v>92</v>
      </c>
      <c r="AG10" s="2" t="s">
        <v>119</v>
      </c>
      <c r="AH10" s="2" t="s">
        <v>120</v>
      </c>
      <c r="AK10" s="2" t="s">
        <v>214</v>
      </c>
      <c r="AN10" s="3">
        <v>1</v>
      </c>
      <c r="AO10" s="3">
        <v>1</v>
      </c>
      <c r="AP10" s="3">
        <v>1</v>
      </c>
      <c r="AQ10" s="3">
        <v>1</v>
      </c>
      <c r="AR10" s="3">
        <v>0</v>
      </c>
      <c r="AS10" s="3">
        <v>0</v>
      </c>
      <c r="AT10" s="3">
        <v>1</v>
      </c>
      <c r="AU10" s="3">
        <v>0</v>
      </c>
      <c r="AV10" s="3">
        <v>0</v>
      </c>
      <c r="AW10" s="3">
        <v>1</v>
      </c>
      <c r="AX10" s="3">
        <v>0</v>
      </c>
      <c r="AY10" s="3">
        <v>0</v>
      </c>
      <c r="AZ10" s="3">
        <v>1</v>
      </c>
      <c r="BA10" s="3">
        <v>0</v>
      </c>
      <c r="BB10" s="3">
        <v>0</v>
      </c>
      <c r="BC10" s="3">
        <v>1</v>
      </c>
      <c r="BD10" s="3">
        <v>0</v>
      </c>
      <c r="BE10" s="3">
        <v>0</v>
      </c>
      <c r="BG10" s="2" t="s">
        <v>139</v>
      </c>
      <c r="BH10" s="3">
        <v>2</v>
      </c>
      <c r="BJ10" s="2" t="s">
        <v>96</v>
      </c>
      <c r="BL10" s="2" t="s">
        <v>123</v>
      </c>
      <c r="BM10" s="2" t="s">
        <v>123</v>
      </c>
      <c r="BN10" s="2" t="s">
        <v>124</v>
      </c>
      <c r="BO10" s="2" t="s">
        <v>125</v>
      </c>
      <c r="BP10" s="2" t="s">
        <v>101</v>
      </c>
      <c r="BQ10" s="2" t="s">
        <v>124</v>
      </c>
      <c r="BR10" s="2" t="s">
        <v>126</v>
      </c>
      <c r="BS10" s="2" t="s">
        <v>127</v>
      </c>
      <c r="BT10" s="2" t="s">
        <v>207</v>
      </c>
      <c r="BU10" s="2" t="s">
        <v>208</v>
      </c>
      <c r="BV10" s="2" t="s">
        <v>150</v>
      </c>
      <c r="BW10" s="2" t="s">
        <v>151</v>
      </c>
      <c r="BX10" s="2" t="s">
        <v>139</v>
      </c>
      <c r="BY1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0" s="2">
        <f>IF(AND(Cases[[#This Row],[Priority Level]]&gt;=3,Cases[[#This Row],[System Role]]&lt;&gt;"Productive"),1,0)</f>
        <v>0</v>
      </c>
      <c r="CA10" s="2">
        <f>IFERROR(IF(Cases[[#This Row],[Days at Customer]]&gt;MAX(1,Cases[[#This Row],[Days at SAP]]*2),1,0),0)</f>
        <v>1</v>
      </c>
      <c r="CB10" s="2">
        <f>IF(AND(Cases[[#This Row],[Initial Component]]&lt;&gt;"",Cases[[#This Row],[Component]]&lt;&gt;"",Cases[[#This Row],[Initial Component]]&lt;&gt;Cases[[#This Row],[Component]]),1,0)</f>
        <v>0</v>
      </c>
      <c r="CC10" s="2">
        <f>IF(OR(Cases[[#This Row],[Is Reopened]]="X",Cases[[#This Row],[No. of Reopenings]]&gt;0),1,0)</f>
        <v>0</v>
      </c>
      <c r="CD10" s="2">
        <f>IF(Cases[[#This Row],[Confirmation Type]]="Automatic",1,0)</f>
        <v>0</v>
      </c>
      <c r="CE10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1" spans="1:83" x14ac:dyDescent="0.2">
      <c r="A11" s="1" t="s">
        <v>215</v>
      </c>
      <c r="B11" s="2" t="s">
        <v>216</v>
      </c>
      <c r="C11" s="2" t="s">
        <v>217</v>
      </c>
      <c r="D11" s="2" t="s">
        <v>78</v>
      </c>
      <c r="E11" s="3">
        <v>1.08</v>
      </c>
      <c r="F11" s="3">
        <v>19.010000000000002</v>
      </c>
      <c r="G11" s="2" t="s">
        <v>190</v>
      </c>
      <c r="H11" s="2" t="s">
        <v>191</v>
      </c>
      <c r="I11" s="3" t="s">
        <v>114</v>
      </c>
      <c r="J11" s="3">
        <v>21</v>
      </c>
      <c r="K11" s="2" t="s">
        <v>218</v>
      </c>
      <c r="L11" s="4">
        <v>46127</v>
      </c>
      <c r="M11" s="4">
        <v>46126</v>
      </c>
      <c r="N11" s="2" t="s">
        <v>83</v>
      </c>
      <c r="O11" s="2" t="s">
        <v>84</v>
      </c>
      <c r="P11" s="2" t="s">
        <v>193</v>
      </c>
      <c r="Q11" s="2" t="s">
        <v>86</v>
      </c>
      <c r="R11" s="2" t="s">
        <v>219</v>
      </c>
      <c r="S11" s="4">
        <v>46106</v>
      </c>
      <c r="T11" s="2" t="s">
        <v>180</v>
      </c>
      <c r="U11" s="2" t="s">
        <v>181</v>
      </c>
      <c r="V11" s="2" t="s">
        <v>195</v>
      </c>
      <c r="W11" s="2" t="s">
        <v>86</v>
      </c>
      <c r="X11" s="2" t="s">
        <v>117</v>
      </c>
      <c r="Y11" s="3" t="s">
        <v>118</v>
      </c>
      <c r="Z11" s="3">
        <v>20.09</v>
      </c>
      <c r="AA11" s="2" t="s">
        <v>90</v>
      </c>
      <c r="AB11" s="2" t="s">
        <v>220</v>
      </c>
      <c r="AC11" s="2" t="s">
        <v>221</v>
      </c>
      <c r="AD11" t="str" cm="1">
        <f t="array" ref="AD1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11" s="2" t="s">
        <v>91</v>
      </c>
      <c r="AF11" s="2" t="s">
        <v>92</v>
      </c>
      <c r="AG11" s="2" t="s">
        <v>119</v>
      </c>
      <c r="AH11" s="2" t="s">
        <v>120</v>
      </c>
      <c r="AK11" s="2" t="s">
        <v>222</v>
      </c>
      <c r="AN11" s="3">
        <v>1</v>
      </c>
      <c r="AO11" s="3">
        <v>1</v>
      </c>
      <c r="AP11" s="3">
        <v>1</v>
      </c>
      <c r="AQ11" s="3">
        <v>1</v>
      </c>
      <c r="AR11" s="3">
        <v>1</v>
      </c>
      <c r="AS11" s="3">
        <v>0</v>
      </c>
      <c r="AT11" s="3">
        <v>0</v>
      </c>
      <c r="AU11" s="3">
        <v>0</v>
      </c>
      <c r="AV11" s="3">
        <v>0</v>
      </c>
      <c r="AW11" s="3">
        <v>1</v>
      </c>
      <c r="AX11" s="3">
        <v>1</v>
      </c>
      <c r="AY11" s="3">
        <v>0</v>
      </c>
      <c r="AZ11" s="3">
        <v>0</v>
      </c>
      <c r="BA11" s="3">
        <v>1</v>
      </c>
      <c r="BB11" s="3">
        <v>0</v>
      </c>
      <c r="BC11" s="3">
        <v>0</v>
      </c>
      <c r="BD11" s="3">
        <v>0</v>
      </c>
      <c r="BE11" s="3">
        <v>0</v>
      </c>
      <c r="BG11" s="2" t="s">
        <v>91</v>
      </c>
      <c r="BH11" s="3">
        <v>3</v>
      </c>
      <c r="BJ11" s="2" t="s">
        <v>96</v>
      </c>
      <c r="BL11" s="2" t="s">
        <v>123</v>
      </c>
      <c r="BM11" s="2" t="s">
        <v>123</v>
      </c>
      <c r="BN11" s="2" t="s">
        <v>124</v>
      </c>
      <c r="BO11" s="2" t="s">
        <v>125</v>
      </c>
      <c r="BP11" s="2" t="s">
        <v>101</v>
      </c>
      <c r="BQ11" s="2" t="s">
        <v>124</v>
      </c>
      <c r="BR11" s="2" t="s">
        <v>126</v>
      </c>
      <c r="BS11" s="2" t="s">
        <v>127</v>
      </c>
      <c r="BT11" s="2" t="s">
        <v>128</v>
      </c>
      <c r="BU11" s="2" t="s">
        <v>129</v>
      </c>
      <c r="BV11" s="2" t="s">
        <v>107</v>
      </c>
      <c r="BW11" s="2" t="s">
        <v>108</v>
      </c>
      <c r="BX11" s="2" t="s">
        <v>91</v>
      </c>
      <c r="BY1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1" s="2">
        <f>IF(AND(Cases[[#This Row],[Priority Level]]&gt;=3,Cases[[#This Row],[System Role]]&lt;&gt;"Productive"),1,0)</f>
        <v>1</v>
      </c>
      <c r="CA11" s="2">
        <f>IFERROR(IF(Cases[[#This Row],[Days at Customer]]&gt;MAX(1,Cases[[#This Row],[Days at SAP]]*2),1,0),0)</f>
        <v>1</v>
      </c>
      <c r="CB11" s="2">
        <f>IF(AND(Cases[[#This Row],[Initial Component]]&lt;&gt;"",Cases[[#This Row],[Component]]&lt;&gt;"",Cases[[#This Row],[Initial Component]]&lt;&gt;Cases[[#This Row],[Component]]),1,0)</f>
        <v>1</v>
      </c>
      <c r="CC11" s="2">
        <f>IF(OR(Cases[[#This Row],[Is Reopened]]="X",Cases[[#This Row],[No. of Reopenings]]&gt;0),1,0)</f>
        <v>0</v>
      </c>
      <c r="CD11" s="2">
        <f>IF(Cases[[#This Row],[Confirmation Type]]="Automatic",1,0)</f>
        <v>0</v>
      </c>
      <c r="CE11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12" spans="1:83" x14ac:dyDescent="0.2">
      <c r="A12" s="1" t="s">
        <v>223</v>
      </c>
      <c r="B12" s="2" t="s">
        <v>224</v>
      </c>
      <c r="C12" s="2" t="s">
        <v>225</v>
      </c>
      <c r="D12" s="2" t="s">
        <v>78</v>
      </c>
      <c r="E12" s="3">
        <v>7.0000000000000007E-2</v>
      </c>
      <c r="F12" s="3">
        <v>16.93</v>
      </c>
      <c r="G12" s="2" t="s">
        <v>79</v>
      </c>
      <c r="H12" s="2" t="s">
        <v>155</v>
      </c>
      <c r="I12" s="3" t="s">
        <v>114</v>
      </c>
      <c r="J12" s="3">
        <v>22</v>
      </c>
      <c r="K12" s="2" t="s">
        <v>226</v>
      </c>
      <c r="L12" s="4">
        <v>46124</v>
      </c>
      <c r="M12" s="4">
        <v>46122</v>
      </c>
      <c r="N12" s="2" t="s">
        <v>83</v>
      </c>
      <c r="O12" s="2" t="s">
        <v>84</v>
      </c>
      <c r="P12" s="2" t="s">
        <v>85</v>
      </c>
      <c r="Q12" s="2" t="s">
        <v>86</v>
      </c>
      <c r="R12" s="2" t="s">
        <v>227</v>
      </c>
      <c r="S12" s="4">
        <v>46105</v>
      </c>
      <c r="T12" s="2" t="s">
        <v>180</v>
      </c>
      <c r="U12" s="2" t="s">
        <v>181</v>
      </c>
      <c r="V12" s="2" t="s">
        <v>195</v>
      </c>
      <c r="W12" s="2" t="s">
        <v>86</v>
      </c>
      <c r="X12" s="2" t="s">
        <v>117</v>
      </c>
      <c r="Y12" s="3" t="s">
        <v>118</v>
      </c>
      <c r="Z12" s="3">
        <v>16.989999999999998</v>
      </c>
      <c r="AA12" s="2" t="s">
        <v>90</v>
      </c>
      <c r="AB12" s="2" t="s">
        <v>227</v>
      </c>
      <c r="AC12" s="2" t="s">
        <v>225</v>
      </c>
      <c r="AD12" t="str" cm="1">
        <f t="array" ref="AD1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12" s="2" t="s">
        <v>91</v>
      </c>
      <c r="AF12" s="2" t="s">
        <v>92</v>
      </c>
      <c r="AG12" s="2" t="s">
        <v>119</v>
      </c>
      <c r="AH12" s="2" t="s">
        <v>120</v>
      </c>
      <c r="AK12" s="2" t="s">
        <v>228</v>
      </c>
      <c r="AN12" s="3">
        <v>1</v>
      </c>
      <c r="AO12" s="3">
        <v>1</v>
      </c>
      <c r="AP12" s="3">
        <v>1</v>
      </c>
      <c r="AQ12" s="3">
        <v>1</v>
      </c>
      <c r="AR12" s="3">
        <v>1</v>
      </c>
      <c r="AS12" s="3">
        <v>0</v>
      </c>
      <c r="AT12" s="3">
        <v>0</v>
      </c>
      <c r="AU12" s="3">
        <v>0</v>
      </c>
      <c r="AV12" s="3">
        <v>0</v>
      </c>
      <c r="AW12" s="3">
        <v>1</v>
      </c>
      <c r="AX12" s="3">
        <v>1</v>
      </c>
      <c r="AY12" s="3">
        <v>0</v>
      </c>
      <c r="AZ12" s="3">
        <v>0</v>
      </c>
      <c r="BA12" s="3">
        <v>1</v>
      </c>
      <c r="BB12" s="3">
        <v>0</v>
      </c>
      <c r="BC12" s="3">
        <v>0</v>
      </c>
      <c r="BD12" s="3">
        <v>0</v>
      </c>
      <c r="BE12" s="3">
        <v>0</v>
      </c>
      <c r="BG12" s="2" t="s">
        <v>91</v>
      </c>
      <c r="BH12" s="3">
        <v>3</v>
      </c>
      <c r="BJ12" s="2" t="s">
        <v>96</v>
      </c>
      <c r="BL12" s="2" t="s">
        <v>123</v>
      </c>
      <c r="BM12" s="2" t="s">
        <v>123</v>
      </c>
      <c r="BN12" s="2" t="s">
        <v>124</v>
      </c>
      <c r="BO12" s="2" t="s">
        <v>125</v>
      </c>
      <c r="BP12" s="2" t="s">
        <v>101</v>
      </c>
      <c r="BQ12" s="2" t="s">
        <v>124</v>
      </c>
      <c r="BR12" s="2" t="s">
        <v>126</v>
      </c>
      <c r="BS12" s="2" t="s">
        <v>127</v>
      </c>
      <c r="BT12" s="2" t="s">
        <v>128</v>
      </c>
      <c r="BU12" s="2" t="s">
        <v>129</v>
      </c>
      <c r="BV12" s="2" t="s">
        <v>107</v>
      </c>
      <c r="BW12" s="2" t="s">
        <v>108</v>
      </c>
      <c r="BX12" s="2" t="s">
        <v>91</v>
      </c>
      <c r="BY1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2" s="2">
        <f>IF(AND(Cases[[#This Row],[Priority Level]]&gt;=3,Cases[[#This Row],[System Role]]&lt;&gt;"Productive"),1,0)</f>
        <v>1</v>
      </c>
      <c r="CA12" s="2">
        <f>IFERROR(IF(Cases[[#This Row],[Days at Customer]]&gt;MAX(1,Cases[[#This Row],[Days at SAP]]*2),1,0),0)</f>
        <v>1</v>
      </c>
      <c r="CB12" s="2">
        <f>IF(AND(Cases[[#This Row],[Initial Component]]&lt;&gt;"",Cases[[#This Row],[Component]]&lt;&gt;"",Cases[[#This Row],[Initial Component]]&lt;&gt;Cases[[#This Row],[Component]]),1,0)</f>
        <v>0</v>
      </c>
      <c r="CC12" s="2">
        <f>IF(OR(Cases[[#This Row],[Is Reopened]]="X",Cases[[#This Row],[No. of Reopenings]]&gt;0),1,0)</f>
        <v>0</v>
      </c>
      <c r="CD12" s="2">
        <f>IF(Cases[[#This Row],[Confirmation Type]]="Automatic",1,0)</f>
        <v>0</v>
      </c>
      <c r="CE12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13" spans="1:83" x14ac:dyDescent="0.2">
      <c r="A13" s="1" t="s">
        <v>229</v>
      </c>
      <c r="B13" s="2" t="s">
        <v>230</v>
      </c>
      <c r="C13" s="2" t="s">
        <v>231</v>
      </c>
      <c r="D13" s="2" t="s">
        <v>78</v>
      </c>
      <c r="E13" s="3">
        <v>0.84</v>
      </c>
      <c r="F13" s="3">
        <v>0.99</v>
      </c>
      <c r="G13" s="2" t="s">
        <v>79</v>
      </c>
      <c r="H13" s="2" t="s">
        <v>80</v>
      </c>
      <c r="I13" s="3" t="s">
        <v>114</v>
      </c>
      <c r="J13" s="3">
        <v>23</v>
      </c>
      <c r="K13" s="2" t="s">
        <v>232</v>
      </c>
      <c r="L13" s="4">
        <v>46110</v>
      </c>
      <c r="M13" s="4">
        <v>46106</v>
      </c>
      <c r="N13" s="2" t="s">
        <v>180</v>
      </c>
      <c r="O13" s="2" t="s">
        <v>181</v>
      </c>
      <c r="P13" s="2" t="s">
        <v>195</v>
      </c>
      <c r="Q13" s="2" t="s">
        <v>86</v>
      </c>
      <c r="R13" s="2" t="s">
        <v>233</v>
      </c>
      <c r="S13" s="4">
        <v>46104</v>
      </c>
      <c r="T13" s="2" t="s">
        <v>180</v>
      </c>
      <c r="U13" s="2" t="s">
        <v>181</v>
      </c>
      <c r="V13" s="2" t="s">
        <v>195</v>
      </c>
      <c r="W13" s="2" t="s">
        <v>86</v>
      </c>
      <c r="X13" s="2" t="s">
        <v>117</v>
      </c>
      <c r="Y13" s="3" t="s">
        <v>118</v>
      </c>
      <c r="Z13" s="3">
        <v>1.82</v>
      </c>
      <c r="AA13" s="2" t="s">
        <v>90</v>
      </c>
      <c r="AB13" s="2" t="s">
        <v>233</v>
      </c>
      <c r="AC13" s="2" t="s">
        <v>231</v>
      </c>
      <c r="AD13" t="str" cm="1">
        <f t="array" ref="AD1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13" s="2" t="s">
        <v>139</v>
      </c>
      <c r="AF13" s="2" t="s">
        <v>92</v>
      </c>
      <c r="AG13" s="2" t="s">
        <v>119</v>
      </c>
      <c r="AH13" s="2" t="s">
        <v>120</v>
      </c>
      <c r="AK13" s="2" t="s">
        <v>234</v>
      </c>
      <c r="AN13" s="3">
        <v>1</v>
      </c>
      <c r="AO13" s="3">
        <v>1</v>
      </c>
      <c r="AP13" s="3">
        <v>1</v>
      </c>
      <c r="AQ13" s="3">
        <v>1</v>
      </c>
      <c r="AR13" s="3">
        <v>0</v>
      </c>
      <c r="AS13" s="3">
        <v>0</v>
      </c>
      <c r="AT13" s="3">
        <v>1</v>
      </c>
      <c r="AU13" s="3">
        <v>0</v>
      </c>
      <c r="AV13" s="3">
        <v>0</v>
      </c>
      <c r="AW13" s="3">
        <v>1</v>
      </c>
      <c r="AX13" s="3">
        <v>0</v>
      </c>
      <c r="AY13" s="3">
        <v>0</v>
      </c>
      <c r="AZ13" s="3">
        <v>1</v>
      </c>
      <c r="BA13" s="3">
        <v>0</v>
      </c>
      <c r="BB13" s="3">
        <v>0</v>
      </c>
      <c r="BC13" s="3">
        <v>1</v>
      </c>
      <c r="BD13" s="3">
        <v>0</v>
      </c>
      <c r="BE13" s="3">
        <v>0</v>
      </c>
      <c r="BG13" s="2" t="s">
        <v>139</v>
      </c>
      <c r="BH13" s="3">
        <v>2</v>
      </c>
      <c r="BJ13" s="2" t="s">
        <v>96</v>
      </c>
      <c r="BL13" s="2" t="s">
        <v>123</v>
      </c>
      <c r="BM13" s="2" t="s">
        <v>123</v>
      </c>
      <c r="BN13" s="2" t="s">
        <v>124</v>
      </c>
      <c r="BO13" s="2" t="s">
        <v>125</v>
      </c>
      <c r="BP13" s="2" t="s">
        <v>101</v>
      </c>
      <c r="BQ13" s="2" t="s">
        <v>124</v>
      </c>
      <c r="BR13" s="2" t="s">
        <v>126</v>
      </c>
      <c r="BS13" s="2" t="s">
        <v>127</v>
      </c>
      <c r="BT13" s="2" t="s">
        <v>207</v>
      </c>
      <c r="BU13" s="2" t="s">
        <v>208</v>
      </c>
      <c r="BV13" s="2" t="s">
        <v>150</v>
      </c>
      <c r="BW13" s="2" t="s">
        <v>151</v>
      </c>
      <c r="BX13" s="2" t="s">
        <v>139</v>
      </c>
      <c r="BY1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3" s="2">
        <f>IF(AND(Cases[[#This Row],[Priority Level]]&gt;=3,Cases[[#This Row],[System Role]]&lt;&gt;"Productive"),1,0)</f>
        <v>0</v>
      </c>
      <c r="CA13" s="2">
        <f>IFERROR(IF(Cases[[#This Row],[Days at Customer]]&gt;MAX(1,Cases[[#This Row],[Days at SAP]]*2),1,0),0)</f>
        <v>0</v>
      </c>
      <c r="CB13" s="2">
        <f>IF(AND(Cases[[#This Row],[Initial Component]]&lt;&gt;"",Cases[[#This Row],[Component]]&lt;&gt;"",Cases[[#This Row],[Initial Component]]&lt;&gt;Cases[[#This Row],[Component]]),1,0)</f>
        <v>0</v>
      </c>
      <c r="CC13" s="2">
        <f>IF(OR(Cases[[#This Row],[Is Reopened]]="X",Cases[[#This Row],[No. of Reopenings]]&gt;0),1,0)</f>
        <v>0</v>
      </c>
      <c r="CD13" s="2">
        <f>IF(Cases[[#This Row],[Confirmation Type]]="Automatic",1,0)</f>
        <v>0</v>
      </c>
      <c r="CE13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14" spans="1:83" x14ac:dyDescent="0.2">
      <c r="A14" s="1" t="s">
        <v>235</v>
      </c>
      <c r="B14" s="2" t="s">
        <v>236</v>
      </c>
      <c r="C14" s="2" t="s">
        <v>237</v>
      </c>
      <c r="D14" s="2" t="s">
        <v>238</v>
      </c>
      <c r="E14" s="3">
        <v>0.21</v>
      </c>
      <c r="F14" s="3">
        <v>21.51</v>
      </c>
      <c r="G14" s="2" t="s">
        <v>79</v>
      </c>
      <c r="H14" s="2" t="s">
        <v>178</v>
      </c>
      <c r="I14" s="3" t="s">
        <v>114</v>
      </c>
      <c r="J14" s="3">
        <v>23</v>
      </c>
      <c r="K14" s="2" t="s">
        <v>239</v>
      </c>
      <c r="L14" s="4">
        <v>46127</v>
      </c>
      <c r="M14" s="4">
        <v>46126</v>
      </c>
      <c r="N14" s="2" t="s">
        <v>83</v>
      </c>
      <c r="O14" s="2" t="s">
        <v>84</v>
      </c>
      <c r="P14" s="2" t="s">
        <v>193</v>
      </c>
      <c r="Q14" s="2" t="s">
        <v>86</v>
      </c>
      <c r="R14" s="2" t="s">
        <v>240</v>
      </c>
      <c r="S14" s="4">
        <v>46104</v>
      </c>
      <c r="T14" s="2" t="s">
        <v>180</v>
      </c>
      <c r="U14" s="2" t="s">
        <v>181</v>
      </c>
      <c r="V14" s="2" t="s">
        <v>195</v>
      </c>
      <c r="W14" s="2" t="s">
        <v>86</v>
      </c>
      <c r="X14" s="2" t="s">
        <v>117</v>
      </c>
      <c r="Y14" s="3" t="s">
        <v>118</v>
      </c>
      <c r="Z14" s="3">
        <v>21.73</v>
      </c>
      <c r="AA14" s="2" t="s">
        <v>90</v>
      </c>
      <c r="AB14" s="2" t="s">
        <v>240</v>
      </c>
      <c r="AC14" s="2" t="s">
        <v>237</v>
      </c>
      <c r="AD14" t="str" cm="1">
        <f t="array" ref="AD1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14" s="2" t="s">
        <v>158</v>
      </c>
      <c r="AF14" s="2" t="s">
        <v>92</v>
      </c>
      <c r="AG14" s="2" t="s">
        <v>119</v>
      </c>
      <c r="AH14" s="2" t="s">
        <v>120</v>
      </c>
      <c r="AK14" s="2" t="s">
        <v>241</v>
      </c>
      <c r="AN14" s="3">
        <v>1</v>
      </c>
      <c r="AO14" s="3">
        <v>1</v>
      </c>
      <c r="AP14" s="3">
        <v>1</v>
      </c>
      <c r="AQ14" s="3">
        <v>1</v>
      </c>
      <c r="AR14" s="3">
        <v>0</v>
      </c>
      <c r="AS14" s="3">
        <v>1</v>
      </c>
      <c r="AT14" s="3">
        <v>0</v>
      </c>
      <c r="AU14" s="3">
        <v>0</v>
      </c>
      <c r="AV14" s="3">
        <v>1</v>
      </c>
      <c r="AW14" s="3">
        <v>0</v>
      </c>
      <c r="AX14" s="3">
        <v>0</v>
      </c>
      <c r="AY14" s="3">
        <v>1</v>
      </c>
      <c r="AZ14" s="3">
        <v>0</v>
      </c>
      <c r="BA14" s="3">
        <v>0</v>
      </c>
      <c r="BB14" s="3">
        <v>0</v>
      </c>
      <c r="BC14" s="3">
        <v>1</v>
      </c>
      <c r="BD14" s="3">
        <v>0</v>
      </c>
      <c r="BE14" s="3">
        <v>0</v>
      </c>
      <c r="BG14" s="2" t="s">
        <v>158</v>
      </c>
      <c r="BH14" s="3">
        <v>1</v>
      </c>
      <c r="BJ14" s="2" t="s">
        <v>96</v>
      </c>
      <c r="BL14" s="2" t="s">
        <v>123</v>
      </c>
      <c r="BM14" s="2" t="s">
        <v>123</v>
      </c>
      <c r="BN14" s="2" t="s">
        <v>124</v>
      </c>
      <c r="BO14" s="2" t="s">
        <v>125</v>
      </c>
      <c r="BP14" s="2" t="s">
        <v>242</v>
      </c>
      <c r="BQ14" s="2" t="s">
        <v>124</v>
      </c>
      <c r="BR14" s="2" t="s">
        <v>126</v>
      </c>
      <c r="BS14" s="2" t="s">
        <v>127</v>
      </c>
      <c r="BT14" s="2" t="s">
        <v>207</v>
      </c>
      <c r="BU14" s="2" t="s">
        <v>208</v>
      </c>
      <c r="BV14" s="2" t="s">
        <v>150</v>
      </c>
      <c r="BW14" s="2" t="s">
        <v>151</v>
      </c>
      <c r="BX14" s="2" t="s">
        <v>158</v>
      </c>
      <c r="BY1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4" s="2">
        <f>IF(AND(Cases[[#This Row],[Priority Level]]&gt;=3,Cases[[#This Row],[System Role]]&lt;&gt;"Productive"),1,0)</f>
        <v>0</v>
      </c>
      <c r="CA14" s="2">
        <f>IFERROR(IF(Cases[[#This Row],[Days at Customer]]&gt;MAX(1,Cases[[#This Row],[Days at SAP]]*2),1,0),0)</f>
        <v>1</v>
      </c>
      <c r="CB14" s="2">
        <f>IF(AND(Cases[[#This Row],[Initial Component]]&lt;&gt;"",Cases[[#This Row],[Component]]&lt;&gt;"",Cases[[#This Row],[Initial Component]]&lt;&gt;Cases[[#This Row],[Component]]),1,0)</f>
        <v>0</v>
      </c>
      <c r="CC14" s="2">
        <f>IF(OR(Cases[[#This Row],[Is Reopened]]="X",Cases[[#This Row],[No. of Reopenings]]&gt;0),1,0)</f>
        <v>0</v>
      </c>
      <c r="CD14" s="2">
        <f>IF(Cases[[#This Row],[Confirmation Type]]="Automatic",1,0)</f>
        <v>1</v>
      </c>
      <c r="CE14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5" spans="1:83" x14ac:dyDescent="0.2">
      <c r="A15" s="1" t="s">
        <v>243</v>
      </c>
      <c r="B15" s="2" t="s">
        <v>244</v>
      </c>
      <c r="C15" s="2" t="s">
        <v>245</v>
      </c>
      <c r="D15" s="2" t="s">
        <v>78</v>
      </c>
      <c r="E15" s="3">
        <v>0.72</v>
      </c>
      <c r="F15" s="3">
        <v>1.02</v>
      </c>
      <c r="G15" s="2" t="s">
        <v>79</v>
      </c>
      <c r="H15" s="2" t="s">
        <v>155</v>
      </c>
      <c r="I15" s="3" t="s">
        <v>114</v>
      </c>
      <c r="J15" s="3">
        <v>23</v>
      </c>
      <c r="K15" s="2" t="s">
        <v>246</v>
      </c>
      <c r="L15" s="4">
        <v>46110</v>
      </c>
      <c r="M15" s="4">
        <v>46106</v>
      </c>
      <c r="N15" s="2" t="s">
        <v>180</v>
      </c>
      <c r="O15" s="2" t="s">
        <v>181</v>
      </c>
      <c r="P15" s="2" t="s">
        <v>195</v>
      </c>
      <c r="Q15" s="2" t="s">
        <v>86</v>
      </c>
      <c r="R15" s="2" t="s">
        <v>247</v>
      </c>
      <c r="S15" s="4">
        <v>46104</v>
      </c>
      <c r="T15" s="2" t="s">
        <v>180</v>
      </c>
      <c r="U15" s="2" t="s">
        <v>181</v>
      </c>
      <c r="V15" s="2" t="s">
        <v>195</v>
      </c>
      <c r="W15" s="2" t="s">
        <v>86</v>
      </c>
      <c r="X15" s="2" t="s">
        <v>117</v>
      </c>
      <c r="Y15" s="3" t="s">
        <v>118</v>
      </c>
      <c r="Z15" s="3">
        <v>1.74</v>
      </c>
      <c r="AA15" s="2" t="s">
        <v>90</v>
      </c>
      <c r="AB15" s="2" t="s">
        <v>247</v>
      </c>
      <c r="AC15" s="2" t="s">
        <v>245</v>
      </c>
      <c r="AD15" t="str" cm="1">
        <f t="array" ref="AD1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15" s="2" t="s">
        <v>91</v>
      </c>
      <c r="AF15" s="2" t="s">
        <v>92</v>
      </c>
      <c r="AG15" s="2" t="s">
        <v>119</v>
      </c>
      <c r="AH15" s="2" t="s">
        <v>120</v>
      </c>
      <c r="AK15" s="2" t="s">
        <v>248</v>
      </c>
      <c r="AN15" s="3">
        <v>1</v>
      </c>
      <c r="AO15" s="3">
        <v>1</v>
      </c>
      <c r="AP15" s="3">
        <v>1</v>
      </c>
      <c r="AQ15" s="3">
        <v>1</v>
      </c>
      <c r="AR15" s="3">
        <v>0</v>
      </c>
      <c r="AS15" s="3">
        <v>0</v>
      </c>
      <c r="AT15" s="3">
        <v>0</v>
      </c>
      <c r="AU15" s="3">
        <v>1</v>
      </c>
      <c r="AV15" s="3">
        <v>0</v>
      </c>
      <c r="AW15" s="3">
        <v>1</v>
      </c>
      <c r="AX15" s="3">
        <v>0</v>
      </c>
      <c r="AY15" s="3">
        <v>0</v>
      </c>
      <c r="AZ15" s="3">
        <v>0</v>
      </c>
      <c r="BA15" s="3">
        <v>1</v>
      </c>
      <c r="BB15" s="3">
        <v>0</v>
      </c>
      <c r="BC15" s="3">
        <v>0</v>
      </c>
      <c r="BD15" s="3">
        <v>0</v>
      </c>
      <c r="BE15" s="3">
        <v>1</v>
      </c>
      <c r="BG15" s="2" t="s">
        <v>182</v>
      </c>
      <c r="BH15" s="3">
        <v>4</v>
      </c>
      <c r="BJ15" s="2" t="s">
        <v>96</v>
      </c>
      <c r="BL15" s="2" t="s">
        <v>123</v>
      </c>
      <c r="BM15" s="2" t="s">
        <v>123</v>
      </c>
      <c r="BN15" s="2" t="s">
        <v>124</v>
      </c>
      <c r="BO15" s="2" t="s">
        <v>125</v>
      </c>
      <c r="BP15" s="2" t="s">
        <v>101</v>
      </c>
      <c r="BQ15" s="2" t="s">
        <v>124</v>
      </c>
      <c r="BR15" s="2" t="s">
        <v>126</v>
      </c>
      <c r="BS15" s="2" t="s">
        <v>127</v>
      </c>
      <c r="BT15" s="2" t="s">
        <v>199</v>
      </c>
      <c r="BU15" s="2" t="s">
        <v>200</v>
      </c>
      <c r="BV15" s="2" t="s">
        <v>166</v>
      </c>
      <c r="BW15" s="2" t="s">
        <v>167</v>
      </c>
      <c r="BX15" s="2" t="s">
        <v>182</v>
      </c>
      <c r="BY1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5" s="2">
        <f>IF(AND(Cases[[#This Row],[Priority Level]]&gt;=3,Cases[[#This Row],[System Role]]&lt;&gt;"Productive"),1,0)</f>
        <v>1</v>
      </c>
      <c r="CA15" s="2">
        <f>IFERROR(IF(Cases[[#This Row],[Days at Customer]]&gt;MAX(1,Cases[[#This Row],[Days at SAP]]*2),1,0),0)</f>
        <v>0</v>
      </c>
      <c r="CB15" s="2">
        <f>IF(AND(Cases[[#This Row],[Initial Component]]&lt;&gt;"",Cases[[#This Row],[Component]]&lt;&gt;"",Cases[[#This Row],[Initial Component]]&lt;&gt;Cases[[#This Row],[Component]]),1,0)</f>
        <v>0</v>
      </c>
      <c r="CC15" s="2">
        <f>IF(OR(Cases[[#This Row],[Is Reopened]]="X",Cases[[#This Row],[No. of Reopenings]]&gt;0),1,0)</f>
        <v>0</v>
      </c>
      <c r="CD15" s="2">
        <f>IF(Cases[[#This Row],[Confirmation Type]]="Automatic",1,0)</f>
        <v>0</v>
      </c>
      <c r="CE15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6" spans="1:83" x14ac:dyDescent="0.2">
      <c r="A16" s="1" t="s">
        <v>249</v>
      </c>
      <c r="B16" s="2" t="s">
        <v>250</v>
      </c>
      <c r="C16" s="2" t="s">
        <v>231</v>
      </c>
      <c r="D16" s="2" t="s">
        <v>78</v>
      </c>
      <c r="E16" s="3">
        <v>0.37</v>
      </c>
      <c r="F16" s="3">
        <v>0.45</v>
      </c>
      <c r="G16" s="2" t="s">
        <v>251</v>
      </c>
      <c r="H16" s="2" t="s">
        <v>252</v>
      </c>
      <c r="I16" s="3" t="s">
        <v>114</v>
      </c>
      <c r="J16" s="3">
        <v>23</v>
      </c>
      <c r="K16" s="2" t="s">
        <v>253</v>
      </c>
      <c r="L16" s="4">
        <v>46110</v>
      </c>
      <c r="M16" s="4">
        <v>46105</v>
      </c>
      <c r="N16" s="2" t="s">
        <v>180</v>
      </c>
      <c r="O16" s="2" t="s">
        <v>181</v>
      </c>
      <c r="P16" s="2" t="s">
        <v>195</v>
      </c>
      <c r="Q16" s="2" t="s">
        <v>86</v>
      </c>
      <c r="R16" s="2" t="s">
        <v>233</v>
      </c>
      <c r="S16" s="4">
        <v>46104</v>
      </c>
      <c r="T16" s="2" t="s">
        <v>180</v>
      </c>
      <c r="U16" s="2" t="s">
        <v>181</v>
      </c>
      <c r="V16" s="2" t="s">
        <v>195</v>
      </c>
      <c r="W16" s="2" t="s">
        <v>86</v>
      </c>
      <c r="X16" s="2" t="s">
        <v>117</v>
      </c>
      <c r="Y16" s="3" t="s">
        <v>118</v>
      </c>
      <c r="Z16" s="3">
        <v>0.82</v>
      </c>
      <c r="AA16" s="2" t="s">
        <v>90</v>
      </c>
      <c r="AB16" s="2" t="s">
        <v>233</v>
      </c>
      <c r="AC16" s="2" t="s">
        <v>231</v>
      </c>
      <c r="AD16" t="str" cm="1">
        <f t="array" ref="AD1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16" s="2" t="s">
        <v>91</v>
      </c>
      <c r="AF16" s="2" t="s">
        <v>92</v>
      </c>
      <c r="AG16" s="2" t="s">
        <v>119</v>
      </c>
      <c r="AH16" s="2" t="s">
        <v>120</v>
      </c>
      <c r="AJ16" s="2" t="s">
        <v>122</v>
      </c>
      <c r="AK16" s="2" t="s">
        <v>254</v>
      </c>
      <c r="AN16" s="3">
        <v>1</v>
      </c>
      <c r="AO16" s="3">
        <v>1</v>
      </c>
      <c r="AP16" s="3">
        <v>1</v>
      </c>
      <c r="AQ16" s="3">
        <v>1</v>
      </c>
      <c r="AR16" s="3">
        <v>1</v>
      </c>
      <c r="AS16" s="3">
        <v>0</v>
      </c>
      <c r="AT16" s="3">
        <v>0</v>
      </c>
      <c r="AU16" s="3">
        <v>0</v>
      </c>
      <c r="AV16" s="3">
        <v>0</v>
      </c>
      <c r="AW16" s="3">
        <v>1</v>
      </c>
      <c r="AX16" s="3">
        <v>1</v>
      </c>
      <c r="AY16" s="3">
        <v>0</v>
      </c>
      <c r="AZ16" s="3">
        <v>0</v>
      </c>
      <c r="BA16" s="3">
        <v>0</v>
      </c>
      <c r="BB16" s="3">
        <v>0</v>
      </c>
      <c r="BC16" s="3">
        <v>1</v>
      </c>
      <c r="BD16" s="3">
        <v>1</v>
      </c>
      <c r="BE16" s="3">
        <v>0</v>
      </c>
      <c r="BG16" s="2" t="s">
        <v>91</v>
      </c>
      <c r="BH16" s="3">
        <v>3</v>
      </c>
      <c r="BJ16" s="2" t="s">
        <v>96</v>
      </c>
      <c r="BL16" s="2" t="s">
        <v>123</v>
      </c>
      <c r="BM16" s="2" t="s">
        <v>123</v>
      </c>
      <c r="BN16" s="2" t="s">
        <v>124</v>
      </c>
      <c r="BO16" s="2" t="s">
        <v>125</v>
      </c>
      <c r="BP16" s="2" t="s">
        <v>101</v>
      </c>
      <c r="BQ16" s="2" t="s">
        <v>124</v>
      </c>
      <c r="BR16" s="2" t="s">
        <v>126</v>
      </c>
      <c r="BS16" s="2" t="s">
        <v>127</v>
      </c>
      <c r="BT16" s="2" t="s">
        <v>174</v>
      </c>
      <c r="BU16" s="2" t="s">
        <v>175</v>
      </c>
      <c r="BV16" s="2" t="s">
        <v>150</v>
      </c>
      <c r="BW16" s="2" t="s">
        <v>151</v>
      </c>
      <c r="BX16" s="2" t="s">
        <v>91</v>
      </c>
      <c r="BY1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6" s="2">
        <f>IF(AND(Cases[[#This Row],[Priority Level]]&gt;=3,Cases[[#This Row],[System Role]]&lt;&gt;"Productive"),1,0)</f>
        <v>0</v>
      </c>
      <c r="CA16" s="2">
        <f>IFERROR(IF(Cases[[#This Row],[Days at Customer]]&gt;MAX(1,Cases[[#This Row],[Days at SAP]]*2),1,0),0)</f>
        <v>0</v>
      </c>
      <c r="CB16" s="2">
        <f>IF(AND(Cases[[#This Row],[Initial Component]]&lt;&gt;"",Cases[[#This Row],[Component]]&lt;&gt;"",Cases[[#This Row],[Initial Component]]&lt;&gt;Cases[[#This Row],[Component]]),1,0)</f>
        <v>0</v>
      </c>
      <c r="CC16" s="2">
        <f>IF(OR(Cases[[#This Row],[Is Reopened]]="X",Cases[[#This Row],[No. of Reopenings]]&gt;0),1,0)</f>
        <v>1</v>
      </c>
      <c r="CD16" s="2">
        <f>IF(Cases[[#This Row],[Confirmation Type]]="Automatic",1,0)</f>
        <v>0</v>
      </c>
      <c r="CE1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7" spans="1:83" x14ac:dyDescent="0.2">
      <c r="A17" s="1" t="s">
        <v>255</v>
      </c>
      <c r="B17" s="2" t="s">
        <v>256</v>
      </c>
      <c r="C17" s="2" t="s">
        <v>257</v>
      </c>
      <c r="D17" s="2" t="s">
        <v>78</v>
      </c>
      <c r="E17" s="3">
        <v>2.92</v>
      </c>
      <c r="F17" s="3">
        <v>0.42</v>
      </c>
      <c r="G17" s="2" t="s">
        <v>79</v>
      </c>
      <c r="H17" s="2" t="s">
        <v>80</v>
      </c>
      <c r="I17" s="3" t="s">
        <v>114</v>
      </c>
      <c r="J17" s="3">
        <v>26</v>
      </c>
      <c r="K17" s="2" t="s">
        <v>258</v>
      </c>
      <c r="L17" s="4">
        <v>46124</v>
      </c>
      <c r="M17" s="4">
        <v>46105</v>
      </c>
      <c r="N17" s="2" t="s">
        <v>180</v>
      </c>
      <c r="O17" s="2" t="s">
        <v>181</v>
      </c>
      <c r="P17" s="2" t="s">
        <v>195</v>
      </c>
      <c r="Q17" s="2" t="s">
        <v>86</v>
      </c>
      <c r="R17" s="2" t="s">
        <v>259</v>
      </c>
      <c r="S17" s="4">
        <v>46101</v>
      </c>
      <c r="T17" s="2" t="s">
        <v>180</v>
      </c>
      <c r="U17" s="2" t="s">
        <v>181</v>
      </c>
      <c r="V17" s="2" t="s">
        <v>260</v>
      </c>
      <c r="W17" s="2" t="s">
        <v>86</v>
      </c>
      <c r="X17" s="2" t="s">
        <v>117</v>
      </c>
      <c r="Y17" s="3" t="s">
        <v>118</v>
      </c>
      <c r="Z17" s="3">
        <v>3.34</v>
      </c>
      <c r="AA17" s="2" t="s">
        <v>138</v>
      </c>
      <c r="AB17" s="2" t="s">
        <v>259</v>
      </c>
      <c r="AC17" s="2" t="s">
        <v>257</v>
      </c>
      <c r="AD17" t="str" cm="1">
        <f t="array" ref="AD1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17" s="2" t="s">
        <v>182</v>
      </c>
      <c r="AF17" s="2" t="s">
        <v>92</v>
      </c>
      <c r="AG17" s="2" t="s">
        <v>140</v>
      </c>
      <c r="AH17" s="2" t="s">
        <v>141</v>
      </c>
      <c r="AJ17" s="2" t="s">
        <v>122</v>
      </c>
      <c r="AK17" s="2" t="s">
        <v>261</v>
      </c>
      <c r="AN17" s="3">
        <v>1</v>
      </c>
      <c r="AO17" s="3">
        <v>1</v>
      </c>
      <c r="AP17" s="3">
        <v>1</v>
      </c>
      <c r="AQ17" s="3">
        <v>1</v>
      </c>
      <c r="AR17" s="3">
        <v>0</v>
      </c>
      <c r="AS17" s="3">
        <v>1</v>
      </c>
      <c r="AT17" s="3">
        <v>0</v>
      </c>
      <c r="AU17" s="3">
        <v>0</v>
      </c>
      <c r="AV17" s="3">
        <v>0</v>
      </c>
      <c r="AW17" s="3">
        <v>1</v>
      </c>
      <c r="AX17" s="3">
        <v>0</v>
      </c>
      <c r="AY17" s="3">
        <v>1</v>
      </c>
      <c r="AZ17" s="3">
        <v>0</v>
      </c>
      <c r="BA17" s="3">
        <v>1</v>
      </c>
      <c r="BB17" s="3">
        <v>0</v>
      </c>
      <c r="BC17" s="3">
        <v>0</v>
      </c>
      <c r="BD17" s="3">
        <v>1</v>
      </c>
      <c r="BE17" s="3">
        <v>0</v>
      </c>
      <c r="BG17" s="2" t="s">
        <v>158</v>
      </c>
      <c r="BH17" s="3">
        <v>1</v>
      </c>
      <c r="BJ17" s="2" t="s">
        <v>96</v>
      </c>
      <c r="BL17" s="2" t="s">
        <v>143</v>
      </c>
      <c r="BM17" s="2" t="s">
        <v>144</v>
      </c>
      <c r="BN17" s="2" t="s">
        <v>99</v>
      </c>
      <c r="BO17" s="2" t="s">
        <v>100</v>
      </c>
      <c r="BP17" s="2" t="s">
        <v>101</v>
      </c>
      <c r="BQ17" s="2" t="s">
        <v>145</v>
      </c>
      <c r="BR17" s="2" t="s">
        <v>146</v>
      </c>
      <c r="BS17" s="2" t="s">
        <v>147</v>
      </c>
      <c r="BT17" s="2" t="s">
        <v>148</v>
      </c>
      <c r="BU17" s="2" t="s">
        <v>262</v>
      </c>
      <c r="BV17" s="2" t="s">
        <v>107</v>
      </c>
      <c r="BW17" s="2" t="s">
        <v>108</v>
      </c>
      <c r="BX17" s="2" t="s">
        <v>182</v>
      </c>
      <c r="BY1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7" s="2">
        <f>IF(AND(Cases[[#This Row],[Priority Level]]&gt;=3,Cases[[#This Row],[System Role]]&lt;&gt;"Productive"),1,0)</f>
        <v>0</v>
      </c>
      <c r="CA17" s="2">
        <f>IFERROR(IF(Cases[[#This Row],[Days at Customer]]&gt;MAX(1,Cases[[#This Row],[Days at SAP]]*2),1,0),0)</f>
        <v>0</v>
      </c>
      <c r="CB17" s="2">
        <f>IF(AND(Cases[[#This Row],[Initial Component]]&lt;&gt;"",Cases[[#This Row],[Component]]&lt;&gt;"",Cases[[#This Row],[Initial Component]]&lt;&gt;Cases[[#This Row],[Component]]),1,0)</f>
        <v>0</v>
      </c>
      <c r="CC17" s="2">
        <f>IF(OR(Cases[[#This Row],[Is Reopened]]="X",Cases[[#This Row],[No. of Reopenings]]&gt;0),1,0)</f>
        <v>1</v>
      </c>
      <c r="CD17" s="2">
        <f>IF(Cases[[#This Row],[Confirmation Type]]="Automatic",1,0)</f>
        <v>0</v>
      </c>
      <c r="CE17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8" spans="1:83" x14ac:dyDescent="0.2">
      <c r="A18" s="1" t="s">
        <v>2439</v>
      </c>
      <c r="B18" s="2" t="s">
        <v>2440</v>
      </c>
      <c r="C18" s="2" t="s">
        <v>111</v>
      </c>
      <c r="D18" s="2" t="s">
        <v>78</v>
      </c>
      <c r="E18" s="3">
        <v>0</v>
      </c>
      <c r="F18" s="3">
        <v>11.34</v>
      </c>
      <c r="G18" s="2" t="s">
        <v>112</v>
      </c>
      <c r="H18" s="2" t="s">
        <v>113</v>
      </c>
      <c r="I18" s="3" t="s">
        <v>114</v>
      </c>
      <c r="J18" s="3">
        <v>148</v>
      </c>
      <c r="K18" s="2" t="s">
        <v>2441</v>
      </c>
      <c r="L18" s="4">
        <v>46009</v>
      </c>
      <c r="M18" s="4">
        <v>45996</v>
      </c>
      <c r="N18" s="2" t="s">
        <v>1804</v>
      </c>
      <c r="O18" s="2" t="s">
        <v>1805</v>
      </c>
      <c r="P18" s="2" t="s">
        <v>2169</v>
      </c>
      <c r="Q18" s="2" t="s">
        <v>1806</v>
      </c>
      <c r="R18" s="2" t="s">
        <v>116</v>
      </c>
      <c r="S18" s="4">
        <v>45979</v>
      </c>
      <c r="T18" s="2" t="s">
        <v>2274</v>
      </c>
      <c r="U18" s="2" t="s">
        <v>1805</v>
      </c>
      <c r="V18" s="2" t="s">
        <v>2404</v>
      </c>
      <c r="W18" s="2" t="s">
        <v>1806</v>
      </c>
      <c r="X18" s="2" t="s">
        <v>117</v>
      </c>
      <c r="Y18" s="3" t="s">
        <v>118</v>
      </c>
      <c r="Z18" s="3">
        <v>11.34</v>
      </c>
      <c r="AA18" s="2" t="s">
        <v>90</v>
      </c>
      <c r="AB18" s="2" t="s">
        <v>116</v>
      </c>
      <c r="AC18" s="2" t="s">
        <v>111</v>
      </c>
      <c r="AD18" t="str" cm="1">
        <f t="array" ref="AD1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18" s="2" t="s">
        <v>139</v>
      </c>
      <c r="AF18" s="2" t="s">
        <v>92</v>
      </c>
      <c r="AG18" s="2" t="s">
        <v>119</v>
      </c>
      <c r="AH18" s="2" t="s">
        <v>120</v>
      </c>
      <c r="AK18" s="2" t="s">
        <v>2442</v>
      </c>
      <c r="AN18" s="3">
        <v>1</v>
      </c>
      <c r="AO18" s="3">
        <v>1</v>
      </c>
      <c r="AP18" s="3">
        <v>1</v>
      </c>
      <c r="AQ18" s="3">
        <v>1</v>
      </c>
      <c r="AR18" s="3">
        <v>0</v>
      </c>
      <c r="AS18" s="3">
        <v>0</v>
      </c>
      <c r="AT18" s="3">
        <v>1</v>
      </c>
      <c r="AU18" s="3">
        <v>0</v>
      </c>
      <c r="AV18" s="3">
        <v>0</v>
      </c>
      <c r="AW18" s="3">
        <v>1</v>
      </c>
      <c r="AX18" s="3">
        <v>0</v>
      </c>
      <c r="AY18" s="3">
        <v>0</v>
      </c>
      <c r="AZ18" s="3">
        <v>1</v>
      </c>
      <c r="BA18" s="3">
        <v>0</v>
      </c>
      <c r="BB18" s="3">
        <v>0</v>
      </c>
      <c r="BC18" s="3">
        <v>1</v>
      </c>
      <c r="BD18" s="3">
        <v>0</v>
      </c>
      <c r="BE18" s="3">
        <v>0</v>
      </c>
      <c r="BG18" s="2" t="s">
        <v>139</v>
      </c>
      <c r="BH18" s="3">
        <v>2</v>
      </c>
      <c r="BI18" s="2" t="s">
        <v>122</v>
      </c>
      <c r="BJ18" s="2" t="s">
        <v>96</v>
      </c>
      <c r="BL18" s="2" t="s">
        <v>123</v>
      </c>
      <c r="BM18" s="2" t="s">
        <v>123</v>
      </c>
      <c r="BN18" s="2" t="s">
        <v>124</v>
      </c>
      <c r="BO18" s="2" t="s">
        <v>125</v>
      </c>
      <c r="BP18" s="2" t="s">
        <v>101</v>
      </c>
      <c r="BQ18" s="2" t="s">
        <v>124</v>
      </c>
      <c r="BR18" s="2" t="s">
        <v>126</v>
      </c>
      <c r="BS18" s="2" t="s">
        <v>127</v>
      </c>
      <c r="BT18" s="2" t="s">
        <v>207</v>
      </c>
      <c r="BU18" s="2" t="s">
        <v>208</v>
      </c>
      <c r="BV18" s="2" t="s">
        <v>150</v>
      </c>
      <c r="BW18" s="2" t="s">
        <v>151</v>
      </c>
      <c r="BX18" s="2" t="s">
        <v>139</v>
      </c>
      <c r="BY1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8" s="2">
        <f>IF(AND(Cases[[#This Row],[Priority Level]]&gt;=3,Cases[[#This Row],[System Role]]&lt;&gt;"Productive"),1,0)</f>
        <v>0</v>
      </c>
      <c r="CA18" s="2">
        <f>IFERROR(IF(Cases[[#This Row],[Days at Customer]]&gt;MAX(1,Cases[[#This Row],[Days at SAP]]*2),1,0),0)</f>
        <v>1</v>
      </c>
      <c r="CB18" s="2">
        <f>IF(AND(Cases[[#This Row],[Initial Component]]&lt;&gt;"",Cases[[#This Row],[Component]]&lt;&gt;"",Cases[[#This Row],[Initial Component]]&lt;&gt;Cases[[#This Row],[Component]]),1,0)</f>
        <v>0</v>
      </c>
      <c r="CC18" s="2">
        <f>IF(OR(Cases[[#This Row],[Is Reopened]]="X",Cases[[#This Row],[No. of Reopenings]]&gt;0),1,0)</f>
        <v>0</v>
      </c>
      <c r="CD18" s="2">
        <f>IF(Cases[[#This Row],[Confirmation Type]]="Automatic",1,0)</f>
        <v>0</v>
      </c>
      <c r="CE1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9" spans="1:83" x14ac:dyDescent="0.2">
      <c r="A19" s="1" t="s">
        <v>2489</v>
      </c>
      <c r="B19" s="2" t="s">
        <v>2490</v>
      </c>
      <c r="C19" s="2" t="s">
        <v>639</v>
      </c>
      <c r="D19" s="2" t="s">
        <v>238</v>
      </c>
      <c r="E19" s="3">
        <v>0.76</v>
      </c>
      <c r="F19" s="3">
        <v>25.54</v>
      </c>
      <c r="G19" s="2" t="s">
        <v>79</v>
      </c>
      <c r="H19" s="2" t="s">
        <v>80</v>
      </c>
      <c r="I19" s="3" t="s">
        <v>114</v>
      </c>
      <c r="J19" s="3">
        <v>152</v>
      </c>
      <c r="K19" s="2" t="s">
        <v>2491</v>
      </c>
      <c r="L19" s="4">
        <v>46009</v>
      </c>
      <c r="M19" s="4">
        <v>46002</v>
      </c>
      <c r="N19" s="2" t="s">
        <v>1804</v>
      </c>
      <c r="O19" s="2" t="s">
        <v>1805</v>
      </c>
      <c r="P19" s="2" t="s">
        <v>2037</v>
      </c>
      <c r="Q19" s="2" t="s">
        <v>1806</v>
      </c>
      <c r="R19" s="2" t="s">
        <v>641</v>
      </c>
      <c r="S19" s="4">
        <v>45975</v>
      </c>
      <c r="T19" s="2" t="s">
        <v>2274</v>
      </c>
      <c r="U19" s="2" t="s">
        <v>1805</v>
      </c>
      <c r="V19" s="2" t="s">
        <v>2467</v>
      </c>
      <c r="W19" s="2" t="s">
        <v>1806</v>
      </c>
      <c r="X19" s="2" t="s">
        <v>117</v>
      </c>
      <c r="Y19" s="3" t="s">
        <v>118</v>
      </c>
      <c r="Z19" s="3">
        <v>26.3</v>
      </c>
      <c r="AA19" s="2" t="s">
        <v>90</v>
      </c>
      <c r="AB19" s="2" t="s">
        <v>641</v>
      </c>
      <c r="AC19" s="2" t="s">
        <v>639</v>
      </c>
      <c r="AD19" t="str" cm="1">
        <f t="array" ref="AD1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19" s="2" t="s">
        <v>91</v>
      </c>
      <c r="AF19" s="2" t="s">
        <v>92</v>
      </c>
      <c r="AG19" s="2" t="s">
        <v>159</v>
      </c>
      <c r="AH19" s="2" t="s">
        <v>160</v>
      </c>
      <c r="AK19" s="2" t="s">
        <v>2492</v>
      </c>
      <c r="AN19" s="3">
        <v>1</v>
      </c>
      <c r="AO19" s="3">
        <v>1</v>
      </c>
      <c r="AP19" s="3">
        <v>1</v>
      </c>
      <c r="AQ19" s="3">
        <v>1</v>
      </c>
      <c r="AR19" s="3">
        <v>1</v>
      </c>
      <c r="AS19" s="3">
        <v>0</v>
      </c>
      <c r="AT19" s="3">
        <v>0</v>
      </c>
      <c r="AU19" s="3">
        <v>0</v>
      </c>
      <c r="AV19" s="3">
        <v>1</v>
      </c>
      <c r="AW19" s="3">
        <v>0</v>
      </c>
      <c r="AX19" s="3">
        <v>1</v>
      </c>
      <c r="AY19" s="3">
        <v>0</v>
      </c>
      <c r="AZ19" s="3">
        <v>0</v>
      </c>
      <c r="BA19" s="3">
        <v>1</v>
      </c>
      <c r="BB19" s="3">
        <v>0</v>
      </c>
      <c r="BC19" s="3">
        <v>0</v>
      </c>
      <c r="BD19" s="3">
        <v>0</v>
      </c>
      <c r="BE19" s="3">
        <v>0</v>
      </c>
      <c r="BG19" s="2" t="s">
        <v>91</v>
      </c>
      <c r="BH19" s="3">
        <v>3</v>
      </c>
      <c r="BJ19" s="2" t="s">
        <v>96</v>
      </c>
      <c r="BL19" s="2" t="s">
        <v>643</v>
      </c>
      <c r="BM19" s="2" t="s">
        <v>644</v>
      </c>
      <c r="BN19" s="2" t="s">
        <v>99</v>
      </c>
      <c r="BO19" s="2" t="s">
        <v>100</v>
      </c>
      <c r="BP19" s="2" t="s">
        <v>242</v>
      </c>
      <c r="BQ19" s="2" t="s">
        <v>102</v>
      </c>
      <c r="BR19" s="2" t="s">
        <v>103</v>
      </c>
      <c r="BS19" s="2" t="s">
        <v>713</v>
      </c>
      <c r="BT19" s="2" t="s">
        <v>645</v>
      </c>
      <c r="BU19" s="2" t="s">
        <v>2493</v>
      </c>
      <c r="BV19" s="2" t="s">
        <v>107</v>
      </c>
      <c r="BW19" s="2" t="s">
        <v>108</v>
      </c>
      <c r="BX19" s="2" t="s">
        <v>91</v>
      </c>
      <c r="BY1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9" s="2">
        <f>IF(AND(Cases[[#This Row],[Priority Level]]&gt;=3,Cases[[#This Row],[System Role]]&lt;&gt;"Productive"),1,0)</f>
        <v>1</v>
      </c>
      <c r="CA19" s="2">
        <f>IFERROR(IF(Cases[[#This Row],[Days at Customer]]&gt;MAX(1,Cases[[#This Row],[Days at SAP]]*2),1,0),0)</f>
        <v>1</v>
      </c>
      <c r="CB19" s="2">
        <f>IF(AND(Cases[[#This Row],[Initial Component]]&lt;&gt;"",Cases[[#This Row],[Component]]&lt;&gt;"",Cases[[#This Row],[Initial Component]]&lt;&gt;Cases[[#This Row],[Component]]),1,0)</f>
        <v>0</v>
      </c>
      <c r="CC19" s="2">
        <f>IF(OR(Cases[[#This Row],[Is Reopened]]="X",Cases[[#This Row],[No. of Reopenings]]&gt;0),1,0)</f>
        <v>0</v>
      </c>
      <c r="CD19" s="2">
        <f>IF(Cases[[#This Row],[Confirmation Type]]="Automatic",1,0)</f>
        <v>1</v>
      </c>
      <c r="CE19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0" spans="1:83" x14ac:dyDescent="0.2">
      <c r="A20" s="1" t="s">
        <v>2500</v>
      </c>
      <c r="B20" s="2" t="s">
        <v>2501</v>
      </c>
      <c r="C20" s="2" t="s">
        <v>203</v>
      </c>
      <c r="D20" s="2" t="s">
        <v>78</v>
      </c>
      <c r="E20" s="3">
        <v>0</v>
      </c>
      <c r="F20" s="3">
        <v>7.76</v>
      </c>
      <c r="G20" s="2" t="s">
        <v>112</v>
      </c>
      <c r="H20" s="2" t="s">
        <v>113</v>
      </c>
      <c r="I20" s="3" t="s">
        <v>114</v>
      </c>
      <c r="J20" s="3">
        <v>153</v>
      </c>
      <c r="K20" s="2" t="s">
        <v>2502</v>
      </c>
      <c r="L20" s="4">
        <v>46009</v>
      </c>
      <c r="M20" s="4">
        <v>45982</v>
      </c>
      <c r="N20" s="2" t="s">
        <v>2274</v>
      </c>
      <c r="O20" s="2" t="s">
        <v>1805</v>
      </c>
      <c r="P20" s="2" t="s">
        <v>2404</v>
      </c>
      <c r="Q20" s="2" t="s">
        <v>1806</v>
      </c>
      <c r="R20" s="2" t="s">
        <v>205</v>
      </c>
      <c r="S20" s="4">
        <v>45974</v>
      </c>
      <c r="T20" s="2" t="s">
        <v>2274</v>
      </c>
      <c r="U20" s="2" t="s">
        <v>1805</v>
      </c>
      <c r="V20" s="2" t="s">
        <v>2467</v>
      </c>
      <c r="W20" s="2" t="s">
        <v>1806</v>
      </c>
      <c r="X20" s="2" t="s">
        <v>117</v>
      </c>
      <c r="Y20" s="3" t="s">
        <v>118</v>
      </c>
      <c r="Z20" s="3">
        <v>7.76</v>
      </c>
      <c r="AA20" s="2" t="s">
        <v>90</v>
      </c>
      <c r="AB20" s="2" t="s">
        <v>205</v>
      </c>
      <c r="AC20" s="2" t="s">
        <v>203</v>
      </c>
      <c r="AD20" t="str" cm="1">
        <f t="array" ref="AD2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20" s="2" t="s">
        <v>139</v>
      </c>
      <c r="AF20" s="2" t="s">
        <v>92</v>
      </c>
      <c r="AG20" s="2" t="s">
        <v>119</v>
      </c>
      <c r="AH20" s="2" t="s">
        <v>120</v>
      </c>
      <c r="AK20" s="2" t="s">
        <v>2503</v>
      </c>
      <c r="AN20" s="3">
        <v>1</v>
      </c>
      <c r="AO20" s="3">
        <v>1</v>
      </c>
      <c r="AP20" s="3">
        <v>1</v>
      </c>
      <c r="AQ20" s="3">
        <v>1</v>
      </c>
      <c r="AR20" s="3">
        <v>0</v>
      </c>
      <c r="AS20" s="3">
        <v>0</v>
      </c>
      <c r="AT20" s="3">
        <v>1</v>
      </c>
      <c r="AU20" s="3">
        <v>0</v>
      </c>
      <c r="AV20" s="3">
        <v>0</v>
      </c>
      <c r="AW20" s="3">
        <v>1</v>
      </c>
      <c r="AX20" s="3">
        <v>0</v>
      </c>
      <c r="AY20" s="3">
        <v>0</v>
      </c>
      <c r="AZ20" s="3">
        <v>1</v>
      </c>
      <c r="BA20" s="3">
        <v>0</v>
      </c>
      <c r="BB20" s="3">
        <v>0</v>
      </c>
      <c r="BC20" s="3">
        <v>1</v>
      </c>
      <c r="BD20" s="3">
        <v>0</v>
      </c>
      <c r="BE20" s="3">
        <v>0</v>
      </c>
      <c r="BG20" s="2" t="s">
        <v>139</v>
      </c>
      <c r="BH20" s="3">
        <v>2</v>
      </c>
      <c r="BI20" s="2" t="s">
        <v>122</v>
      </c>
      <c r="BJ20" s="2" t="s">
        <v>96</v>
      </c>
      <c r="BL20" s="2" t="s">
        <v>123</v>
      </c>
      <c r="BM20" s="2" t="s">
        <v>123</v>
      </c>
      <c r="BN20" s="2" t="s">
        <v>124</v>
      </c>
      <c r="BO20" s="2" t="s">
        <v>125</v>
      </c>
      <c r="BP20" s="2" t="s">
        <v>101</v>
      </c>
      <c r="BQ20" s="2" t="s">
        <v>124</v>
      </c>
      <c r="BR20" s="2" t="s">
        <v>126</v>
      </c>
      <c r="BS20" s="2" t="s">
        <v>127</v>
      </c>
      <c r="BT20" s="2" t="s">
        <v>207</v>
      </c>
      <c r="BU20" s="2" t="s">
        <v>208</v>
      </c>
      <c r="BV20" s="2" t="s">
        <v>150</v>
      </c>
      <c r="BW20" s="2" t="s">
        <v>151</v>
      </c>
      <c r="BX20" s="2" t="s">
        <v>139</v>
      </c>
      <c r="BY2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0" s="2">
        <f>IF(AND(Cases[[#This Row],[Priority Level]]&gt;=3,Cases[[#This Row],[System Role]]&lt;&gt;"Productive"),1,0)</f>
        <v>0</v>
      </c>
      <c r="CA20" s="2">
        <f>IFERROR(IF(Cases[[#This Row],[Days at Customer]]&gt;MAX(1,Cases[[#This Row],[Days at SAP]]*2),1,0),0)</f>
        <v>1</v>
      </c>
      <c r="CB20" s="2">
        <f>IF(AND(Cases[[#This Row],[Initial Component]]&lt;&gt;"",Cases[[#This Row],[Component]]&lt;&gt;"",Cases[[#This Row],[Initial Component]]&lt;&gt;Cases[[#This Row],[Component]]),1,0)</f>
        <v>0</v>
      </c>
      <c r="CC20" s="2">
        <f>IF(OR(Cases[[#This Row],[Is Reopened]]="X",Cases[[#This Row],[No. of Reopenings]]&gt;0),1,0)</f>
        <v>0</v>
      </c>
      <c r="CD20" s="2">
        <f>IF(Cases[[#This Row],[Confirmation Type]]="Automatic",1,0)</f>
        <v>0</v>
      </c>
      <c r="CE20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1" spans="1:83" x14ac:dyDescent="0.2">
      <c r="A21" s="1" t="s">
        <v>287</v>
      </c>
      <c r="B21" s="2" t="s">
        <v>288</v>
      </c>
      <c r="C21" s="2" t="s">
        <v>289</v>
      </c>
      <c r="D21" s="2" t="s">
        <v>238</v>
      </c>
      <c r="E21" s="3">
        <v>0.11</v>
      </c>
      <c r="F21" s="3">
        <v>21.42</v>
      </c>
      <c r="G21" s="2" t="s">
        <v>79</v>
      </c>
      <c r="H21" s="2" t="s">
        <v>290</v>
      </c>
      <c r="I21" s="3" t="s">
        <v>114</v>
      </c>
      <c r="J21" s="3">
        <v>29</v>
      </c>
      <c r="K21" s="2" t="s">
        <v>291</v>
      </c>
      <c r="L21" s="4">
        <v>46124</v>
      </c>
      <c r="M21" s="4">
        <v>46120</v>
      </c>
      <c r="N21" s="2" t="s">
        <v>83</v>
      </c>
      <c r="O21" s="2" t="s">
        <v>84</v>
      </c>
      <c r="P21" s="2" t="s">
        <v>85</v>
      </c>
      <c r="Q21" s="2" t="s">
        <v>86</v>
      </c>
      <c r="R21" s="2" t="s">
        <v>292</v>
      </c>
      <c r="S21" s="4">
        <v>46098</v>
      </c>
      <c r="T21" s="2" t="s">
        <v>180</v>
      </c>
      <c r="U21" s="2" t="s">
        <v>181</v>
      </c>
      <c r="V21" s="2" t="s">
        <v>260</v>
      </c>
      <c r="W21" s="2" t="s">
        <v>86</v>
      </c>
      <c r="X21" s="2" t="s">
        <v>117</v>
      </c>
      <c r="Y21" s="3" t="s">
        <v>118</v>
      </c>
      <c r="Z21" s="3">
        <v>21.53</v>
      </c>
      <c r="AA21" s="2" t="s">
        <v>90</v>
      </c>
      <c r="AB21" s="2" t="s">
        <v>292</v>
      </c>
      <c r="AC21" s="2" t="s">
        <v>289</v>
      </c>
      <c r="AD21" t="str" cm="1">
        <f t="array" ref="AD2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21" s="2" t="s">
        <v>91</v>
      </c>
      <c r="AF21" s="2" t="s">
        <v>92</v>
      </c>
      <c r="AG21" s="2" t="s">
        <v>119</v>
      </c>
      <c r="AH21" s="2" t="s">
        <v>120</v>
      </c>
      <c r="AK21" s="2" t="s">
        <v>293</v>
      </c>
      <c r="AN21" s="3">
        <v>1</v>
      </c>
      <c r="AO21" s="3">
        <v>1</v>
      </c>
      <c r="AP21" s="3">
        <v>1</v>
      </c>
      <c r="AQ21" s="3">
        <v>1</v>
      </c>
      <c r="AR21" s="3">
        <v>1</v>
      </c>
      <c r="AS21" s="3">
        <v>0</v>
      </c>
      <c r="AT21" s="3">
        <v>0</v>
      </c>
      <c r="AU21" s="3">
        <v>0</v>
      </c>
      <c r="AV21" s="3">
        <v>1</v>
      </c>
      <c r="AW21" s="3">
        <v>0</v>
      </c>
      <c r="AX21" s="3">
        <v>1</v>
      </c>
      <c r="AY21" s="3">
        <v>0</v>
      </c>
      <c r="AZ21" s="3">
        <v>0</v>
      </c>
      <c r="BA21" s="3">
        <v>0</v>
      </c>
      <c r="BB21" s="3">
        <v>0</v>
      </c>
      <c r="BC21" s="3">
        <v>1</v>
      </c>
      <c r="BD21" s="3">
        <v>0</v>
      </c>
      <c r="BE21" s="3">
        <v>0</v>
      </c>
      <c r="BG21" s="2" t="s">
        <v>91</v>
      </c>
      <c r="BH21" s="3">
        <v>3</v>
      </c>
      <c r="BJ21" s="2" t="s">
        <v>96</v>
      </c>
      <c r="BL21" s="2" t="s">
        <v>123</v>
      </c>
      <c r="BM21" s="2" t="s">
        <v>123</v>
      </c>
      <c r="BN21" s="2" t="s">
        <v>124</v>
      </c>
      <c r="BO21" s="2" t="s">
        <v>125</v>
      </c>
      <c r="BP21" s="2" t="s">
        <v>242</v>
      </c>
      <c r="BQ21" s="2" t="s">
        <v>124</v>
      </c>
      <c r="BR21" s="2" t="s">
        <v>126</v>
      </c>
      <c r="BS21" s="2" t="s">
        <v>127</v>
      </c>
      <c r="BT21" s="2" t="s">
        <v>207</v>
      </c>
      <c r="BU21" s="2" t="s">
        <v>208</v>
      </c>
      <c r="BV21" s="2" t="s">
        <v>150</v>
      </c>
      <c r="BW21" s="2" t="s">
        <v>151</v>
      </c>
      <c r="BX21" s="2" t="s">
        <v>91</v>
      </c>
      <c r="BY2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1" s="2">
        <f>IF(AND(Cases[[#This Row],[Priority Level]]&gt;=3,Cases[[#This Row],[System Role]]&lt;&gt;"Productive"),1,0)</f>
        <v>0</v>
      </c>
      <c r="CA21" s="2">
        <f>IFERROR(IF(Cases[[#This Row],[Days at Customer]]&gt;MAX(1,Cases[[#This Row],[Days at SAP]]*2),1,0),0)</f>
        <v>1</v>
      </c>
      <c r="CB21" s="2">
        <f>IF(AND(Cases[[#This Row],[Initial Component]]&lt;&gt;"",Cases[[#This Row],[Component]]&lt;&gt;"",Cases[[#This Row],[Initial Component]]&lt;&gt;Cases[[#This Row],[Component]]),1,0)</f>
        <v>0</v>
      </c>
      <c r="CC21" s="2">
        <f>IF(OR(Cases[[#This Row],[Is Reopened]]="X",Cases[[#This Row],[No. of Reopenings]]&gt;0),1,0)</f>
        <v>0</v>
      </c>
      <c r="CD21" s="2">
        <f>IF(Cases[[#This Row],[Confirmation Type]]="Automatic",1,0)</f>
        <v>1</v>
      </c>
      <c r="CE21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2" spans="1:83" x14ac:dyDescent="0.2">
      <c r="A22" s="1" t="s">
        <v>294</v>
      </c>
      <c r="B22" s="2" t="s">
        <v>295</v>
      </c>
      <c r="C22" s="2" t="s">
        <v>296</v>
      </c>
      <c r="D22" s="2" t="s">
        <v>78</v>
      </c>
      <c r="E22" s="3">
        <v>17.68</v>
      </c>
      <c r="F22" s="3">
        <v>11.29</v>
      </c>
      <c r="G22" s="2" t="s">
        <v>79</v>
      </c>
      <c r="H22" s="2" t="s">
        <v>290</v>
      </c>
      <c r="I22" s="3" t="s">
        <v>114</v>
      </c>
      <c r="J22" s="3">
        <v>29</v>
      </c>
      <c r="K22" s="2" t="s">
        <v>297</v>
      </c>
      <c r="L22" s="4">
        <v>46127</v>
      </c>
      <c r="M22" s="4">
        <v>46127</v>
      </c>
      <c r="N22" s="2" t="s">
        <v>83</v>
      </c>
      <c r="O22" s="2" t="s">
        <v>84</v>
      </c>
      <c r="P22" s="2" t="s">
        <v>193</v>
      </c>
      <c r="Q22" s="2" t="s">
        <v>86</v>
      </c>
      <c r="R22" s="2" t="s">
        <v>298</v>
      </c>
      <c r="S22" s="4">
        <v>46098</v>
      </c>
      <c r="T22" s="2" t="s">
        <v>180</v>
      </c>
      <c r="U22" s="2" t="s">
        <v>181</v>
      </c>
      <c r="V22" s="2" t="s">
        <v>260</v>
      </c>
      <c r="W22" s="2" t="s">
        <v>86</v>
      </c>
      <c r="X22" s="2" t="s">
        <v>117</v>
      </c>
      <c r="Y22" s="3" t="s">
        <v>118</v>
      </c>
      <c r="Z22" s="3">
        <v>28.97</v>
      </c>
      <c r="AA22" s="2" t="s">
        <v>90</v>
      </c>
      <c r="AB22" s="2" t="s">
        <v>299</v>
      </c>
      <c r="AC22" s="2" t="s">
        <v>300</v>
      </c>
      <c r="AD22" t="str" cm="1">
        <f t="array" ref="AD2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22" s="2" t="s">
        <v>139</v>
      </c>
      <c r="AF22" s="2" t="s">
        <v>92</v>
      </c>
      <c r="AG22" s="2" t="s">
        <v>159</v>
      </c>
      <c r="AH22" s="2" t="s">
        <v>160</v>
      </c>
      <c r="AK22" s="2" t="s">
        <v>301</v>
      </c>
      <c r="AN22" s="3">
        <v>1</v>
      </c>
      <c r="AO22" s="3">
        <v>1</v>
      </c>
      <c r="AP22" s="3">
        <v>1</v>
      </c>
      <c r="AQ22" s="3">
        <v>1</v>
      </c>
      <c r="AR22" s="3">
        <v>0</v>
      </c>
      <c r="AS22" s="3">
        <v>0</v>
      </c>
      <c r="AT22" s="3">
        <v>1</v>
      </c>
      <c r="AU22" s="3">
        <v>0</v>
      </c>
      <c r="AV22" s="3">
        <v>0</v>
      </c>
      <c r="AW22" s="3">
        <v>1</v>
      </c>
      <c r="AX22" s="3">
        <v>0</v>
      </c>
      <c r="AY22" s="3">
        <v>0</v>
      </c>
      <c r="AZ22" s="3">
        <v>1</v>
      </c>
      <c r="BA22" s="3">
        <v>1</v>
      </c>
      <c r="BB22" s="3">
        <v>0</v>
      </c>
      <c r="BC22" s="3">
        <v>0</v>
      </c>
      <c r="BD22" s="3">
        <v>0</v>
      </c>
      <c r="BE22" s="3">
        <v>0</v>
      </c>
      <c r="BG22" s="2" t="s">
        <v>139</v>
      </c>
      <c r="BH22" s="3">
        <v>2</v>
      </c>
      <c r="BJ22" s="2" t="s">
        <v>96</v>
      </c>
      <c r="BL22" s="2" t="s">
        <v>162</v>
      </c>
      <c r="BM22" s="2" t="s">
        <v>163</v>
      </c>
      <c r="BN22" s="2" t="s">
        <v>99</v>
      </c>
      <c r="BO22" s="2" t="s">
        <v>100</v>
      </c>
      <c r="BP22" s="2" t="s">
        <v>101</v>
      </c>
      <c r="BQ22" s="2" t="s">
        <v>102</v>
      </c>
      <c r="BR22" s="2" t="s">
        <v>103</v>
      </c>
      <c r="BS22" s="2" t="s">
        <v>127</v>
      </c>
      <c r="BT22" s="2" t="s">
        <v>164</v>
      </c>
      <c r="BU22" s="2" t="s">
        <v>165</v>
      </c>
      <c r="BV22" s="2" t="s">
        <v>166</v>
      </c>
      <c r="BW22" s="2" t="s">
        <v>167</v>
      </c>
      <c r="BX22" s="2" t="s">
        <v>139</v>
      </c>
      <c r="BY2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2" s="2">
        <f>IF(AND(Cases[[#This Row],[Priority Level]]&gt;=3,Cases[[#This Row],[System Role]]&lt;&gt;"Productive"),1,0)</f>
        <v>0</v>
      </c>
      <c r="CA22" s="2">
        <f>IFERROR(IF(Cases[[#This Row],[Days at Customer]]&gt;MAX(1,Cases[[#This Row],[Days at SAP]]*2),1,0),0)</f>
        <v>0</v>
      </c>
      <c r="CB22" s="2">
        <f>IF(AND(Cases[[#This Row],[Initial Component]]&lt;&gt;"",Cases[[#This Row],[Component]]&lt;&gt;"",Cases[[#This Row],[Initial Component]]&lt;&gt;Cases[[#This Row],[Component]]),1,0)</f>
        <v>1</v>
      </c>
      <c r="CC22" s="2">
        <f>IF(OR(Cases[[#This Row],[Is Reopened]]="X",Cases[[#This Row],[No. of Reopenings]]&gt;0),1,0)</f>
        <v>0</v>
      </c>
      <c r="CD22" s="2">
        <f>IF(Cases[[#This Row],[Confirmation Type]]="Automatic",1,0)</f>
        <v>0</v>
      </c>
      <c r="CE22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3" spans="1:83" x14ac:dyDescent="0.2">
      <c r="A23" s="1" t="s">
        <v>302</v>
      </c>
      <c r="B23" s="2" t="s">
        <v>303</v>
      </c>
      <c r="C23" s="2" t="s">
        <v>300</v>
      </c>
      <c r="D23" s="2" t="s">
        <v>78</v>
      </c>
      <c r="E23" s="3">
        <v>13.96</v>
      </c>
      <c r="F23" s="3">
        <v>6.95</v>
      </c>
      <c r="G23" s="2" t="s">
        <v>79</v>
      </c>
      <c r="H23" s="2" t="s">
        <v>80</v>
      </c>
      <c r="I23" s="3" t="s">
        <v>114</v>
      </c>
      <c r="J23" s="3">
        <v>29</v>
      </c>
      <c r="K23" s="2" t="s">
        <v>304</v>
      </c>
      <c r="L23" s="4">
        <v>46124</v>
      </c>
      <c r="M23" s="4">
        <v>46119</v>
      </c>
      <c r="N23" s="2" t="s">
        <v>83</v>
      </c>
      <c r="O23" s="2" t="s">
        <v>84</v>
      </c>
      <c r="P23" s="2" t="s">
        <v>85</v>
      </c>
      <c r="Q23" s="2" t="s">
        <v>86</v>
      </c>
      <c r="R23" s="2" t="s">
        <v>299</v>
      </c>
      <c r="S23" s="4">
        <v>46098</v>
      </c>
      <c r="T23" s="2" t="s">
        <v>180</v>
      </c>
      <c r="U23" s="2" t="s">
        <v>181</v>
      </c>
      <c r="V23" s="2" t="s">
        <v>260</v>
      </c>
      <c r="W23" s="2" t="s">
        <v>86</v>
      </c>
      <c r="X23" s="2" t="s">
        <v>117</v>
      </c>
      <c r="Y23" s="3" t="s">
        <v>118</v>
      </c>
      <c r="Z23" s="3">
        <v>20.91</v>
      </c>
      <c r="AA23" s="2" t="s">
        <v>90</v>
      </c>
      <c r="AB23" s="2" t="s">
        <v>299</v>
      </c>
      <c r="AC23" s="2" t="s">
        <v>300</v>
      </c>
      <c r="AD23" t="str" cm="1">
        <f t="array" ref="AD2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23" s="2" t="s">
        <v>139</v>
      </c>
      <c r="AF23" s="2" t="s">
        <v>92</v>
      </c>
      <c r="AG23" s="2" t="s">
        <v>159</v>
      </c>
      <c r="AH23" s="2" t="s">
        <v>160</v>
      </c>
      <c r="AK23" s="2" t="s">
        <v>305</v>
      </c>
      <c r="AN23" s="3">
        <v>1</v>
      </c>
      <c r="AO23" s="3">
        <v>1</v>
      </c>
      <c r="AP23" s="3">
        <v>1</v>
      </c>
      <c r="AQ23" s="3">
        <v>1</v>
      </c>
      <c r="AR23" s="3">
        <v>0</v>
      </c>
      <c r="AS23" s="3">
        <v>0</v>
      </c>
      <c r="AT23" s="3">
        <v>1</v>
      </c>
      <c r="AU23" s="3">
        <v>0</v>
      </c>
      <c r="AV23" s="3">
        <v>0</v>
      </c>
      <c r="AW23" s="3">
        <v>1</v>
      </c>
      <c r="AX23" s="3">
        <v>0</v>
      </c>
      <c r="AY23" s="3">
        <v>0</v>
      </c>
      <c r="AZ23" s="3">
        <v>1</v>
      </c>
      <c r="BA23" s="3">
        <v>1</v>
      </c>
      <c r="BB23" s="3">
        <v>0</v>
      </c>
      <c r="BC23" s="3">
        <v>0</v>
      </c>
      <c r="BD23" s="3">
        <v>0</v>
      </c>
      <c r="BE23" s="3">
        <v>0</v>
      </c>
      <c r="BG23" s="2" t="s">
        <v>139</v>
      </c>
      <c r="BH23" s="3">
        <v>2</v>
      </c>
      <c r="BJ23" s="2" t="s">
        <v>96</v>
      </c>
      <c r="BL23" s="2" t="s">
        <v>162</v>
      </c>
      <c r="BM23" s="2" t="s">
        <v>163</v>
      </c>
      <c r="BN23" s="2" t="s">
        <v>99</v>
      </c>
      <c r="BO23" s="2" t="s">
        <v>100</v>
      </c>
      <c r="BP23" s="2" t="s">
        <v>101</v>
      </c>
      <c r="BQ23" s="2" t="s">
        <v>102</v>
      </c>
      <c r="BR23" s="2" t="s">
        <v>103</v>
      </c>
      <c r="BS23" s="2" t="s">
        <v>127</v>
      </c>
      <c r="BT23" s="2" t="s">
        <v>164</v>
      </c>
      <c r="BU23" s="2" t="s">
        <v>165</v>
      </c>
      <c r="BV23" s="2" t="s">
        <v>166</v>
      </c>
      <c r="BW23" s="2" t="s">
        <v>167</v>
      </c>
      <c r="BX23" s="2" t="s">
        <v>139</v>
      </c>
      <c r="BY2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3" s="2">
        <f>IF(AND(Cases[[#This Row],[Priority Level]]&gt;=3,Cases[[#This Row],[System Role]]&lt;&gt;"Productive"),1,0)</f>
        <v>0</v>
      </c>
      <c r="CA23" s="2">
        <f>IFERROR(IF(Cases[[#This Row],[Days at Customer]]&gt;MAX(1,Cases[[#This Row],[Days at SAP]]*2),1,0),0)</f>
        <v>0</v>
      </c>
      <c r="CB23" s="2">
        <f>IF(AND(Cases[[#This Row],[Initial Component]]&lt;&gt;"",Cases[[#This Row],[Component]]&lt;&gt;"",Cases[[#This Row],[Initial Component]]&lt;&gt;Cases[[#This Row],[Component]]),1,0)</f>
        <v>0</v>
      </c>
      <c r="CC23" s="2">
        <f>IF(OR(Cases[[#This Row],[Is Reopened]]="X",Cases[[#This Row],[No. of Reopenings]]&gt;0),1,0)</f>
        <v>0</v>
      </c>
      <c r="CD23" s="2">
        <f>IF(Cases[[#This Row],[Confirmation Type]]="Automatic",1,0)</f>
        <v>0</v>
      </c>
      <c r="CE23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24" spans="1:83" x14ac:dyDescent="0.2">
      <c r="A24" s="1" t="s">
        <v>2510</v>
      </c>
      <c r="B24" s="2" t="s">
        <v>2501</v>
      </c>
      <c r="C24" s="2" t="s">
        <v>203</v>
      </c>
      <c r="D24" s="2" t="s">
        <v>78</v>
      </c>
      <c r="E24" s="3">
        <v>0.04</v>
      </c>
      <c r="F24" s="3">
        <v>21.29</v>
      </c>
      <c r="G24" s="2" t="s">
        <v>112</v>
      </c>
      <c r="H24" s="2" t="s">
        <v>113</v>
      </c>
      <c r="I24" s="3" t="s">
        <v>114</v>
      </c>
      <c r="J24" s="3">
        <v>153</v>
      </c>
      <c r="K24" s="2" t="s">
        <v>2511</v>
      </c>
      <c r="L24" s="4">
        <v>46009</v>
      </c>
      <c r="M24" s="4">
        <v>46002</v>
      </c>
      <c r="N24" s="2" t="s">
        <v>1804</v>
      </c>
      <c r="O24" s="2" t="s">
        <v>1805</v>
      </c>
      <c r="P24" s="2" t="s">
        <v>2037</v>
      </c>
      <c r="Q24" s="2" t="s">
        <v>1806</v>
      </c>
      <c r="R24" s="2" t="s">
        <v>205</v>
      </c>
      <c r="S24" s="4">
        <v>45974</v>
      </c>
      <c r="T24" s="2" t="s">
        <v>2274</v>
      </c>
      <c r="U24" s="2" t="s">
        <v>1805</v>
      </c>
      <c r="V24" s="2" t="s">
        <v>2467</v>
      </c>
      <c r="W24" s="2" t="s">
        <v>1806</v>
      </c>
      <c r="X24" s="2" t="s">
        <v>117</v>
      </c>
      <c r="Y24" s="3" t="s">
        <v>118</v>
      </c>
      <c r="Z24" s="3">
        <v>21.32</v>
      </c>
      <c r="AA24" s="2" t="s">
        <v>90</v>
      </c>
      <c r="AB24" s="2" t="s">
        <v>205</v>
      </c>
      <c r="AC24" s="2" t="s">
        <v>203</v>
      </c>
      <c r="AD24" t="str" cm="1">
        <f t="array" ref="AD2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24" s="2" t="s">
        <v>139</v>
      </c>
      <c r="AF24" s="2" t="s">
        <v>92</v>
      </c>
      <c r="AG24" s="2" t="s">
        <v>119</v>
      </c>
      <c r="AH24" s="2" t="s">
        <v>120</v>
      </c>
      <c r="AK24" s="2" t="s">
        <v>2512</v>
      </c>
      <c r="AN24" s="3">
        <v>1</v>
      </c>
      <c r="AO24" s="3">
        <v>1</v>
      </c>
      <c r="AP24" s="3">
        <v>1</v>
      </c>
      <c r="AQ24" s="3">
        <v>1</v>
      </c>
      <c r="AR24" s="3">
        <v>1</v>
      </c>
      <c r="AS24" s="3">
        <v>0</v>
      </c>
      <c r="AT24" s="3">
        <v>0</v>
      </c>
      <c r="AU24" s="3">
        <v>0</v>
      </c>
      <c r="AV24" s="3">
        <v>0</v>
      </c>
      <c r="AW24" s="3">
        <v>1</v>
      </c>
      <c r="AX24" s="3">
        <v>1</v>
      </c>
      <c r="AY24" s="3">
        <v>0</v>
      </c>
      <c r="AZ24" s="3">
        <v>0</v>
      </c>
      <c r="BA24" s="3">
        <v>0</v>
      </c>
      <c r="BB24" s="3">
        <v>0</v>
      </c>
      <c r="BC24" s="3">
        <v>1</v>
      </c>
      <c r="BD24" s="3">
        <v>0</v>
      </c>
      <c r="BE24" s="3">
        <v>0</v>
      </c>
      <c r="BG24" s="2" t="s">
        <v>91</v>
      </c>
      <c r="BH24" s="3">
        <v>3</v>
      </c>
      <c r="BI24" s="2" t="s">
        <v>122</v>
      </c>
      <c r="BJ24" s="2" t="s">
        <v>96</v>
      </c>
      <c r="BL24" s="2" t="s">
        <v>123</v>
      </c>
      <c r="BM24" s="2" t="s">
        <v>123</v>
      </c>
      <c r="BN24" s="2" t="s">
        <v>124</v>
      </c>
      <c r="BO24" s="2" t="s">
        <v>125</v>
      </c>
      <c r="BP24" s="2" t="s">
        <v>101</v>
      </c>
      <c r="BQ24" s="2" t="s">
        <v>124</v>
      </c>
      <c r="BR24" s="2" t="s">
        <v>126</v>
      </c>
      <c r="BS24" s="2" t="s">
        <v>127</v>
      </c>
      <c r="BT24" s="2" t="s">
        <v>207</v>
      </c>
      <c r="BU24" s="2" t="s">
        <v>208</v>
      </c>
      <c r="BV24" s="2" t="s">
        <v>150</v>
      </c>
      <c r="BW24" s="2" t="s">
        <v>151</v>
      </c>
      <c r="BX24" s="2" t="s">
        <v>91</v>
      </c>
      <c r="BY2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4" s="2">
        <f>IF(AND(Cases[[#This Row],[Priority Level]]&gt;=3,Cases[[#This Row],[System Role]]&lt;&gt;"Productive"),1,0)</f>
        <v>0</v>
      </c>
      <c r="CA24" s="2">
        <f>IFERROR(IF(Cases[[#This Row],[Days at Customer]]&gt;MAX(1,Cases[[#This Row],[Days at SAP]]*2),1,0),0)</f>
        <v>1</v>
      </c>
      <c r="CB24" s="2">
        <f>IF(AND(Cases[[#This Row],[Initial Component]]&lt;&gt;"",Cases[[#This Row],[Component]]&lt;&gt;"",Cases[[#This Row],[Initial Component]]&lt;&gt;Cases[[#This Row],[Component]]),1,0)</f>
        <v>0</v>
      </c>
      <c r="CC24" s="2">
        <f>IF(OR(Cases[[#This Row],[Is Reopened]]="X",Cases[[#This Row],[No. of Reopenings]]&gt;0),1,0)</f>
        <v>0</v>
      </c>
      <c r="CD24" s="2">
        <f>IF(Cases[[#This Row],[Confirmation Type]]="Automatic",1,0)</f>
        <v>0</v>
      </c>
      <c r="CE2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5" spans="1:83" x14ac:dyDescent="0.2">
      <c r="A25" s="1" t="s">
        <v>2540</v>
      </c>
      <c r="B25" s="2" t="s">
        <v>2541</v>
      </c>
      <c r="C25" s="2" t="s">
        <v>203</v>
      </c>
      <c r="D25" s="2" t="s">
        <v>238</v>
      </c>
      <c r="E25" s="3">
        <v>0</v>
      </c>
      <c r="F25" s="3">
        <v>22.12</v>
      </c>
      <c r="G25" s="2" t="s">
        <v>112</v>
      </c>
      <c r="H25" s="2" t="s">
        <v>113</v>
      </c>
      <c r="I25" s="3" t="s">
        <v>114</v>
      </c>
      <c r="J25" s="3">
        <v>154</v>
      </c>
      <c r="K25" s="2" t="s">
        <v>2542</v>
      </c>
      <c r="L25" s="4">
        <v>46009</v>
      </c>
      <c r="M25" s="4">
        <v>45996</v>
      </c>
      <c r="N25" s="2" t="s">
        <v>1804</v>
      </c>
      <c r="O25" s="2" t="s">
        <v>1805</v>
      </c>
      <c r="P25" s="2" t="s">
        <v>2169</v>
      </c>
      <c r="Q25" s="2" t="s">
        <v>1806</v>
      </c>
      <c r="R25" s="2" t="s">
        <v>205</v>
      </c>
      <c r="S25" s="4">
        <v>45973</v>
      </c>
      <c r="T25" s="2" t="s">
        <v>2274</v>
      </c>
      <c r="U25" s="2" t="s">
        <v>1805</v>
      </c>
      <c r="V25" s="2" t="s">
        <v>2467</v>
      </c>
      <c r="W25" s="2" t="s">
        <v>1806</v>
      </c>
      <c r="X25" s="2" t="s">
        <v>117</v>
      </c>
      <c r="Y25" s="3" t="s">
        <v>118</v>
      </c>
      <c r="Z25" s="3">
        <v>22.12</v>
      </c>
      <c r="AA25" s="2" t="s">
        <v>90</v>
      </c>
      <c r="AB25" s="2" t="s">
        <v>205</v>
      </c>
      <c r="AC25" s="2" t="s">
        <v>203</v>
      </c>
      <c r="AD25" t="str" cm="1">
        <f t="array" ref="AD2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25" s="2" t="s">
        <v>139</v>
      </c>
      <c r="AF25" s="2" t="s">
        <v>92</v>
      </c>
      <c r="AG25" s="2" t="s">
        <v>119</v>
      </c>
      <c r="AH25" s="2" t="s">
        <v>120</v>
      </c>
      <c r="AK25" s="2" t="s">
        <v>2543</v>
      </c>
      <c r="AN25" s="3">
        <v>1</v>
      </c>
      <c r="AO25" s="3">
        <v>1</v>
      </c>
      <c r="AP25" s="3">
        <v>1</v>
      </c>
      <c r="AQ25" s="3">
        <v>1</v>
      </c>
      <c r="AR25" s="3">
        <v>0</v>
      </c>
      <c r="AS25" s="3">
        <v>0</v>
      </c>
      <c r="AT25" s="3">
        <v>1</v>
      </c>
      <c r="AU25" s="3">
        <v>0</v>
      </c>
      <c r="AV25" s="3">
        <v>1</v>
      </c>
      <c r="AW25" s="3">
        <v>0</v>
      </c>
      <c r="AX25" s="3">
        <v>0</v>
      </c>
      <c r="AY25" s="3">
        <v>0</v>
      </c>
      <c r="AZ25" s="3">
        <v>1</v>
      </c>
      <c r="BA25" s="3">
        <v>0</v>
      </c>
      <c r="BB25" s="3">
        <v>0</v>
      </c>
      <c r="BC25" s="3">
        <v>1</v>
      </c>
      <c r="BD25" s="3">
        <v>0</v>
      </c>
      <c r="BE25" s="3">
        <v>0</v>
      </c>
      <c r="BG25" s="2" t="s">
        <v>139</v>
      </c>
      <c r="BH25" s="3">
        <v>2</v>
      </c>
      <c r="BI25" s="2" t="s">
        <v>122</v>
      </c>
      <c r="BJ25" s="2" t="s">
        <v>96</v>
      </c>
      <c r="BL25" s="2" t="s">
        <v>123</v>
      </c>
      <c r="BM25" s="2" t="s">
        <v>123</v>
      </c>
      <c r="BN25" s="2" t="s">
        <v>124</v>
      </c>
      <c r="BO25" s="2" t="s">
        <v>125</v>
      </c>
      <c r="BP25" s="2" t="s">
        <v>242</v>
      </c>
      <c r="BQ25" s="2" t="s">
        <v>124</v>
      </c>
      <c r="BR25" s="2" t="s">
        <v>126</v>
      </c>
      <c r="BS25" s="2" t="s">
        <v>127</v>
      </c>
      <c r="BT25" s="2" t="s">
        <v>207</v>
      </c>
      <c r="BU25" s="2" t="s">
        <v>208</v>
      </c>
      <c r="BV25" s="2" t="s">
        <v>150</v>
      </c>
      <c r="BW25" s="2" t="s">
        <v>151</v>
      </c>
      <c r="BX25" s="2" t="s">
        <v>139</v>
      </c>
      <c r="BY2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5" s="2">
        <f>IF(AND(Cases[[#This Row],[Priority Level]]&gt;=3,Cases[[#This Row],[System Role]]&lt;&gt;"Productive"),1,0)</f>
        <v>0</v>
      </c>
      <c r="CA25" s="2">
        <f>IFERROR(IF(Cases[[#This Row],[Days at Customer]]&gt;MAX(1,Cases[[#This Row],[Days at SAP]]*2),1,0),0)</f>
        <v>1</v>
      </c>
      <c r="CB25" s="2">
        <f>IF(AND(Cases[[#This Row],[Initial Component]]&lt;&gt;"",Cases[[#This Row],[Component]]&lt;&gt;"",Cases[[#This Row],[Initial Component]]&lt;&gt;Cases[[#This Row],[Component]]),1,0)</f>
        <v>0</v>
      </c>
      <c r="CC25" s="2">
        <f>IF(OR(Cases[[#This Row],[Is Reopened]]="X",Cases[[#This Row],[No. of Reopenings]]&gt;0),1,0)</f>
        <v>0</v>
      </c>
      <c r="CD25" s="2">
        <f>IF(Cases[[#This Row],[Confirmation Type]]="Automatic",1,0)</f>
        <v>1</v>
      </c>
      <c r="CE25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6" spans="1:83" x14ac:dyDescent="0.2">
      <c r="A26" s="1" t="s">
        <v>317</v>
      </c>
      <c r="B26" s="2" t="s">
        <v>318</v>
      </c>
      <c r="C26" s="2" t="s">
        <v>77</v>
      </c>
      <c r="D26" s="2" t="s">
        <v>238</v>
      </c>
      <c r="E26" s="3">
        <v>0.31</v>
      </c>
      <c r="F26" s="3">
        <v>21.49</v>
      </c>
      <c r="G26" s="2" t="s">
        <v>79</v>
      </c>
      <c r="H26" s="2" t="s">
        <v>178</v>
      </c>
      <c r="I26" s="3" t="s">
        <v>81</v>
      </c>
      <c r="J26" s="3">
        <v>30</v>
      </c>
      <c r="K26" s="2" t="s">
        <v>319</v>
      </c>
      <c r="L26" s="4">
        <v>46124</v>
      </c>
      <c r="M26" s="4">
        <v>46118</v>
      </c>
      <c r="N26" s="2" t="s">
        <v>83</v>
      </c>
      <c r="O26" s="2" t="s">
        <v>84</v>
      </c>
      <c r="P26" s="2" t="s">
        <v>85</v>
      </c>
      <c r="Q26" s="2" t="s">
        <v>86</v>
      </c>
      <c r="R26" s="2" t="s">
        <v>87</v>
      </c>
      <c r="S26" s="4">
        <v>46097</v>
      </c>
      <c r="T26" s="2" t="s">
        <v>180</v>
      </c>
      <c r="U26" s="2" t="s">
        <v>181</v>
      </c>
      <c r="V26" s="2" t="s">
        <v>260</v>
      </c>
      <c r="W26" s="2" t="s">
        <v>86</v>
      </c>
      <c r="X26" s="2" t="s">
        <v>88</v>
      </c>
      <c r="Y26" s="3" t="s">
        <v>89</v>
      </c>
      <c r="Z26" s="3">
        <v>21.8</v>
      </c>
      <c r="AA26" s="2" t="s">
        <v>90</v>
      </c>
      <c r="AB26" s="2" t="s">
        <v>87</v>
      </c>
      <c r="AC26" s="2" t="s">
        <v>77</v>
      </c>
      <c r="AD26" t="str" cm="1">
        <f t="array" ref="AD2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26" s="2" t="s">
        <v>91</v>
      </c>
      <c r="AF26" s="2" t="s">
        <v>92</v>
      </c>
      <c r="AG26" s="2" t="s">
        <v>93</v>
      </c>
      <c r="AH26" s="2" t="s">
        <v>94</v>
      </c>
      <c r="AK26" s="2" t="s">
        <v>320</v>
      </c>
      <c r="AN26" s="3">
        <v>1</v>
      </c>
      <c r="AO26" s="3">
        <v>1</v>
      </c>
      <c r="AP26" s="3">
        <v>1</v>
      </c>
      <c r="AQ26" s="3">
        <v>1</v>
      </c>
      <c r="AR26" s="3">
        <v>1</v>
      </c>
      <c r="AS26" s="3">
        <v>0</v>
      </c>
      <c r="AT26" s="3">
        <v>0</v>
      </c>
      <c r="AU26" s="3">
        <v>0</v>
      </c>
      <c r="AV26" s="3">
        <v>1</v>
      </c>
      <c r="AW26" s="3">
        <v>0</v>
      </c>
      <c r="AX26" s="3">
        <v>1</v>
      </c>
      <c r="AY26" s="3">
        <v>0</v>
      </c>
      <c r="AZ26" s="3">
        <v>0</v>
      </c>
      <c r="BA26" s="3">
        <v>0</v>
      </c>
      <c r="BB26" s="3">
        <v>0</v>
      </c>
      <c r="BC26" s="3">
        <v>1</v>
      </c>
      <c r="BD26" s="3">
        <v>0</v>
      </c>
      <c r="BE26" s="3">
        <v>0</v>
      </c>
      <c r="BG26" s="2" t="s">
        <v>91</v>
      </c>
      <c r="BH26" s="3">
        <v>3</v>
      </c>
      <c r="BJ26" s="2" t="s">
        <v>96</v>
      </c>
      <c r="BL26" s="2" t="s">
        <v>184</v>
      </c>
      <c r="BM26" s="2" t="s">
        <v>184</v>
      </c>
      <c r="BN26" s="2" t="s">
        <v>124</v>
      </c>
      <c r="BO26" s="2" t="s">
        <v>125</v>
      </c>
      <c r="BP26" s="2" t="s">
        <v>242</v>
      </c>
      <c r="BQ26" s="2" t="s">
        <v>124</v>
      </c>
      <c r="BR26" s="2" t="s">
        <v>126</v>
      </c>
      <c r="BS26" s="2" t="s">
        <v>127</v>
      </c>
      <c r="BT26" s="2" t="s">
        <v>185</v>
      </c>
      <c r="BU26" s="2" t="s">
        <v>186</v>
      </c>
      <c r="BV26" s="2" t="s">
        <v>150</v>
      </c>
      <c r="BW26" s="2" t="s">
        <v>151</v>
      </c>
      <c r="BX26" s="2" t="s">
        <v>91</v>
      </c>
      <c r="BY2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6" s="2">
        <f>IF(AND(Cases[[#This Row],[Priority Level]]&gt;=3,Cases[[#This Row],[System Role]]&lt;&gt;"Productive"),1,0)</f>
        <v>0</v>
      </c>
      <c r="CA26" s="2">
        <f>IFERROR(IF(Cases[[#This Row],[Days at Customer]]&gt;MAX(1,Cases[[#This Row],[Days at SAP]]*2),1,0),0)</f>
        <v>1</v>
      </c>
      <c r="CB26" s="2">
        <f>IF(AND(Cases[[#This Row],[Initial Component]]&lt;&gt;"",Cases[[#This Row],[Component]]&lt;&gt;"",Cases[[#This Row],[Initial Component]]&lt;&gt;Cases[[#This Row],[Component]]),1,0)</f>
        <v>0</v>
      </c>
      <c r="CC26" s="2">
        <f>IF(OR(Cases[[#This Row],[Is Reopened]]="X",Cases[[#This Row],[No. of Reopenings]]&gt;0),1,0)</f>
        <v>0</v>
      </c>
      <c r="CD26" s="2">
        <f>IF(Cases[[#This Row],[Confirmation Type]]="Automatic",1,0)</f>
        <v>1</v>
      </c>
      <c r="CE2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7" spans="1:83" x14ac:dyDescent="0.2">
      <c r="A27" s="1" t="s">
        <v>321</v>
      </c>
      <c r="B27" s="2" t="s">
        <v>322</v>
      </c>
      <c r="C27" s="2" t="s">
        <v>323</v>
      </c>
      <c r="D27" s="2" t="s">
        <v>238</v>
      </c>
      <c r="E27" s="3">
        <v>6.21</v>
      </c>
      <c r="F27" s="3">
        <v>21.48</v>
      </c>
      <c r="G27" s="2" t="s">
        <v>133</v>
      </c>
      <c r="H27" s="2" t="s">
        <v>324</v>
      </c>
      <c r="I27" s="3" t="s">
        <v>114</v>
      </c>
      <c r="J27" s="3">
        <v>30</v>
      </c>
      <c r="K27" s="2" t="s">
        <v>325</v>
      </c>
      <c r="L27" s="4">
        <v>46126</v>
      </c>
      <c r="M27" s="4">
        <v>46124</v>
      </c>
      <c r="N27" s="2" t="s">
        <v>83</v>
      </c>
      <c r="O27" s="2" t="s">
        <v>84</v>
      </c>
      <c r="P27" s="2" t="s">
        <v>85</v>
      </c>
      <c r="Q27" s="2" t="s">
        <v>86</v>
      </c>
      <c r="R27" s="2" t="s">
        <v>326</v>
      </c>
      <c r="S27" s="4">
        <v>46097</v>
      </c>
      <c r="T27" s="2" t="s">
        <v>180</v>
      </c>
      <c r="U27" s="2" t="s">
        <v>181</v>
      </c>
      <c r="V27" s="2" t="s">
        <v>260</v>
      </c>
      <c r="W27" s="2" t="s">
        <v>86</v>
      </c>
      <c r="X27" s="2" t="s">
        <v>117</v>
      </c>
      <c r="Y27" s="3" t="s">
        <v>118</v>
      </c>
      <c r="Z27" s="3">
        <v>27.69</v>
      </c>
      <c r="AA27" s="2" t="s">
        <v>90</v>
      </c>
      <c r="AB27" s="2" t="s">
        <v>326</v>
      </c>
      <c r="AC27" s="2" t="s">
        <v>323</v>
      </c>
      <c r="AD27" t="str" cm="1">
        <f t="array" ref="AD2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27" s="2" t="s">
        <v>91</v>
      </c>
      <c r="AF27" s="2" t="s">
        <v>92</v>
      </c>
      <c r="AG27" s="2" t="s">
        <v>119</v>
      </c>
      <c r="AH27" s="2" t="s">
        <v>120</v>
      </c>
      <c r="AK27" s="2" t="s">
        <v>327</v>
      </c>
      <c r="AN27" s="3">
        <v>1</v>
      </c>
      <c r="AO27" s="3">
        <v>1</v>
      </c>
      <c r="AP27" s="3">
        <v>1</v>
      </c>
      <c r="AQ27" s="3">
        <v>1</v>
      </c>
      <c r="AR27" s="3">
        <v>1</v>
      </c>
      <c r="AS27" s="3">
        <v>0</v>
      </c>
      <c r="AT27" s="3">
        <v>0</v>
      </c>
      <c r="AU27" s="3">
        <v>0</v>
      </c>
      <c r="AV27" s="3">
        <v>1</v>
      </c>
      <c r="AW27" s="3">
        <v>0</v>
      </c>
      <c r="AX27" s="3">
        <v>1</v>
      </c>
      <c r="AY27" s="3">
        <v>0</v>
      </c>
      <c r="AZ27" s="3">
        <v>0</v>
      </c>
      <c r="BA27" s="3">
        <v>1</v>
      </c>
      <c r="BB27" s="3">
        <v>0</v>
      </c>
      <c r="BC27" s="3">
        <v>0</v>
      </c>
      <c r="BD27" s="3">
        <v>0</v>
      </c>
      <c r="BE27" s="3">
        <v>0</v>
      </c>
      <c r="BG27" s="2" t="s">
        <v>91</v>
      </c>
      <c r="BH27" s="3">
        <v>3</v>
      </c>
      <c r="BJ27" s="2" t="s">
        <v>96</v>
      </c>
      <c r="BL27" s="2" t="s">
        <v>123</v>
      </c>
      <c r="BM27" s="2" t="s">
        <v>123</v>
      </c>
      <c r="BN27" s="2" t="s">
        <v>124</v>
      </c>
      <c r="BO27" s="2" t="s">
        <v>125</v>
      </c>
      <c r="BP27" s="2" t="s">
        <v>242</v>
      </c>
      <c r="BQ27" s="2" t="s">
        <v>124</v>
      </c>
      <c r="BR27" s="2" t="s">
        <v>126</v>
      </c>
      <c r="BS27" s="2" t="s">
        <v>127</v>
      </c>
      <c r="BT27" s="2" t="s">
        <v>199</v>
      </c>
      <c r="BU27" s="2" t="s">
        <v>200</v>
      </c>
      <c r="BV27" s="2" t="s">
        <v>166</v>
      </c>
      <c r="BW27" s="2" t="s">
        <v>167</v>
      </c>
      <c r="BX27" s="2" t="s">
        <v>91</v>
      </c>
      <c r="BY2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7" s="2">
        <f>IF(AND(Cases[[#This Row],[Priority Level]]&gt;=3,Cases[[#This Row],[System Role]]&lt;&gt;"Productive"),1,0)</f>
        <v>1</v>
      </c>
      <c r="CA27" s="2">
        <f>IFERROR(IF(Cases[[#This Row],[Days at Customer]]&gt;MAX(1,Cases[[#This Row],[Days at SAP]]*2),1,0),0)</f>
        <v>1</v>
      </c>
      <c r="CB27" s="2">
        <f>IF(AND(Cases[[#This Row],[Initial Component]]&lt;&gt;"",Cases[[#This Row],[Component]]&lt;&gt;"",Cases[[#This Row],[Initial Component]]&lt;&gt;Cases[[#This Row],[Component]]),1,0)</f>
        <v>0</v>
      </c>
      <c r="CC27" s="2">
        <f>IF(OR(Cases[[#This Row],[Is Reopened]]="X",Cases[[#This Row],[No. of Reopenings]]&gt;0),1,0)</f>
        <v>0</v>
      </c>
      <c r="CD27" s="2">
        <f>IF(Cases[[#This Row],[Confirmation Type]]="Automatic",1,0)</f>
        <v>1</v>
      </c>
      <c r="CE2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8" spans="1:83" x14ac:dyDescent="0.2">
      <c r="A28" s="1" t="s">
        <v>328</v>
      </c>
      <c r="B28" s="2" t="s">
        <v>329</v>
      </c>
      <c r="C28" s="2" t="s">
        <v>330</v>
      </c>
      <c r="D28" s="2" t="s">
        <v>78</v>
      </c>
      <c r="E28" s="3">
        <v>12.7</v>
      </c>
      <c r="F28" s="3">
        <v>1.17</v>
      </c>
      <c r="G28" s="2" t="s">
        <v>251</v>
      </c>
      <c r="H28" s="2" t="s">
        <v>331</v>
      </c>
      <c r="I28" s="3" t="s">
        <v>114</v>
      </c>
      <c r="J28" s="3">
        <v>30</v>
      </c>
      <c r="K28" s="2" t="s">
        <v>332</v>
      </c>
      <c r="L28" s="4">
        <v>46117</v>
      </c>
      <c r="M28" s="4">
        <v>46111</v>
      </c>
      <c r="N28" s="2" t="s">
        <v>180</v>
      </c>
      <c r="O28" s="2" t="s">
        <v>181</v>
      </c>
      <c r="P28" s="2" t="s">
        <v>136</v>
      </c>
      <c r="Q28" s="2" t="s">
        <v>86</v>
      </c>
      <c r="R28" s="2" t="s">
        <v>333</v>
      </c>
      <c r="S28" s="4">
        <v>46097</v>
      </c>
      <c r="T28" s="2" t="s">
        <v>180</v>
      </c>
      <c r="U28" s="2" t="s">
        <v>181</v>
      </c>
      <c r="V28" s="2" t="s">
        <v>260</v>
      </c>
      <c r="W28" s="2" t="s">
        <v>86</v>
      </c>
      <c r="X28" s="2" t="s">
        <v>117</v>
      </c>
      <c r="Y28" s="3" t="s">
        <v>118</v>
      </c>
      <c r="Z28" s="3">
        <v>13.87</v>
      </c>
      <c r="AA28" s="2" t="s">
        <v>90</v>
      </c>
      <c r="AB28" s="2" t="s">
        <v>334</v>
      </c>
      <c r="AC28" s="2" t="s">
        <v>335</v>
      </c>
      <c r="AD28" t="str" cm="1">
        <f t="array" ref="AD2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28" s="2" t="s">
        <v>139</v>
      </c>
      <c r="AF28" s="2" t="s">
        <v>92</v>
      </c>
      <c r="AG28" s="2" t="s">
        <v>119</v>
      </c>
      <c r="AH28" s="2" t="s">
        <v>120</v>
      </c>
      <c r="AK28" s="2" t="s">
        <v>336</v>
      </c>
      <c r="AN28" s="3">
        <v>1</v>
      </c>
      <c r="AO28" s="3">
        <v>1</v>
      </c>
      <c r="AP28" s="3">
        <v>1</v>
      </c>
      <c r="AQ28" s="3">
        <v>1</v>
      </c>
      <c r="AR28" s="3">
        <v>0</v>
      </c>
      <c r="AS28" s="3">
        <v>0</v>
      </c>
      <c r="AT28" s="3">
        <v>1</v>
      </c>
      <c r="AU28" s="3">
        <v>0</v>
      </c>
      <c r="AV28" s="3">
        <v>0</v>
      </c>
      <c r="AW28" s="3">
        <v>1</v>
      </c>
      <c r="AX28" s="3">
        <v>0</v>
      </c>
      <c r="AY28" s="3">
        <v>0</v>
      </c>
      <c r="AZ28" s="3">
        <v>1</v>
      </c>
      <c r="BA28" s="3">
        <v>0</v>
      </c>
      <c r="BB28" s="3">
        <v>0</v>
      </c>
      <c r="BC28" s="3">
        <v>1</v>
      </c>
      <c r="BD28" s="3">
        <v>0</v>
      </c>
      <c r="BE28" s="3">
        <v>0</v>
      </c>
      <c r="BG28" s="2" t="s">
        <v>139</v>
      </c>
      <c r="BH28" s="3">
        <v>2</v>
      </c>
      <c r="BJ28" s="2" t="s">
        <v>96</v>
      </c>
      <c r="BL28" s="2" t="s">
        <v>123</v>
      </c>
      <c r="BM28" s="2" t="s">
        <v>123</v>
      </c>
      <c r="BN28" s="2" t="s">
        <v>124</v>
      </c>
      <c r="BO28" s="2" t="s">
        <v>125</v>
      </c>
      <c r="BP28" s="2" t="s">
        <v>101</v>
      </c>
      <c r="BQ28" s="2" t="s">
        <v>124</v>
      </c>
      <c r="BR28" s="2" t="s">
        <v>126</v>
      </c>
      <c r="BS28" s="2" t="s">
        <v>127</v>
      </c>
      <c r="BT28" s="2" t="s">
        <v>207</v>
      </c>
      <c r="BU28" s="2" t="s">
        <v>208</v>
      </c>
      <c r="BV28" s="2" t="s">
        <v>150</v>
      </c>
      <c r="BW28" s="2" t="s">
        <v>151</v>
      </c>
      <c r="BX28" s="2" t="s">
        <v>139</v>
      </c>
      <c r="BY2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8" s="2">
        <f>IF(AND(Cases[[#This Row],[Priority Level]]&gt;=3,Cases[[#This Row],[System Role]]&lt;&gt;"Productive"),1,0)</f>
        <v>0</v>
      </c>
      <c r="CA28" s="2">
        <f>IFERROR(IF(Cases[[#This Row],[Days at Customer]]&gt;MAX(1,Cases[[#This Row],[Days at SAP]]*2),1,0),0)</f>
        <v>0</v>
      </c>
      <c r="CB28" s="2">
        <f>IF(AND(Cases[[#This Row],[Initial Component]]&lt;&gt;"",Cases[[#This Row],[Component]]&lt;&gt;"",Cases[[#This Row],[Initial Component]]&lt;&gt;Cases[[#This Row],[Component]]),1,0)</f>
        <v>1</v>
      </c>
      <c r="CC28" s="2">
        <f>IF(OR(Cases[[#This Row],[Is Reopened]]="X",Cases[[#This Row],[No. of Reopenings]]&gt;0),1,0)</f>
        <v>0</v>
      </c>
      <c r="CD28" s="2">
        <f>IF(Cases[[#This Row],[Confirmation Type]]="Automatic",1,0)</f>
        <v>0</v>
      </c>
      <c r="CE28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9" spans="1:83" x14ac:dyDescent="0.2">
      <c r="A29" s="1" t="s">
        <v>337</v>
      </c>
      <c r="B29" s="2" t="s">
        <v>338</v>
      </c>
      <c r="C29" s="2" t="s">
        <v>339</v>
      </c>
      <c r="D29" s="2" t="s">
        <v>238</v>
      </c>
      <c r="E29" s="3">
        <v>7.13</v>
      </c>
      <c r="F29" s="3">
        <v>21.37</v>
      </c>
      <c r="G29" s="2" t="s">
        <v>79</v>
      </c>
      <c r="H29" s="2" t="s">
        <v>155</v>
      </c>
      <c r="I29" s="3" t="s">
        <v>81</v>
      </c>
      <c r="J29" s="3">
        <v>30</v>
      </c>
      <c r="K29" s="2" t="s">
        <v>340</v>
      </c>
      <c r="L29" s="4">
        <v>46127</v>
      </c>
      <c r="M29" s="4">
        <v>46125</v>
      </c>
      <c r="N29" s="2" t="s">
        <v>83</v>
      </c>
      <c r="O29" s="2" t="s">
        <v>84</v>
      </c>
      <c r="P29" s="2" t="s">
        <v>193</v>
      </c>
      <c r="Q29" s="2" t="s">
        <v>86</v>
      </c>
      <c r="R29" s="2" t="s">
        <v>341</v>
      </c>
      <c r="S29" s="4">
        <v>46097</v>
      </c>
      <c r="T29" s="2" t="s">
        <v>180</v>
      </c>
      <c r="U29" s="2" t="s">
        <v>181</v>
      </c>
      <c r="V29" s="2" t="s">
        <v>260</v>
      </c>
      <c r="W29" s="2" t="s">
        <v>86</v>
      </c>
      <c r="X29" s="2" t="s">
        <v>88</v>
      </c>
      <c r="Y29" s="3" t="s">
        <v>89</v>
      </c>
      <c r="Z29" s="3">
        <v>28.51</v>
      </c>
      <c r="AA29" s="2" t="s">
        <v>90</v>
      </c>
      <c r="AB29" s="2" t="s">
        <v>341</v>
      </c>
      <c r="AC29" s="2" t="s">
        <v>339</v>
      </c>
      <c r="AD29" t="str" cm="1">
        <f t="array" ref="AD2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29" s="2" t="s">
        <v>139</v>
      </c>
      <c r="AF29" s="2" t="s">
        <v>92</v>
      </c>
      <c r="AG29" s="2" t="s">
        <v>93</v>
      </c>
      <c r="AH29" s="2" t="s">
        <v>94</v>
      </c>
      <c r="AK29" s="2" t="s">
        <v>342</v>
      </c>
      <c r="AN29" s="3">
        <v>1</v>
      </c>
      <c r="AO29" s="3">
        <v>1</v>
      </c>
      <c r="AP29" s="3">
        <v>1</v>
      </c>
      <c r="AQ29" s="3">
        <v>1</v>
      </c>
      <c r="AR29" s="3">
        <v>0</v>
      </c>
      <c r="AS29" s="3">
        <v>0</v>
      </c>
      <c r="AT29" s="3">
        <v>1</v>
      </c>
      <c r="AU29" s="3">
        <v>0</v>
      </c>
      <c r="AV29" s="3">
        <v>1</v>
      </c>
      <c r="AW29" s="3">
        <v>0</v>
      </c>
      <c r="AX29" s="3">
        <v>0</v>
      </c>
      <c r="AY29" s="3">
        <v>0</v>
      </c>
      <c r="AZ29" s="3">
        <v>1</v>
      </c>
      <c r="BA29" s="3">
        <v>1</v>
      </c>
      <c r="BB29" s="3">
        <v>0</v>
      </c>
      <c r="BC29" s="3">
        <v>0</v>
      </c>
      <c r="BD29" s="3">
        <v>0</v>
      </c>
      <c r="BE29" s="3">
        <v>0</v>
      </c>
      <c r="BG29" s="2" t="s">
        <v>139</v>
      </c>
      <c r="BH29" s="3">
        <v>2</v>
      </c>
      <c r="BJ29" s="2" t="s">
        <v>96</v>
      </c>
      <c r="BL29" s="2" t="s">
        <v>184</v>
      </c>
      <c r="BM29" s="2" t="s">
        <v>184</v>
      </c>
      <c r="BN29" s="2" t="s">
        <v>124</v>
      </c>
      <c r="BO29" s="2" t="s">
        <v>125</v>
      </c>
      <c r="BP29" s="2" t="s">
        <v>242</v>
      </c>
      <c r="BQ29" s="2" t="s">
        <v>124</v>
      </c>
      <c r="BR29" s="2" t="s">
        <v>126</v>
      </c>
      <c r="BS29" s="2" t="s">
        <v>104</v>
      </c>
      <c r="BT29" s="2" t="s">
        <v>343</v>
      </c>
      <c r="BU29" s="2" t="s">
        <v>344</v>
      </c>
      <c r="BV29" s="2" t="s">
        <v>166</v>
      </c>
      <c r="BW29" s="2" t="s">
        <v>167</v>
      </c>
      <c r="BX29" s="2" t="s">
        <v>139</v>
      </c>
      <c r="BY2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9" s="2">
        <f>IF(AND(Cases[[#This Row],[Priority Level]]&gt;=3,Cases[[#This Row],[System Role]]&lt;&gt;"Productive"),1,0)</f>
        <v>0</v>
      </c>
      <c r="CA29" s="2">
        <f>IFERROR(IF(Cases[[#This Row],[Days at Customer]]&gt;MAX(1,Cases[[#This Row],[Days at SAP]]*2),1,0),0)</f>
        <v>1</v>
      </c>
      <c r="CB29" s="2">
        <f>IF(AND(Cases[[#This Row],[Initial Component]]&lt;&gt;"",Cases[[#This Row],[Component]]&lt;&gt;"",Cases[[#This Row],[Initial Component]]&lt;&gt;Cases[[#This Row],[Component]]),1,0)</f>
        <v>0</v>
      </c>
      <c r="CC29" s="2">
        <f>IF(OR(Cases[[#This Row],[Is Reopened]]="X",Cases[[#This Row],[No. of Reopenings]]&gt;0),1,0)</f>
        <v>0</v>
      </c>
      <c r="CD29" s="2">
        <f>IF(Cases[[#This Row],[Confirmation Type]]="Automatic",1,0)</f>
        <v>1</v>
      </c>
      <c r="CE29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0" spans="1:83" x14ac:dyDescent="0.2">
      <c r="A30" s="1" t="s">
        <v>345</v>
      </c>
      <c r="B30" s="2" t="s">
        <v>346</v>
      </c>
      <c r="C30" s="2" t="s">
        <v>347</v>
      </c>
      <c r="D30" s="2" t="s">
        <v>238</v>
      </c>
      <c r="E30" s="3">
        <v>1.67</v>
      </c>
      <c r="F30" s="3">
        <v>28.74</v>
      </c>
      <c r="G30" s="2" t="s">
        <v>79</v>
      </c>
      <c r="H30" s="2" t="s">
        <v>80</v>
      </c>
      <c r="I30" s="3" t="s">
        <v>114</v>
      </c>
      <c r="J30" s="3">
        <v>32</v>
      </c>
      <c r="K30" s="2" t="s">
        <v>348</v>
      </c>
      <c r="L30" s="4">
        <v>46127</v>
      </c>
      <c r="M30" s="4">
        <v>46126</v>
      </c>
      <c r="N30" s="2" t="s">
        <v>83</v>
      </c>
      <c r="O30" s="2" t="s">
        <v>84</v>
      </c>
      <c r="P30" s="2" t="s">
        <v>193</v>
      </c>
      <c r="Q30" s="2" t="s">
        <v>86</v>
      </c>
      <c r="R30" s="2" t="s">
        <v>349</v>
      </c>
      <c r="S30" s="4">
        <v>46095</v>
      </c>
      <c r="T30" s="2" t="s">
        <v>180</v>
      </c>
      <c r="U30" s="2" t="s">
        <v>181</v>
      </c>
      <c r="V30" s="2" t="s">
        <v>350</v>
      </c>
      <c r="W30" s="2" t="s">
        <v>86</v>
      </c>
      <c r="X30" s="2" t="s">
        <v>117</v>
      </c>
      <c r="Y30" s="3" t="s">
        <v>118</v>
      </c>
      <c r="Z30" s="3">
        <v>30.41</v>
      </c>
      <c r="AA30" s="2" t="s">
        <v>90</v>
      </c>
      <c r="AB30" s="2" t="s">
        <v>351</v>
      </c>
      <c r="AC30" s="2" t="s">
        <v>352</v>
      </c>
      <c r="AD30" t="str" cm="1">
        <f t="array" ref="AD3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30" s="2" t="s">
        <v>139</v>
      </c>
      <c r="AF30" s="2" t="s">
        <v>92</v>
      </c>
      <c r="AG30" s="2" t="s">
        <v>353</v>
      </c>
      <c r="AH30" s="2" t="s">
        <v>354</v>
      </c>
      <c r="AK30" s="2" t="s">
        <v>355</v>
      </c>
      <c r="AN30" s="3">
        <v>1</v>
      </c>
      <c r="AO30" s="3">
        <v>1</v>
      </c>
      <c r="AP30" s="3">
        <v>1</v>
      </c>
      <c r="AQ30" s="3">
        <v>1</v>
      </c>
      <c r="AR30" s="3">
        <v>0</v>
      </c>
      <c r="AS30" s="3">
        <v>0</v>
      </c>
      <c r="AT30" s="3">
        <v>1</v>
      </c>
      <c r="AU30" s="3">
        <v>0</v>
      </c>
      <c r="AV30" s="3">
        <v>1</v>
      </c>
      <c r="AW30" s="3">
        <v>0</v>
      </c>
      <c r="AX30" s="3">
        <v>0</v>
      </c>
      <c r="AY30" s="3">
        <v>0</v>
      </c>
      <c r="AZ30" s="3">
        <v>1</v>
      </c>
      <c r="BA30" s="3">
        <v>0</v>
      </c>
      <c r="BB30" s="3">
        <v>0</v>
      </c>
      <c r="BC30" s="3">
        <v>1</v>
      </c>
      <c r="BD30" s="3">
        <v>0</v>
      </c>
      <c r="BE30" s="3">
        <v>0</v>
      </c>
      <c r="BG30" s="2" t="s">
        <v>139</v>
      </c>
      <c r="BH30" s="3">
        <v>2</v>
      </c>
      <c r="BJ30" s="2" t="s">
        <v>96</v>
      </c>
      <c r="BL30" s="2" t="s">
        <v>97</v>
      </c>
      <c r="BM30" s="2" t="s">
        <v>98</v>
      </c>
      <c r="BN30" s="2" t="s">
        <v>99</v>
      </c>
      <c r="BO30" s="2" t="s">
        <v>100</v>
      </c>
      <c r="BP30" s="2" t="s">
        <v>242</v>
      </c>
      <c r="BQ30" s="2" t="s">
        <v>102</v>
      </c>
      <c r="BR30" s="2" t="s">
        <v>103</v>
      </c>
      <c r="BS30" s="2" t="s">
        <v>127</v>
      </c>
      <c r="BT30" s="2" t="s">
        <v>356</v>
      </c>
      <c r="BU30" s="2" t="s">
        <v>357</v>
      </c>
      <c r="BV30" s="2" t="s">
        <v>150</v>
      </c>
      <c r="BW30" s="2" t="s">
        <v>151</v>
      </c>
      <c r="BX30" s="2" t="s">
        <v>91</v>
      </c>
      <c r="BY3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0" s="2">
        <f>IF(AND(Cases[[#This Row],[Priority Level]]&gt;=3,Cases[[#This Row],[System Role]]&lt;&gt;"Productive"),1,0)</f>
        <v>0</v>
      </c>
      <c r="CA30" s="2">
        <f>IFERROR(IF(Cases[[#This Row],[Days at Customer]]&gt;MAX(1,Cases[[#This Row],[Days at SAP]]*2),1,0),0)</f>
        <v>1</v>
      </c>
      <c r="CB30" s="2">
        <f>IF(AND(Cases[[#This Row],[Initial Component]]&lt;&gt;"",Cases[[#This Row],[Component]]&lt;&gt;"",Cases[[#This Row],[Initial Component]]&lt;&gt;Cases[[#This Row],[Component]]),1,0)</f>
        <v>1</v>
      </c>
      <c r="CC30" s="2">
        <f>IF(OR(Cases[[#This Row],[Is Reopened]]="X",Cases[[#This Row],[No. of Reopenings]]&gt;0),1,0)</f>
        <v>0</v>
      </c>
      <c r="CD30" s="2">
        <f>IF(Cases[[#This Row],[Confirmation Type]]="Automatic",1,0)</f>
        <v>1</v>
      </c>
      <c r="CE3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1" spans="1:83" x14ac:dyDescent="0.2">
      <c r="A31" s="1" t="s">
        <v>358</v>
      </c>
      <c r="B31" s="2" t="s">
        <v>359</v>
      </c>
      <c r="C31" s="2" t="s">
        <v>360</v>
      </c>
      <c r="D31" s="2" t="s">
        <v>78</v>
      </c>
      <c r="E31" s="3">
        <v>7.65</v>
      </c>
      <c r="F31" s="3">
        <v>12.32</v>
      </c>
      <c r="G31" s="2" t="s">
        <v>190</v>
      </c>
      <c r="H31" s="2" t="s">
        <v>308</v>
      </c>
      <c r="I31" s="3" t="s">
        <v>114</v>
      </c>
      <c r="J31" s="3">
        <v>33</v>
      </c>
      <c r="K31" s="2" t="s">
        <v>361</v>
      </c>
      <c r="L31" s="4">
        <v>46117</v>
      </c>
      <c r="M31" s="4">
        <v>46114</v>
      </c>
      <c r="N31" s="2" t="s">
        <v>83</v>
      </c>
      <c r="O31" s="2" t="s">
        <v>84</v>
      </c>
      <c r="P31" s="2" t="s">
        <v>136</v>
      </c>
      <c r="Q31" s="2" t="s">
        <v>86</v>
      </c>
      <c r="R31" s="2" t="s">
        <v>362</v>
      </c>
      <c r="S31" s="4">
        <v>46094</v>
      </c>
      <c r="T31" s="2" t="s">
        <v>180</v>
      </c>
      <c r="U31" s="2" t="s">
        <v>181</v>
      </c>
      <c r="V31" s="2" t="s">
        <v>350</v>
      </c>
      <c r="W31" s="2" t="s">
        <v>86</v>
      </c>
      <c r="X31" s="2" t="s">
        <v>117</v>
      </c>
      <c r="Y31" s="3" t="s">
        <v>118</v>
      </c>
      <c r="Z31" s="3">
        <v>19.98</v>
      </c>
      <c r="AA31" s="2" t="s">
        <v>90</v>
      </c>
      <c r="AB31" s="2" t="s">
        <v>363</v>
      </c>
      <c r="AC31" s="2" t="s">
        <v>364</v>
      </c>
      <c r="AD31" t="str" cm="1">
        <f t="array" ref="AD3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31" s="2" t="s">
        <v>91</v>
      </c>
      <c r="AF31" s="2" t="s">
        <v>92</v>
      </c>
      <c r="AG31" s="2" t="s">
        <v>119</v>
      </c>
      <c r="AH31" s="2" t="s">
        <v>120</v>
      </c>
      <c r="AJ31" s="2" t="s">
        <v>122</v>
      </c>
      <c r="AK31" s="2" t="s">
        <v>365</v>
      </c>
      <c r="AN31" s="3">
        <v>1</v>
      </c>
      <c r="AO31" s="3">
        <v>1</v>
      </c>
      <c r="AP31" s="3">
        <v>1</v>
      </c>
      <c r="AQ31" s="3">
        <v>1</v>
      </c>
      <c r="AR31" s="3">
        <v>1</v>
      </c>
      <c r="AS31" s="3">
        <v>0</v>
      </c>
      <c r="AT31" s="3">
        <v>0</v>
      </c>
      <c r="AU31" s="3">
        <v>0</v>
      </c>
      <c r="AV31" s="3">
        <v>0</v>
      </c>
      <c r="AW31" s="3">
        <v>1</v>
      </c>
      <c r="AX31" s="3">
        <v>1</v>
      </c>
      <c r="AY31" s="3">
        <v>0</v>
      </c>
      <c r="AZ31" s="3">
        <v>0</v>
      </c>
      <c r="BA31" s="3">
        <v>1</v>
      </c>
      <c r="BB31" s="3">
        <v>0</v>
      </c>
      <c r="BC31" s="3">
        <v>0</v>
      </c>
      <c r="BD31" s="3">
        <v>1</v>
      </c>
      <c r="BE31" s="3">
        <v>0</v>
      </c>
      <c r="BG31" s="2" t="s">
        <v>91</v>
      </c>
      <c r="BH31" s="3">
        <v>3</v>
      </c>
      <c r="BJ31" s="2" t="s">
        <v>96</v>
      </c>
      <c r="BL31" s="2" t="s">
        <v>123</v>
      </c>
      <c r="BM31" s="2" t="s">
        <v>123</v>
      </c>
      <c r="BN31" s="2" t="s">
        <v>124</v>
      </c>
      <c r="BO31" s="2" t="s">
        <v>125</v>
      </c>
      <c r="BP31" s="2" t="s">
        <v>101</v>
      </c>
      <c r="BQ31" s="2" t="s">
        <v>124</v>
      </c>
      <c r="BR31" s="2" t="s">
        <v>126</v>
      </c>
      <c r="BS31" s="2" t="s">
        <v>127</v>
      </c>
      <c r="BT31" s="2" t="s">
        <v>199</v>
      </c>
      <c r="BU31" s="2" t="s">
        <v>200</v>
      </c>
      <c r="BV31" s="2" t="s">
        <v>166</v>
      </c>
      <c r="BW31" s="2" t="s">
        <v>167</v>
      </c>
      <c r="BX31" s="2" t="s">
        <v>91</v>
      </c>
      <c r="BY3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1" s="2">
        <f>IF(AND(Cases[[#This Row],[Priority Level]]&gt;=3,Cases[[#This Row],[System Role]]&lt;&gt;"Productive"),1,0)</f>
        <v>1</v>
      </c>
      <c r="CA31" s="2">
        <f>IFERROR(IF(Cases[[#This Row],[Days at Customer]]&gt;MAX(1,Cases[[#This Row],[Days at SAP]]*2),1,0),0)</f>
        <v>0</v>
      </c>
      <c r="CB31" s="2">
        <f>IF(AND(Cases[[#This Row],[Initial Component]]&lt;&gt;"",Cases[[#This Row],[Component]]&lt;&gt;"",Cases[[#This Row],[Initial Component]]&lt;&gt;Cases[[#This Row],[Component]]),1,0)</f>
        <v>1</v>
      </c>
      <c r="CC31" s="2">
        <f>IF(OR(Cases[[#This Row],[Is Reopened]]="X",Cases[[#This Row],[No. of Reopenings]]&gt;0),1,0)</f>
        <v>1</v>
      </c>
      <c r="CD31" s="2">
        <f>IF(Cases[[#This Row],[Confirmation Type]]="Automatic",1,0)</f>
        <v>0</v>
      </c>
      <c r="CE31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32" spans="1:83" x14ac:dyDescent="0.2">
      <c r="A32" s="1" t="s">
        <v>2556</v>
      </c>
      <c r="B32" s="2" t="s">
        <v>2557</v>
      </c>
      <c r="C32" s="2" t="s">
        <v>111</v>
      </c>
      <c r="D32" s="2" t="s">
        <v>238</v>
      </c>
      <c r="E32" s="3">
        <v>0</v>
      </c>
      <c r="F32" s="3">
        <v>22.4</v>
      </c>
      <c r="G32" s="2" t="s">
        <v>112</v>
      </c>
      <c r="H32" s="2" t="s">
        <v>113</v>
      </c>
      <c r="I32" s="3" t="s">
        <v>114</v>
      </c>
      <c r="J32" s="3">
        <v>155</v>
      </c>
      <c r="K32" s="2" t="s">
        <v>2558</v>
      </c>
      <c r="L32" s="4">
        <v>46009</v>
      </c>
      <c r="M32" s="4">
        <v>45994</v>
      </c>
      <c r="N32" s="2" t="s">
        <v>1804</v>
      </c>
      <c r="O32" s="2" t="s">
        <v>1805</v>
      </c>
      <c r="P32" s="2" t="s">
        <v>2169</v>
      </c>
      <c r="Q32" s="2" t="s">
        <v>1806</v>
      </c>
      <c r="R32" s="2" t="s">
        <v>116</v>
      </c>
      <c r="S32" s="4">
        <v>45972</v>
      </c>
      <c r="T32" s="2" t="s">
        <v>2274</v>
      </c>
      <c r="U32" s="2" t="s">
        <v>1805</v>
      </c>
      <c r="V32" s="2" t="s">
        <v>2467</v>
      </c>
      <c r="W32" s="2" t="s">
        <v>1806</v>
      </c>
      <c r="X32" s="2" t="s">
        <v>117</v>
      </c>
      <c r="Y32" s="3" t="s">
        <v>118</v>
      </c>
      <c r="Z32" s="3">
        <v>22.4</v>
      </c>
      <c r="AA32" s="2" t="s">
        <v>90</v>
      </c>
      <c r="AB32" s="2" t="s">
        <v>116</v>
      </c>
      <c r="AC32" s="2" t="s">
        <v>111</v>
      </c>
      <c r="AD32" t="str" cm="1">
        <f t="array" ref="AD3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32" s="2" t="s">
        <v>91</v>
      </c>
      <c r="AF32" s="2" t="s">
        <v>92</v>
      </c>
      <c r="AG32" s="2" t="s">
        <v>119</v>
      </c>
      <c r="AH32" s="2" t="s">
        <v>120</v>
      </c>
      <c r="AK32" s="2" t="s">
        <v>2559</v>
      </c>
      <c r="AN32" s="3">
        <v>1</v>
      </c>
      <c r="AO32" s="3">
        <v>1</v>
      </c>
      <c r="AP32" s="3">
        <v>1</v>
      </c>
      <c r="AQ32" s="3">
        <v>1</v>
      </c>
      <c r="AR32" s="3">
        <v>1</v>
      </c>
      <c r="AS32" s="3">
        <v>0</v>
      </c>
      <c r="AT32" s="3">
        <v>0</v>
      </c>
      <c r="AU32" s="3">
        <v>0</v>
      </c>
      <c r="AV32" s="3">
        <v>1</v>
      </c>
      <c r="AW32" s="3">
        <v>0</v>
      </c>
      <c r="AX32" s="3">
        <v>1</v>
      </c>
      <c r="AY32" s="3">
        <v>0</v>
      </c>
      <c r="AZ32" s="3">
        <v>0</v>
      </c>
      <c r="BA32" s="3">
        <v>0</v>
      </c>
      <c r="BB32" s="3">
        <v>0</v>
      </c>
      <c r="BC32" s="3">
        <v>1</v>
      </c>
      <c r="BD32" s="3">
        <v>0</v>
      </c>
      <c r="BE32" s="3">
        <v>0</v>
      </c>
      <c r="BG32" s="2" t="s">
        <v>91</v>
      </c>
      <c r="BH32" s="3">
        <v>3</v>
      </c>
      <c r="BI32" s="2" t="s">
        <v>122</v>
      </c>
      <c r="BJ32" s="2" t="s">
        <v>96</v>
      </c>
      <c r="BL32" s="2" t="s">
        <v>123</v>
      </c>
      <c r="BM32" s="2" t="s">
        <v>123</v>
      </c>
      <c r="BN32" s="2" t="s">
        <v>124</v>
      </c>
      <c r="BO32" s="2" t="s">
        <v>125</v>
      </c>
      <c r="BP32" s="2" t="s">
        <v>242</v>
      </c>
      <c r="BQ32" s="2" t="s">
        <v>124</v>
      </c>
      <c r="BR32" s="2" t="s">
        <v>126</v>
      </c>
      <c r="BS32" s="2" t="s">
        <v>127</v>
      </c>
      <c r="BT32" s="2" t="s">
        <v>207</v>
      </c>
      <c r="BU32" s="2" t="s">
        <v>208</v>
      </c>
      <c r="BV32" s="2" t="s">
        <v>150</v>
      </c>
      <c r="BW32" s="2" t="s">
        <v>151</v>
      </c>
      <c r="BX32" s="2" t="s">
        <v>91</v>
      </c>
      <c r="BY3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2" s="2">
        <f>IF(AND(Cases[[#This Row],[Priority Level]]&gt;=3,Cases[[#This Row],[System Role]]&lt;&gt;"Productive"),1,0)</f>
        <v>0</v>
      </c>
      <c r="CA32" s="2">
        <f>IFERROR(IF(Cases[[#This Row],[Days at Customer]]&gt;MAX(1,Cases[[#This Row],[Days at SAP]]*2),1,0),0)</f>
        <v>1</v>
      </c>
      <c r="CB32" s="2">
        <f>IF(AND(Cases[[#This Row],[Initial Component]]&lt;&gt;"",Cases[[#This Row],[Component]]&lt;&gt;"",Cases[[#This Row],[Initial Component]]&lt;&gt;Cases[[#This Row],[Component]]),1,0)</f>
        <v>0</v>
      </c>
      <c r="CC32" s="2">
        <f>IF(OR(Cases[[#This Row],[Is Reopened]]="X",Cases[[#This Row],[No. of Reopenings]]&gt;0),1,0)</f>
        <v>0</v>
      </c>
      <c r="CD32" s="2">
        <f>IF(Cases[[#This Row],[Confirmation Type]]="Automatic",1,0)</f>
        <v>1</v>
      </c>
      <c r="CE32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3" spans="1:83" x14ac:dyDescent="0.2">
      <c r="A33" s="1" t="s">
        <v>2643</v>
      </c>
      <c r="B33" s="2" t="s">
        <v>2644</v>
      </c>
      <c r="C33" s="2" t="s">
        <v>111</v>
      </c>
      <c r="D33" s="2" t="s">
        <v>238</v>
      </c>
      <c r="E33" s="3">
        <v>0</v>
      </c>
      <c r="F33" s="3">
        <v>22.5</v>
      </c>
      <c r="G33" s="2" t="s">
        <v>112</v>
      </c>
      <c r="H33" s="2" t="s">
        <v>113</v>
      </c>
      <c r="I33" s="3" t="s">
        <v>114</v>
      </c>
      <c r="J33" s="3">
        <v>162</v>
      </c>
      <c r="K33" s="2" t="s">
        <v>2645</v>
      </c>
      <c r="L33" s="4">
        <v>46009</v>
      </c>
      <c r="M33" s="4">
        <v>45993</v>
      </c>
      <c r="N33" s="2" t="s">
        <v>1804</v>
      </c>
      <c r="O33" s="2" t="s">
        <v>1805</v>
      </c>
      <c r="P33" s="2" t="s">
        <v>2169</v>
      </c>
      <c r="Q33" s="2" t="s">
        <v>1806</v>
      </c>
      <c r="R33" s="2" t="s">
        <v>116</v>
      </c>
      <c r="S33" s="4">
        <v>45965</v>
      </c>
      <c r="T33" s="2" t="s">
        <v>2274</v>
      </c>
      <c r="U33" s="2" t="s">
        <v>1805</v>
      </c>
      <c r="V33" s="2" t="s">
        <v>2583</v>
      </c>
      <c r="W33" s="2" t="s">
        <v>1806</v>
      </c>
      <c r="X33" s="2" t="s">
        <v>117</v>
      </c>
      <c r="Y33" s="3" t="s">
        <v>118</v>
      </c>
      <c r="Z33" s="3">
        <v>22.5</v>
      </c>
      <c r="AA33" s="2" t="s">
        <v>90</v>
      </c>
      <c r="AB33" s="2" t="s">
        <v>116</v>
      </c>
      <c r="AC33" s="2" t="s">
        <v>111</v>
      </c>
      <c r="AD33" t="str" cm="1">
        <f t="array" ref="AD3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33" s="2" t="s">
        <v>91</v>
      </c>
      <c r="AF33" s="2" t="s">
        <v>92</v>
      </c>
      <c r="AG33" s="2" t="s">
        <v>119</v>
      </c>
      <c r="AH33" s="2" t="s">
        <v>120</v>
      </c>
      <c r="AK33" s="2" t="s">
        <v>2646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0</v>
      </c>
      <c r="AT33" s="3">
        <v>0</v>
      </c>
      <c r="AU33" s="3">
        <v>0</v>
      </c>
      <c r="AV33" s="3">
        <v>1</v>
      </c>
      <c r="AW33" s="3">
        <v>0</v>
      </c>
      <c r="AX33" s="3">
        <v>1</v>
      </c>
      <c r="AY33" s="3">
        <v>0</v>
      </c>
      <c r="AZ33" s="3">
        <v>0</v>
      </c>
      <c r="BA33" s="3">
        <v>0</v>
      </c>
      <c r="BB33" s="3">
        <v>0</v>
      </c>
      <c r="BC33" s="3">
        <v>1</v>
      </c>
      <c r="BD33" s="3">
        <v>0</v>
      </c>
      <c r="BE33" s="3">
        <v>0</v>
      </c>
      <c r="BG33" s="2" t="s">
        <v>91</v>
      </c>
      <c r="BH33" s="3">
        <v>3</v>
      </c>
      <c r="BI33" s="2" t="s">
        <v>122</v>
      </c>
      <c r="BJ33" s="2" t="s">
        <v>96</v>
      </c>
      <c r="BL33" s="2" t="s">
        <v>123</v>
      </c>
      <c r="BM33" s="2" t="s">
        <v>123</v>
      </c>
      <c r="BN33" s="2" t="s">
        <v>124</v>
      </c>
      <c r="BO33" s="2" t="s">
        <v>125</v>
      </c>
      <c r="BP33" s="2" t="s">
        <v>242</v>
      </c>
      <c r="BQ33" s="2" t="s">
        <v>124</v>
      </c>
      <c r="BR33" s="2" t="s">
        <v>126</v>
      </c>
      <c r="BS33" s="2" t="s">
        <v>127</v>
      </c>
      <c r="BT33" s="2" t="s">
        <v>207</v>
      </c>
      <c r="BU33" s="2" t="s">
        <v>208</v>
      </c>
      <c r="BV33" s="2" t="s">
        <v>150</v>
      </c>
      <c r="BW33" s="2" t="s">
        <v>151</v>
      </c>
      <c r="BX33" s="2" t="s">
        <v>91</v>
      </c>
      <c r="BY3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3" s="2">
        <f>IF(AND(Cases[[#This Row],[Priority Level]]&gt;=3,Cases[[#This Row],[System Role]]&lt;&gt;"Productive"),1,0)</f>
        <v>0</v>
      </c>
      <c r="CA33" s="2">
        <f>IFERROR(IF(Cases[[#This Row],[Days at Customer]]&gt;MAX(1,Cases[[#This Row],[Days at SAP]]*2),1,0),0)</f>
        <v>1</v>
      </c>
      <c r="CB33" s="2">
        <f>IF(AND(Cases[[#This Row],[Initial Component]]&lt;&gt;"",Cases[[#This Row],[Component]]&lt;&gt;"",Cases[[#This Row],[Initial Component]]&lt;&gt;Cases[[#This Row],[Component]]),1,0)</f>
        <v>0</v>
      </c>
      <c r="CC33" s="2">
        <f>IF(OR(Cases[[#This Row],[Is Reopened]]="X",Cases[[#This Row],[No. of Reopenings]]&gt;0),1,0)</f>
        <v>0</v>
      </c>
      <c r="CD33" s="2">
        <f>IF(Cases[[#This Row],[Confirmation Type]]="Automatic",1,0)</f>
        <v>1</v>
      </c>
      <c r="CE33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4" spans="1:83" x14ac:dyDescent="0.2">
      <c r="A34" s="1" t="s">
        <v>376</v>
      </c>
      <c r="B34" s="2" t="s">
        <v>377</v>
      </c>
      <c r="C34" s="2" t="s">
        <v>378</v>
      </c>
      <c r="D34" s="2" t="s">
        <v>238</v>
      </c>
      <c r="E34" s="3">
        <v>0.19</v>
      </c>
      <c r="F34" s="3">
        <v>21.33</v>
      </c>
      <c r="G34" s="2" t="s">
        <v>79</v>
      </c>
      <c r="H34" s="2" t="s">
        <v>80</v>
      </c>
      <c r="I34" s="3" t="s">
        <v>114</v>
      </c>
      <c r="J34" s="3">
        <v>33</v>
      </c>
      <c r="K34" s="2" t="s">
        <v>379</v>
      </c>
      <c r="L34" s="4">
        <v>46117</v>
      </c>
      <c r="M34" s="4">
        <v>46116</v>
      </c>
      <c r="N34" s="2" t="s">
        <v>83</v>
      </c>
      <c r="O34" s="2" t="s">
        <v>84</v>
      </c>
      <c r="P34" s="2" t="s">
        <v>136</v>
      </c>
      <c r="Q34" s="2" t="s">
        <v>86</v>
      </c>
      <c r="R34" s="2" t="s">
        <v>380</v>
      </c>
      <c r="S34" s="4">
        <v>46094</v>
      </c>
      <c r="T34" s="2" t="s">
        <v>180</v>
      </c>
      <c r="U34" s="2" t="s">
        <v>181</v>
      </c>
      <c r="V34" s="2" t="s">
        <v>350</v>
      </c>
      <c r="W34" s="2" t="s">
        <v>86</v>
      </c>
      <c r="X34" s="2" t="s">
        <v>117</v>
      </c>
      <c r="Y34" s="3" t="s">
        <v>118</v>
      </c>
      <c r="Z34" s="3">
        <v>21.52</v>
      </c>
      <c r="AA34" s="2" t="s">
        <v>90</v>
      </c>
      <c r="AB34" s="2" t="s">
        <v>380</v>
      </c>
      <c r="AC34" s="2" t="s">
        <v>378</v>
      </c>
      <c r="AD34" t="str" cm="1">
        <f t="array" ref="AD3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34" s="2" t="s">
        <v>139</v>
      </c>
      <c r="AF34" s="2" t="s">
        <v>92</v>
      </c>
      <c r="AG34" s="2" t="s">
        <v>159</v>
      </c>
      <c r="AH34" s="2" t="s">
        <v>160</v>
      </c>
      <c r="AK34" s="2" t="s">
        <v>381</v>
      </c>
      <c r="AN34" s="3">
        <v>1</v>
      </c>
      <c r="AO34" s="3">
        <v>1</v>
      </c>
      <c r="AP34" s="3">
        <v>1</v>
      </c>
      <c r="AQ34" s="3">
        <v>1</v>
      </c>
      <c r="AR34" s="3">
        <v>0</v>
      </c>
      <c r="AS34" s="3">
        <v>0</v>
      </c>
      <c r="AT34" s="3">
        <v>1</v>
      </c>
      <c r="AU34" s="3">
        <v>0</v>
      </c>
      <c r="AV34" s="3">
        <v>1</v>
      </c>
      <c r="AW34" s="3">
        <v>0</v>
      </c>
      <c r="AX34" s="3">
        <v>0</v>
      </c>
      <c r="AY34" s="3">
        <v>0</v>
      </c>
      <c r="AZ34" s="3">
        <v>1</v>
      </c>
      <c r="BA34" s="3">
        <v>1</v>
      </c>
      <c r="BB34" s="3">
        <v>0</v>
      </c>
      <c r="BC34" s="3">
        <v>0</v>
      </c>
      <c r="BD34" s="3">
        <v>0</v>
      </c>
      <c r="BE34" s="3">
        <v>0</v>
      </c>
      <c r="BG34" s="2" t="s">
        <v>139</v>
      </c>
      <c r="BH34" s="3">
        <v>2</v>
      </c>
      <c r="BJ34" s="2" t="s">
        <v>96</v>
      </c>
      <c r="BL34" s="2" t="s">
        <v>382</v>
      </c>
      <c r="BM34" s="2" t="s">
        <v>382</v>
      </c>
      <c r="BN34" s="2" t="s">
        <v>99</v>
      </c>
      <c r="BO34" s="2" t="s">
        <v>100</v>
      </c>
      <c r="BP34" s="2" t="s">
        <v>242</v>
      </c>
      <c r="BQ34" s="2" t="s">
        <v>383</v>
      </c>
      <c r="BR34" s="2" t="s">
        <v>384</v>
      </c>
      <c r="BS34" s="2" t="s">
        <v>127</v>
      </c>
      <c r="BT34" s="2" t="s">
        <v>385</v>
      </c>
      <c r="BU34" s="2" t="s">
        <v>386</v>
      </c>
      <c r="BV34" s="2" t="s">
        <v>166</v>
      </c>
      <c r="BW34" s="2" t="s">
        <v>167</v>
      </c>
      <c r="BX34" s="2" t="s">
        <v>139</v>
      </c>
      <c r="BY3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4" s="2">
        <f>IF(AND(Cases[[#This Row],[Priority Level]]&gt;=3,Cases[[#This Row],[System Role]]&lt;&gt;"Productive"),1,0)</f>
        <v>0</v>
      </c>
      <c r="CA34" s="2">
        <f>IFERROR(IF(Cases[[#This Row],[Days at Customer]]&gt;MAX(1,Cases[[#This Row],[Days at SAP]]*2),1,0),0)</f>
        <v>1</v>
      </c>
      <c r="CB34" s="2">
        <f>IF(AND(Cases[[#This Row],[Initial Component]]&lt;&gt;"",Cases[[#This Row],[Component]]&lt;&gt;"",Cases[[#This Row],[Initial Component]]&lt;&gt;Cases[[#This Row],[Component]]),1,0)</f>
        <v>0</v>
      </c>
      <c r="CC34" s="2">
        <f>IF(OR(Cases[[#This Row],[Is Reopened]]="X",Cases[[#This Row],[No. of Reopenings]]&gt;0),1,0)</f>
        <v>0</v>
      </c>
      <c r="CD34" s="2">
        <f>IF(Cases[[#This Row],[Confirmation Type]]="Automatic",1,0)</f>
        <v>1</v>
      </c>
      <c r="CE3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5" spans="1:83" x14ac:dyDescent="0.2">
      <c r="A35" s="1" t="s">
        <v>387</v>
      </c>
      <c r="B35" s="2" t="s">
        <v>388</v>
      </c>
      <c r="C35" s="2" t="s">
        <v>389</v>
      </c>
      <c r="D35" s="2" t="s">
        <v>238</v>
      </c>
      <c r="E35" s="3">
        <v>3.52</v>
      </c>
      <c r="F35" s="3">
        <v>21.76</v>
      </c>
      <c r="G35" s="2" t="s">
        <v>79</v>
      </c>
      <c r="H35" s="2" t="s">
        <v>155</v>
      </c>
      <c r="I35" s="3" t="s">
        <v>114</v>
      </c>
      <c r="J35" s="3">
        <v>33</v>
      </c>
      <c r="K35" s="2" t="s">
        <v>390</v>
      </c>
      <c r="L35" s="4">
        <v>46124</v>
      </c>
      <c r="M35" s="4">
        <v>46120</v>
      </c>
      <c r="N35" s="2" t="s">
        <v>83</v>
      </c>
      <c r="O35" s="2" t="s">
        <v>84</v>
      </c>
      <c r="P35" s="2" t="s">
        <v>85</v>
      </c>
      <c r="Q35" s="2" t="s">
        <v>86</v>
      </c>
      <c r="R35" s="2" t="s">
        <v>391</v>
      </c>
      <c r="S35" s="4">
        <v>46094</v>
      </c>
      <c r="T35" s="2" t="s">
        <v>180</v>
      </c>
      <c r="U35" s="2" t="s">
        <v>181</v>
      </c>
      <c r="V35" s="2" t="s">
        <v>350</v>
      </c>
      <c r="W35" s="2" t="s">
        <v>86</v>
      </c>
      <c r="X35" s="2" t="s">
        <v>117</v>
      </c>
      <c r="Y35" s="3" t="s">
        <v>118</v>
      </c>
      <c r="Z35" s="3">
        <v>25.27</v>
      </c>
      <c r="AA35" s="2" t="s">
        <v>90</v>
      </c>
      <c r="AB35" s="2" t="s">
        <v>391</v>
      </c>
      <c r="AC35" s="2" t="s">
        <v>392</v>
      </c>
      <c r="AD35" t="str" cm="1">
        <f t="array" ref="AD3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35" s="2" t="s">
        <v>91</v>
      </c>
      <c r="AF35" s="2" t="s">
        <v>92</v>
      </c>
      <c r="AG35" s="2" t="s">
        <v>119</v>
      </c>
      <c r="AH35" s="2" t="s">
        <v>120</v>
      </c>
      <c r="AK35" s="2" t="s">
        <v>393</v>
      </c>
      <c r="AN35" s="3">
        <v>1</v>
      </c>
      <c r="AO35" s="3">
        <v>1</v>
      </c>
      <c r="AP35" s="3">
        <v>1</v>
      </c>
      <c r="AQ35" s="3">
        <v>1</v>
      </c>
      <c r="AR35" s="3">
        <v>1</v>
      </c>
      <c r="AS35" s="3">
        <v>0</v>
      </c>
      <c r="AT35" s="3">
        <v>0</v>
      </c>
      <c r="AU35" s="3">
        <v>0</v>
      </c>
      <c r="AV35" s="3">
        <v>1</v>
      </c>
      <c r="AW35" s="3">
        <v>0</v>
      </c>
      <c r="AX35" s="3">
        <v>1</v>
      </c>
      <c r="AY35" s="3">
        <v>0</v>
      </c>
      <c r="AZ35" s="3">
        <v>0</v>
      </c>
      <c r="BA35" s="3">
        <v>1</v>
      </c>
      <c r="BB35" s="3">
        <v>0</v>
      </c>
      <c r="BC35" s="3">
        <v>0</v>
      </c>
      <c r="BD35" s="3">
        <v>0</v>
      </c>
      <c r="BE35" s="3">
        <v>0</v>
      </c>
      <c r="BG35" s="2" t="s">
        <v>91</v>
      </c>
      <c r="BH35" s="3">
        <v>3</v>
      </c>
      <c r="BJ35" s="2" t="s">
        <v>96</v>
      </c>
      <c r="BL35" s="2" t="s">
        <v>123</v>
      </c>
      <c r="BM35" s="2" t="s">
        <v>123</v>
      </c>
      <c r="BN35" s="2" t="s">
        <v>124</v>
      </c>
      <c r="BO35" s="2" t="s">
        <v>125</v>
      </c>
      <c r="BP35" s="2" t="s">
        <v>242</v>
      </c>
      <c r="BQ35" s="2" t="s">
        <v>124</v>
      </c>
      <c r="BR35" s="2" t="s">
        <v>126</v>
      </c>
      <c r="BS35" s="2" t="s">
        <v>127</v>
      </c>
      <c r="BT35" s="2" t="s">
        <v>199</v>
      </c>
      <c r="BU35" s="2" t="s">
        <v>200</v>
      </c>
      <c r="BV35" s="2" t="s">
        <v>166</v>
      </c>
      <c r="BW35" s="2" t="s">
        <v>167</v>
      </c>
      <c r="BX35" s="2" t="s">
        <v>91</v>
      </c>
      <c r="BY3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5" s="2">
        <f>IF(AND(Cases[[#This Row],[Priority Level]]&gt;=3,Cases[[#This Row],[System Role]]&lt;&gt;"Productive"),1,0)</f>
        <v>1</v>
      </c>
      <c r="CA35" s="2">
        <f>IFERROR(IF(Cases[[#This Row],[Days at Customer]]&gt;MAX(1,Cases[[#This Row],[Days at SAP]]*2),1,0),0)</f>
        <v>1</v>
      </c>
      <c r="CB35" s="2">
        <f>IF(AND(Cases[[#This Row],[Initial Component]]&lt;&gt;"",Cases[[#This Row],[Component]]&lt;&gt;"",Cases[[#This Row],[Initial Component]]&lt;&gt;Cases[[#This Row],[Component]]),1,0)</f>
        <v>0</v>
      </c>
      <c r="CC35" s="2">
        <f>IF(OR(Cases[[#This Row],[Is Reopened]]="X",Cases[[#This Row],[No. of Reopenings]]&gt;0),1,0)</f>
        <v>0</v>
      </c>
      <c r="CD35" s="2">
        <f>IF(Cases[[#This Row],[Confirmation Type]]="Automatic",1,0)</f>
        <v>1</v>
      </c>
      <c r="CE35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36" spans="1:83" x14ac:dyDescent="0.2">
      <c r="A36" s="1" t="s">
        <v>394</v>
      </c>
      <c r="B36" s="2" t="s">
        <v>395</v>
      </c>
      <c r="C36" s="2" t="s">
        <v>154</v>
      </c>
      <c r="D36" s="2" t="s">
        <v>238</v>
      </c>
      <c r="E36" s="3">
        <v>6.49</v>
      </c>
      <c r="F36" s="3">
        <v>27.35</v>
      </c>
      <c r="G36" s="2" t="s">
        <v>79</v>
      </c>
      <c r="H36" s="2" t="s">
        <v>178</v>
      </c>
      <c r="I36" s="3" t="s">
        <v>114</v>
      </c>
      <c r="J36" s="3">
        <v>34</v>
      </c>
      <c r="K36" s="2" t="s">
        <v>396</v>
      </c>
      <c r="L36" s="4">
        <v>46127</v>
      </c>
      <c r="M36" s="4">
        <v>46127</v>
      </c>
      <c r="N36" s="2" t="s">
        <v>83</v>
      </c>
      <c r="O36" s="2" t="s">
        <v>84</v>
      </c>
      <c r="P36" s="2" t="s">
        <v>193</v>
      </c>
      <c r="Q36" s="2" t="s">
        <v>86</v>
      </c>
      <c r="R36" s="2" t="s">
        <v>157</v>
      </c>
      <c r="S36" s="4">
        <v>46093</v>
      </c>
      <c r="T36" s="2" t="s">
        <v>180</v>
      </c>
      <c r="U36" s="2" t="s">
        <v>181</v>
      </c>
      <c r="V36" s="2" t="s">
        <v>350</v>
      </c>
      <c r="W36" s="2" t="s">
        <v>86</v>
      </c>
      <c r="X36" s="2" t="s">
        <v>117</v>
      </c>
      <c r="Y36" s="3" t="s">
        <v>118</v>
      </c>
      <c r="Z36" s="3">
        <v>33.840000000000003</v>
      </c>
      <c r="AA36" s="2" t="s">
        <v>90</v>
      </c>
      <c r="AB36" s="2" t="s">
        <v>157</v>
      </c>
      <c r="AC36" s="2" t="s">
        <v>154</v>
      </c>
      <c r="AD36" t="str" cm="1">
        <f t="array" ref="AD3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36" s="2" t="s">
        <v>91</v>
      </c>
      <c r="AF36" s="2" t="s">
        <v>92</v>
      </c>
      <c r="AG36" s="2" t="s">
        <v>159</v>
      </c>
      <c r="AH36" s="2" t="s">
        <v>160</v>
      </c>
      <c r="AK36" s="2" t="s">
        <v>397</v>
      </c>
      <c r="AN36" s="3">
        <v>1</v>
      </c>
      <c r="AO36" s="3">
        <v>1</v>
      </c>
      <c r="AP36" s="3">
        <v>1</v>
      </c>
      <c r="AQ36" s="3">
        <v>1</v>
      </c>
      <c r="AR36" s="3">
        <v>1</v>
      </c>
      <c r="AS36" s="3">
        <v>0</v>
      </c>
      <c r="AT36" s="3">
        <v>0</v>
      </c>
      <c r="AU36" s="3">
        <v>0</v>
      </c>
      <c r="AV36" s="3">
        <v>1</v>
      </c>
      <c r="AW36" s="3">
        <v>0</v>
      </c>
      <c r="AX36" s="3">
        <v>1</v>
      </c>
      <c r="AY36" s="3">
        <v>0</v>
      </c>
      <c r="AZ36" s="3">
        <v>0</v>
      </c>
      <c r="BA36" s="3">
        <v>0</v>
      </c>
      <c r="BB36" s="3">
        <v>0</v>
      </c>
      <c r="BC36" s="3">
        <v>1</v>
      </c>
      <c r="BD36" s="3">
        <v>0</v>
      </c>
      <c r="BE36" s="3">
        <v>0</v>
      </c>
      <c r="BG36" s="2" t="s">
        <v>91</v>
      </c>
      <c r="BH36" s="3">
        <v>3</v>
      </c>
      <c r="BJ36" s="2" t="s">
        <v>96</v>
      </c>
      <c r="BL36" s="2" t="s">
        <v>162</v>
      </c>
      <c r="BM36" s="2" t="s">
        <v>163</v>
      </c>
      <c r="BN36" s="2" t="s">
        <v>99</v>
      </c>
      <c r="BO36" s="2" t="s">
        <v>100</v>
      </c>
      <c r="BP36" s="2" t="s">
        <v>242</v>
      </c>
      <c r="BQ36" s="2" t="s">
        <v>102</v>
      </c>
      <c r="BR36" s="2" t="s">
        <v>103</v>
      </c>
      <c r="BS36" s="2" t="s">
        <v>127</v>
      </c>
      <c r="BT36" s="2" t="s">
        <v>398</v>
      </c>
      <c r="BU36" s="2" t="s">
        <v>399</v>
      </c>
      <c r="BV36" s="2" t="s">
        <v>150</v>
      </c>
      <c r="BW36" s="2" t="s">
        <v>151</v>
      </c>
      <c r="BX36" s="2" t="s">
        <v>91</v>
      </c>
      <c r="BY3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6" s="2">
        <f>IF(AND(Cases[[#This Row],[Priority Level]]&gt;=3,Cases[[#This Row],[System Role]]&lt;&gt;"Productive"),1,0)</f>
        <v>0</v>
      </c>
      <c r="CA36" s="2">
        <f>IFERROR(IF(Cases[[#This Row],[Days at Customer]]&gt;MAX(1,Cases[[#This Row],[Days at SAP]]*2),1,0),0)</f>
        <v>1</v>
      </c>
      <c r="CB36" s="2">
        <f>IF(AND(Cases[[#This Row],[Initial Component]]&lt;&gt;"",Cases[[#This Row],[Component]]&lt;&gt;"",Cases[[#This Row],[Initial Component]]&lt;&gt;Cases[[#This Row],[Component]]),1,0)</f>
        <v>0</v>
      </c>
      <c r="CC36" s="2">
        <f>IF(OR(Cases[[#This Row],[Is Reopened]]="X",Cases[[#This Row],[No. of Reopenings]]&gt;0),1,0)</f>
        <v>0</v>
      </c>
      <c r="CD36" s="2">
        <f>IF(Cases[[#This Row],[Confirmation Type]]="Automatic",1,0)</f>
        <v>1</v>
      </c>
      <c r="CE3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7" spans="1:83" x14ac:dyDescent="0.2">
      <c r="A37" s="1" t="s">
        <v>2739</v>
      </c>
      <c r="B37" s="2" t="s">
        <v>2740</v>
      </c>
      <c r="C37" s="2" t="s">
        <v>572</v>
      </c>
      <c r="D37" s="2" t="s">
        <v>238</v>
      </c>
      <c r="E37" s="3">
        <v>4.1500000000000004</v>
      </c>
      <c r="F37" s="3">
        <v>31.44</v>
      </c>
      <c r="G37" s="2" t="s">
        <v>79</v>
      </c>
      <c r="H37" s="2" t="s">
        <v>178</v>
      </c>
      <c r="I37" s="3" t="s">
        <v>114</v>
      </c>
      <c r="J37" s="3">
        <v>166</v>
      </c>
      <c r="K37" s="2" t="s">
        <v>2741</v>
      </c>
      <c r="L37" s="4">
        <v>46009</v>
      </c>
      <c r="M37" s="4">
        <v>45996</v>
      </c>
      <c r="N37" s="2" t="s">
        <v>1804</v>
      </c>
      <c r="O37" s="2" t="s">
        <v>1805</v>
      </c>
      <c r="P37" s="2" t="s">
        <v>2169</v>
      </c>
      <c r="Q37" s="2" t="s">
        <v>1806</v>
      </c>
      <c r="R37" s="2" t="s">
        <v>574</v>
      </c>
      <c r="S37" s="4">
        <v>45961</v>
      </c>
      <c r="T37" s="2" t="s">
        <v>2727</v>
      </c>
      <c r="U37" s="2" t="s">
        <v>1805</v>
      </c>
      <c r="V37" s="2" t="s">
        <v>2717</v>
      </c>
      <c r="W37" s="2" t="s">
        <v>1806</v>
      </c>
      <c r="X37" s="2" t="s">
        <v>117</v>
      </c>
      <c r="Y37" s="3" t="s">
        <v>118</v>
      </c>
      <c r="Z37" s="3">
        <v>35.590000000000003</v>
      </c>
      <c r="AA37" s="2" t="s">
        <v>138</v>
      </c>
      <c r="AB37" s="2" t="s">
        <v>574</v>
      </c>
      <c r="AC37" s="2" t="s">
        <v>572</v>
      </c>
      <c r="AD37" t="str" cm="1">
        <f t="array" ref="AD3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37" s="2" t="s">
        <v>91</v>
      </c>
      <c r="AF37" s="2" t="s">
        <v>92</v>
      </c>
      <c r="AG37" s="2" t="s">
        <v>575</v>
      </c>
      <c r="AH37" s="2" t="s">
        <v>576</v>
      </c>
      <c r="AJ37" s="2" t="s">
        <v>122</v>
      </c>
      <c r="AK37" s="2" t="s">
        <v>2742</v>
      </c>
      <c r="AN37" s="3">
        <v>1</v>
      </c>
      <c r="AO37" s="3">
        <v>1</v>
      </c>
      <c r="AP37" s="3">
        <v>1</v>
      </c>
      <c r="AQ37" s="3">
        <v>1</v>
      </c>
      <c r="AR37" s="3">
        <v>1</v>
      </c>
      <c r="AS37" s="3">
        <v>0</v>
      </c>
      <c r="AT37" s="3">
        <v>0</v>
      </c>
      <c r="AU37" s="3">
        <v>0</v>
      </c>
      <c r="AV37" s="3">
        <v>1</v>
      </c>
      <c r="AW37" s="3">
        <v>0</v>
      </c>
      <c r="AX37" s="3">
        <v>1</v>
      </c>
      <c r="AY37" s="3">
        <v>0</v>
      </c>
      <c r="AZ37" s="3">
        <v>0</v>
      </c>
      <c r="BA37" s="3">
        <v>0</v>
      </c>
      <c r="BB37" s="3">
        <v>0</v>
      </c>
      <c r="BC37" s="3">
        <v>1</v>
      </c>
      <c r="BD37" s="3">
        <v>1</v>
      </c>
      <c r="BE37" s="3">
        <v>0</v>
      </c>
      <c r="BG37" s="2" t="s">
        <v>91</v>
      </c>
      <c r="BH37" s="3">
        <v>3</v>
      </c>
      <c r="BJ37" s="2" t="s">
        <v>96</v>
      </c>
      <c r="BL37" s="2" t="s">
        <v>578</v>
      </c>
      <c r="BM37" s="2" t="s">
        <v>579</v>
      </c>
      <c r="BN37" s="2" t="s">
        <v>99</v>
      </c>
      <c r="BO37" s="2" t="s">
        <v>100</v>
      </c>
      <c r="BP37" s="2" t="s">
        <v>242</v>
      </c>
      <c r="BQ37" s="2" t="s">
        <v>145</v>
      </c>
      <c r="BR37" s="2" t="s">
        <v>146</v>
      </c>
      <c r="BS37" s="2" t="s">
        <v>450</v>
      </c>
      <c r="BT37" s="2" t="s">
        <v>148</v>
      </c>
      <c r="BU37" s="2" t="s">
        <v>2539</v>
      </c>
      <c r="BV37" s="2" t="s">
        <v>150</v>
      </c>
      <c r="BW37" s="2" t="s">
        <v>151</v>
      </c>
      <c r="BX37" s="2" t="s">
        <v>91</v>
      </c>
      <c r="BY3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7" s="2">
        <f>IF(AND(Cases[[#This Row],[Priority Level]]&gt;=3,Cases[[#This Row],[System Role]]&lt;&gt;"Productive"),1,0)</f>
        <v>0</v>
      </c>
      <c r="CA37" s="2">
        <f>IFERROR(IF(Cases[[#This Row],[Days at Customer]]&gt;MAX(1,Cases[[#This Row],[Days at SAP]]*2),1,0),0)</f>
        <v>1</v>
      </c>
      <c r="CB37" s="2">
        <f>IF(AND(Cases[[#This Row],[Initial Component]]&lt;&gt;"",Cases[[#This Row],[Component]]&lt;&gt;"",Cases[[#This Row],[Initial Component]]&lt;&gt;Cases[[#This Row],[Component]]),1,0)</f>
        <v>0</v>
      </c>
      <c r="CC37" s="2">
        <f>IF(OR(Cases[[#This Row],[Is Reopened]]="X",Cases[[#This Row],[No. of Reopenings]]&gt;0),1,0)</f>
        <v>1</v>
      </c>
      <c r="CD37" s="2">
        <f>IF(Cases[[#This Row],[Confirmation Type]]="Automatic",1,0)</f>
        <v>1</v>
      </c>
      <c r="CE37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38" spans="1:83" x14ac:dyDescent="0.2">
      <c r="A38" s="1" t="s">
        <v>404</v>
      </c>
      <c r="B38" s="2" t="s">
        <v>405</v>
      </c>
      <c r="C38" s="2" t="s">
        <v>406</v>
      </c>
      <c r="D38" s="2" t="s">
        <v>78</v>
      </c>
      <c r="E38" s="3">
        <v>20.02</v>
      </c>
      <c r="F38" s="3">
        <v>7.64</v>
      </c>
      <c r="G38" s="2" t="s">
        <v>79</v>
      </c>
      <c r="H38" s="2" t="s">
        <v>155</v>
      </c>
      <c r="I38" s="3" t="s">
        <v>114</v>
      </c>
      <c r="J38" s="3">
        <v>34</v>
      </c>
      <c r="K38" s="2" t="s">
        <v>407</v>
      </c>
      <c r="L38" s="4">
        <v>46124</v>
      </c>
      <c r="M38" s="4">
        <v>46121</v>
      </c>
      <c r="N38" s="2" t="s">
        <v>83</v>
      </c>
      <c r="O38" s="2" t="s">
        <v>84</v>
      </c>
      <c r="P38" s="2" t="s">
        <v>85</v>
      </c>
      <c r="Q38" s="2" t="s">
        <v>86</v>
      </c>
      <c r="R38" s="2" t="s">
        <v>408</v>
      </c>
      <c r="S38" s="4">
        <v>46093</v>
      </c>
      <c r="T38" s="2" t="s">
        <v>180</v>
      </c>
      <c r="U38" s="2" t="s">
        <v>181</v>
      </c>
      <c r="V38" s="2" t="s">
        <v>350</v>
      </c>
      <c r="W38" s="2" t="s">
        <v>86</v>
      </c>
      <c r="X38" s="2" t="s">
        <v>117</v>
      </c>
      <c r="Y38" s="3" t="s">
        <v>118</v>
      </c>
      <c r="Z38" s="3">
        <v>27.67</v>
      </c>
      <c r="AA38" s="2" t="s">
        <v>90</v>
      </c>
      <c r="AB38" s="2" t="s">
        <v>408</v>
      </c>
      <c r="AC38" s="2" t="s">
        <v>406</v>
      </c>
      <c r="AD38" t="str" cm="1">
        <f t="array" ref="AD3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38" s="2" t="s">
        <v>91</v>
      </c>
      <c r="AF38" s="2" t="s">
        <v>92</v>
      </c>
      <c r="AG38" s="2" t="s">
        <v>119</v>
      </c>
      <c r="AH38" s="2" t="s">
        <v>120</v>
      </c>
      <c r="AK38" s="2" t="s">
        <v>409</v>
      </c>
      <c r="AN38" s="3">
        <v>1</v>
      </c>
      <c r="AO38" s="3">
        <v>1</v>
      </c>
      <c r="AP38" s="3">
        <v>1</v>
      </c>
      <c r="AQ38" s="3">
        <v>1</v>
      </c>
      <c r="AR38" s="3">
        <v>1</v>
      </c>
      <c r="AS38" s="3">
        <v>0</v>
      </c>
      <c r="AT38" s="3">
        <v>0</v>
      </c>
      <c r="AU38" s="3">
        <v>0</v>
      </c>
      <c r="AV38" s="3">
        <v>0</v>
      </c>
      <c r="AW38" s="3">
        <v>1</v>
      </c>
      <c r="AX38" s="3">
        <v>1</v>
      </c>
      <c r="AY38" s="3">
        <v>0</v>
      </c>
      <c r="AZ38" s="3">
        <v>0</v>
      </c>
      <c r="BA38" s="3">
        <v>1</v>
      </c>
      <c r="BB38" s="3">
        <v>0</v>
      </c>
      <c r="BC38" s="3">
        <v>0</v>
      </c>
      <c r="BD38" s="3">
        <v>0</v>
      </c>
      <c r="BE38" s="3">
        <v>0</v>
      </c>
      <c r="BG38" s="2" t="s">
        <v>91</v>
      </c>
      <c r="BH38" s="3">
        <v>3</v>
      </c>
      <c r="BJ38" s="2" t="s">
        <v>96</v>
      </c>
      <c r="BL38" s="2" t="s">
        <v>123</v>
      </c>
      <c r="BM38" s="2" t="s">
        <v>123</v>
      </c>
      <c r="BN38" s="2" t="s">
        <v>124</v>
      </c>
      <c r="BO38" s="2" t="s">
        <v>125</v>
      </c>
      <c r="BP38" s="2" t="s">
        <v>101</v>
      </c>
      <c r="BQ38" s="2" t="s">
        <v>124</v>
      </c>
      <c r="BR38" s="2" t="s">
        <v>126</v>
      </c>
      <c r="BS38" s="2" t="s">
        <v>127</v>
      </c>
      <c r="BT38" s="2" t="s">
        <v>410</v>
      </c>
      <c r="BU38" s="2" t="s">
        <v>411</v>
      </c>
      <c r="BV38" s="2" t="s">
        <v>166</v>
      </c>
      <c r="BW38" s="2" t="s">
        <v>167</v>
      </c>
      <c r="BX38" s="2" t="s">
        <v>91</v>
      </c>
      <c r="BY3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8" s="2">
        <f>IF(AND(Cases[[#This Row],[Priority Level]]&gt;=3,Cases[[#This Row],[System Role]]&lt;&gt;"Productive"),1,0)</f>
        <v>1</v>
      </c>
      <c r="CA38" s="2">
        <f>IFERROR(IF(Cases[[#This Row],[Days at Customer]]&gt;MAX(1,Cases[[#This Row],[Days at SAP]]*2),1,0),0)</f>
        <v>0</v>
      </c>
      <c r="CB38" s="2">
        <f>IF(AND(Cases[[#This Row],[Initial Component]]&lt;&gt;"",Cases[[#This Row],[Component]]&lt;&gt;"",Cases[[#This Row],[Initial Component]]&lt;&gt;Cases[[#This Row],[Component]]),1,0)</f>
        <v>0</v>
      </c>
      <c r="CC38" s="2">
        <f>IF(OR(Cases[[#This Row],[Is Reopened]]="X",Cases[[#This Row],[No. of Reopenings]]&gt;0),1,0)</f>
        <v>0</v>
      </c>
      <c r="CD38" s="2">
        <f>IF(Cases[[#This Row],[Confirmation Type]]="Automatic",1,0)</f>
        <v>0</v>
      </c>
      <c r="CE38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9" spans="1:83" x14ac:dyDescent="0.2">
      <c r="A39" s="1" t="s">
        <v>412</v>
      </c>
      <c r="B39" s="2" t="s">
        <v>413</v>
      </c>
      <c r="C39" s="2" t="s">
        <v>414</v>
      </c>
      <c r="D39" s="2" t="s">
        <v>238</v>
      </c>
      <c r="E39" s="3">
        <v>0.8</v>
      </c>
      <c r="F39" s="3">
        <v>21.77</v>
      </c>
      <c r="G39" s="2" t="s">
        <v>190</v>
      </c>
      <c r="H39" s="2" t="s">
        <v>191</v>
      </c>
      <c r="I39" s="3" t="s">
        <v>114</v>
      </c>
      <c r="J39" s="3">
        <v>34</v>
      </c>
      <c r="K39" s="2" t="s">
        <v>415</v>
      </c>
      <c r="L39" s="4">
        <v>46117</v>
      </c>
      <c r="M39" s="4">
        <v>46116</v>
      </c>
      <c r="N39" s="2" t="s">
        <v>83</v>
      </c>
      <c r="O39" s="2" t="s">
        <v>84</v>
      </c>
      <c r="P39" s="2" t="s">
        <v>136</v>
      </c>
      <c r="Q39" s="2" t="s">
        <v>86</v>
      </c>
      <c r="R39" s="2" t="s">
        <v>416</v>
      </c>
      <c r="S39" s="4">
        <v>46093</v>
      </c>
      <c r="T39" s="2" t="s">
        <v>180</v>
      </c>
      <c r="U39" s="2" t="s">
        <v>181</v>
      </c>
      <c r="V39" s="2" t="s">
        <v>350</v>
      </c>
      <c r="W39" s="2" t="s">
        <v>86</v>
      </c>
      <c r="X39" s="2" t="s">
        <v>117</v>
      </c>
      <c r="Y39" s="3" t="s">
        <v>118</v>
      </c>
      <c r="Z39" s="3">
        <v>22.57</v>
      </c>
      <c r="AA39" s="2" t="s">
        <v>90</v>
      </c>
      <c r="AB39" s="2" t="s">
        <v>417</v>
      </c>
      <c r="AC39" s="2" t="s">
        <v>418</v>
      </c>
      <c r="AD39" t="str" cm="1">
        <f t="array" ref="AD3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39" s="2" t="s">
        <v>158</v>
      </c>
      <c r="AF39" s="2" t="s">
        <v>92</v>
      </c>
      <c r="AG39" s="2" t="s">
        <v>119</v>
      </c>
      <c r="AH39" s="2" t="s">
        <v>120</v>
      </c>
      <c r="AK39" s="2" t="s">
        <v>419</v>
      </c>
      <c r="AN39" s="3">
        <v>1</v>
      </c>
      <c r="AO39" s="3">
        <v>1</v>
      </c>
      <c r="AP39" s="3">
        <v>1</v>
      </c>
      <c r="AQ39" s="3">
        <v>1</v>
      </c>
      <c r="AR39" s="3">
        <v>0</v>
      </c>
      <c r="AS39" s="3">
        <v>1</v>
      </c>
      <c r="AT39" s="3">
        <v>0</v>
      </c>
      <c r="AU39" s="3">
        <v>0</v>
      </c>
      <c r="AV39" s="3">
        <v>1</v>
      </c>
      <c r="AW39" s="3">
        <v>0</v>
      </c>
      <c r="AX39" s="3">
        <v>0</v>
      </c>
      <c r="AY39" s="3">
        <v>1</v>
      </c>
      <c r="AZ39" s="3">
        <v>0</v>
      </c>
      <c r="BA39" s="3">
        <v>0</v>
      </c>
      <c r="BB39" s="3">
        <v>0</v>
      </c>
      <c r="BC39" s="3">
        <v>1</v>
      </c>
      <c r="BD39" s="3">
        <v>0</v>
      </c>
      <c r="BE39" s="3">
        <v>0</v>
      </c>
      <c r="BG39" s="2" t="s">
        <v>158</v>
      </c>
      <c r="BH39" s="3">
        <v>1</v>
      </c>
      <c r="BJ39" s="2" t="s">
        <v>96</v>
      </c>
      <c r="BL39" s="2" t="s">
        <v>123</v>
      </c>
      <c r="BM39" s="2" t="s">
        <v>123</v>
      </c>
      <c r="BN39" s="2" t="s">
        <v>124</v>
      </c>
      <c r="BO39" s="2" t="s">
        <v>125</v>
      </c>
      <c r="BP39" s="2" t="s">
        <v>242</v>
      </c>
      <c r="BQ39" s="2" t="s">
        <v>124</v>
      </c>
      <c r="BR39" s="2" t="s">
        <v>126</v>
      </c>
      <c r="BS39" s="2" t="s">
        <v>127</v>
      </c>
      <c r="BT39" s="2" t="s">
        <v>420</v>
      </c>
      <c r="BU39" s="2" t="s">
        <v>421</v>
      </c>
      <c r="BV39" s="2" t="s">
        <v>150</v>
      </c>
      <c r="BW39" s="2" t="s">
        <v>151</v>
      </c>
      <c r="BX39" s="2" t="s">
        <v>158</v>
      </c>
      <c r="BY3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9" s="2">
        <f>IF(AND(Cases[[#This Row],[Priority Level]]&gt;=3,Cases[[#This Row],[System Role]]&lt;&gt;"Productive"),1,0)</f>
        <v>0</v>
      </c>
      <c r="CA39" s="2">
        <f>IFERROR(IF(Cases[[#This Row],[Days at Customer]]&gt;MAX(1,Cases[[#This Row],[Days at SAP]]*2),1,0),0)</f>
        <v>1</v>
      </c>
      <c r="CB39" s="2">
        <f>IF(AND(Cases[[#This Row],[Initial Component]]&lt;&gt;"",Cases[[#This Row],[Component]]&lt;&gt;"",Cases[[#This Row],[Initial Component]]&lt;&gt;Cases[[#This Row],[Component]]),1,0)</f>
        <v>1</v>
      </c>
      <c r="CC39" s="2">
        <f>IF(OR(Cases[[#This Row],[Is Reopened]]="X",Cases[[#This Row],[No. of Reopenings]]&gt;0),1,0)</f>
        <v>0</v>
      </c>
      <c r="CD39" s="2">
        <f>IF(Cases[[#This Row],[Confirmation Type]]="Automatic",1,0)</f>
        <v>1</v>
      </c>
      <c r="CE39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0" spans="1:83" x14ac:dyDescent="0.2">
      <c r="A40" s="1" t="s">
        <v>422</v>
      </c>
      <c r="B40" s="2" t="s">
        <v>423</v>
      </c>
      <c r="C40" s="2" t="s">
        <v>424</v>
      </c>
      <c r="D40" s="2" t="s">
        <v>78</v>
      </c>
      <c r="E40" s="3">
        <v>0.81</v>
      </c>
      <c r="F40" s="3">
        <v>3.19</v>
      </c>
      <c r="G40" s="2" t="s">
        <v>79</v>
      </c>
      <c r="H40" s="2" t="s">
        <v>80</v>
      </c>
      <c r="I40" s="3" t="s">
        <v>81</v>
      </c>
      <c r="J40" s="3">
        <v>34</v>
      </c>
      <c r="K40" s="2" t="s">
        <v>425</v>
      </c>
      <c r="L40" s="4">
        <v>46110</v>
      </c>
      <c r="M40" s="4">
        <v>46097</v>
      </c>
      <c r="N40" s="2" t="s">
        <v>180</v>
      </c>
      <c r="O40" s="2" t="s">
        <v>181</v>
      </c>
      <c r="P40" s="2" t="s">
        <v>260</v>
      </c>
      <c r="Q40" s="2" t="s">
        <v>86</v>
      </c>
      <c r="R40" s="2" t="s">
        <v>426</v>
      </c>
      <c r="S40" s="4">
        <v>46093</v>
      </c>
      <c r="T40" s="2" t="s">
        <v>180</v>
      </c>
      <c r="U40" s="2" t="s">
        <v>181</v>
      </c>
      <c r="V40" s="2" t="s">
        <v>350</v>
      </c>
      <c r="W40" s="2" t="s">
        <v>86</v>
      </c>
      <c r="X40" s="2" t="s">
        <v>88</v>
      </c>
      <c r="Y40" s="3" t="s">
        <v>89</v>
      </c>
      <c r="Z40" s="3">
        <v>4.01</v>
      </c>
      <c r="AA40" s="2" t="s">
        <v>90</v>
      </c>
      <c r="AB40" s="2" t="s">
        <v>427</v>
      </c>
      <c r="AC40" s="2" t="s">
        <v>428</v>
      </c>
      <c r="AD40" t="str" cm="1">
        <f t="array" ref="AD4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40" s="2" t="s">
        <v>139</v>
      </c>
      <c r="AF40" s="2" t="s">
        <v>92</v>
      </c>
      <c r="AG40" s="2" t="s">
        <v>93</v>
      </c>
      <c r="AH40" s="2" t="s">
        <v>94</v>
      </c>
      <c r="AK40" s="2" t="s">
        <v>429</v>
      </c>
      <c r="AN40" s="3">
        <v>1</v>
      </c>
      <c r="AO40" s="3">
        <v>1</v>
      </c>
      <c r="AP40" s="3">
        <v>1</v>
      </c>
      <c r="AQ40" s="3">
        <v>1</v>
      </c>
      <c r="AR40" s="3">
        <v>0</v>
      </c>
      <c r="AS40" s="3">
        <v>0</v>
      </c>
      <c r="AT40" s="3">
        <v>1</v>
      </c>
      <c r="AU40" s="3">
        <v>0</v>
      </c>
      <c r="AV40" s="3">
        <v>0</v>
      </c>
      <c r="AW40" s="3">
        <v>1</v>
      </c>
      <c r="AX40" s="3">
        <v>0</v>
      </c>
      <c r="AY40" s="3">
        <v>0</v>
      </c>
      <c r="AZ40" s="3">
        <v>1</v>
      </c>
      <c r="BA40" s="3">
        <v>0</v>
      </c>
      <c r="BB40" s="3">
        <v>0</v>
      </c>
      <c r="BC40" s="3">
        <v>1</v>
      </c>
      <c r="BD40" s="3">
        <v>0</v>
      </c>
      <c r="BE40" s="3">
        <v>0</v>
      </c>
      <c r="BG40" s="2" t="s">
        <v>139</v>
      </c>
      <c r="BH40" s="3">
        <v>2</v>
      </c>
      <c r="BJ40" s="2" t="s">
        <v>96</v>
      </c>
      <c r="BL40" s="2" t="s">
        <v>184</v>
      </c>
      <c r="BM40" s="2" t="s">
        <v>184</v>
      </c>
      <c r="BN40" s="2" t="s">
        <v>124</v>
      </c>
      <c r="BO40" s="2" t="s">
        <v>125</v>
      </c>
      <c r="BP40" s="2" t="s">
        <v>101</v>
      </c>
      <c r="BQ40" s="2" t="s">
        <v>124</v>
      </c>
      <c r="BR40" s="2" t="s">
        <v>126</v>
      </c>
      <c r="BS40" s="2" t="s">
        <v>127</v>
      </c>
      <c r="BT40" s="2" t="s">
        <v>185</v>
      </c>
      <c r="BU40" s="2" t="s">
        <v>186</v>
      </c>
      <c r="BV40" s="2" t="s">
        <v>150</v>
      </c>
      <c r="BW40" s="2" t="s">
        <v>151</v>
      </c>
      <c r="BX40" s="2" t="s">
        <v>139</v>
      </c>
      <c r="BY4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0" s="2">
        <f>IF(AND(Cases[[#This Row],[Priority Level]]&gt;=3,Cases[[#This Row],[System Role]]&lt;&gt;"Productive"),1,0)</f>
        <v>0</v>
      </c>
      <c r="CA40" s="2">
        <f>IFERROR(IF(Cases[[#This Row],[Days at Customer]]&gt;MAX(1,Cases[[#This Row],[Days at SAP]]*2),1,0),0)</f>
        <v>1</v>
      </c>
      <c r="CB40" s="2">
        <f>IF(AND(Cases[[#This Row],[Initial Component]]&lt;&gt;"",Cases[[#This Row],[Component]]&lt;&gt;"",Cases[[#This Row],[Initial Component]]&lt;&gt;Cases[[#This Row],[Component]]),1,0)</f>
        <v>1</v>
      </c>
      <c r="CC40" s="2">
        <f>IF(OR(Cases[[#This Row],[Is Reopened]]="X",Cases[[#This Row],[No. of Reopenings]]&gt;0),1,0)</f>
        <v>0</v>
      </c>
      <c r="CD40" s="2">
        <f>IF(Cases[[#This Row],[Confirmation Type]]="Automatic",1,0)</f>
        <v>0</v>
      </c>
      <c r="CE4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1" spans="1:83" x14ac:dyDescent="0.2">
      <c r="A41" s="1" t="s">
        <v>430</v>
      </c>
      <c r="B41" s="2" t="s">
        <v>431</v>
      </c>
      <c r="C41" s="2" t="s">
        <v>432</v>
      </c>
      <c r="D41" s="2" t="s">
        <v>238</v>
      </c>
      <c r="E41" s="3">
        <v>1.8</v>
      </c>
      <c r="F41" s="3">
        <v>24.47</v>
      </c>
      <c r="G41" s="2" t="s">
        <v>79</v>
      </c>
      <c r="H41" s="2" t="s">
        <v>290</v>
      </c>
      <c r="I41" s="3" t="s">
        <v>114</v>
      </c>
      <c r="J41" s="3">
        <v>34</v>
      </c>
      <c r="K41" s="2" t="s">
        <v>433</v>
      </c>
      <c r="L41" s="4">
        <v>46124</v>
      </c>
      <c r="M41" s="4">
        <v>46120</v>
      </c>
      <c r="N41" s="2" t="s">
        <v>83</v>
      </c>
      <c r="O41" s="2" t="s">
        <v>84</v>
      </c>
      <c r="P41" s="2" t="s">
        <v>85</v>
      </c>
      <c r="Q41" s="2" t="s">
        <v>86</v>
      </c>
      <c r="R41" s="2" t="s">
        <v>434</v>
      </c>
      <c r="S41" s="4">
        <v>46093</v>
      </c>
      <c r="T41" s="2" t="s">
        <v>180</v>
      </c>
      <c r="U41" s="2" t="s">
        <v>181</v>
      </c>
      <c r="V41" s="2" t="s">
        <v>350</v>
      </c>
      <c r="W41" s="2" t="s">
        <v>86</v>
      </c>
      <c r="X41" s="2" t="s">
        <v>117</v>
      </c>
      <c r="Y41" s="3" t="s">
        <v>118</v>
      </c>
      <c r="Z41" s="3">
        <v>26.27</v>
      </c>
      <c r="AA41" s="2" t="s">
        <v>90</v>
      </c>
      <c r="AB41" s="2" t="s">
        <v>434</v>
      </c>
      <c r="AC41" s="2" t="s">
        <v>432</v>
      </c>
      <c r="AD41" t="str" cm="1">
        <f t="array" ref="AD4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41" s="2" t="s">
        <v>139</v>
      </c>
      <c r="AF41" s="2" t="s">
        <v>92</v>
      </c>
      <c r="AG41" s="2" t="s">
        <v>119</v>
      </c>
      <c r="AH41" s="2" t="s">
        <v>120</v>
      </c>
      <c r="AK41" s="2" t="s">
        <v>435</v>
      </c>
      <c r="AN41" s="3">
        <v>1</v>
      </c>
      <c r="AO41" s="3">
        <v>1</v>
      </c>
      <c r="AP41" s="3">
        <v>1</v>
      </c>
      <c r="AQ41" s="3">
        <v>1</v>
      </c>
      <c r="AR41" s="3">
        <v>0</v>
      </c>
      <c r="AS41" s="3">
        <v>0</v>
      </c>
      <c r="AT41" s="3">
        <v>1</v>
      </c>
      <c r="AU41" s="3">
        <v>0</v>
      </c>
      <c r="AV41" s="3">
        <v>1</v>
      </c>
      <c r="AW41" s="3">
        <v>0</v>
      </c>
      <c r="AX41" s="3">
        <v>0</v>
      </c>
      <c r="AY41" s="3">
        <v>0</v>
      </c>
      <c r="AZ41" s="3">
        <v>1</v>
      </c>
      <c r="BA41" s="3">
        <v>1</v>
      </c>
      <c r="BB41" s="3">
        <v>0</v>
      </c>
      <c r="BC41" s="3">
        <v>0</v>
      </c>
      <c r="BD41" s="3">
        <v>0</v>
      </c>
      <c r="BE41" s="3">
        <v>0</v>
      </c>
      <c r="BG41" s="2" t="s">
        <v>139</v>
      </c>
      <c r="BH41" s="3">
        <v>2</v>
      </c>
      <c r="BJ41" s="2" t="s">
        <v>96</v>
      </c>
      <c r="BL41" s="2" t="s">
        <v>123</v>
      </c>
      <c r="BM41" s="2" t="s">
        <v>123</v>
      </c>
      <c r="BN41" s="2" t="s">
        <v>124</v>
      </c>
      <c r="BO41" s="2" t="s">
        <v>125</v>
      </c>
      <c r="BP41" s="2" t="s">
        <v>242</v>
      </c>
      <c r="BQ41" s="2" t="s">
        <v>124</v>
      </c>
      <c r="BR41" s="2" t="s">
        <v>126</v>
      </c>
      <c r="BS41" s="2" t="s">
        <v>127</v>
      </c>
      <c r="BT41" s="2" t="s">
        <v>436</v>
      </c>
      <c r="BU41" s="2" t="s">
        <v>437</v>
      </c>
      <c r="BV41" s="2" t="s">
        <v>107</v>
      </c>
      <c r="BW41" s="2" t="s">
        <v>108</v>
      </c>
      <c r="BX41" s="2" t="s">
        <v>139</v>
      </c>
      <c r="BY4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1" s="2">
        <f>IF(AND(Cases[[#This Row],[Priority Level]]&gt;=3,Cases[[#This Row],[System Role]]&lt;&gt;"Productive"),1,0)</f>
        <v>0</v>
      </c>
      <c r="CA41" s="2">
        <f>IFERROR(IF(Cases[[#This Row],[Days at Customer]]&gt;MAX(1,Cases[[#This Row],[Days at SAP]]*2),1,0),0)</f>
        <v>1</v>
      </c>
      <c r="CB41" s="2">
        <f>IF(AND(Cases[[#This Row],[Initial Component]]&lt;&gt;"",Cases[[#This Row],[Component]]&lt;&gt;"",Cases[[#This Row],[Initial Component]]&lt;&gt;Cases[[#This Row],[Component]]),1,0)</f>
        <v>0</v>
      </c>
      <c r="CC41" s="2">
        <f>IF(OR(Cases[[#This Row],[Is Reopened]]="X",Cases[[#This Row],[No. of Reopenings]]&gt;0),1,0)</f>
        <v>0</v>
      </c>
      <c r="CD41" s="2">
        <f>IF(Cases[[#This Row],[Confirmation Type]]="Automatic",1,0)</f>
        <v>1</v>
      </c>
      <c r="CE41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2" spans="1:83" x14ac:dyDescent="0.2">
      <c r="A42" s="1" t="s">
        <v>438</v>
      </c>
      <c r="B42" s="2" t="s">
        <v>439</v>
      </c>
      <c r="C42" s="2" t="s">
        <v>440</v>
      </c>
      <c r="D42" s="2" t="s">
        <v>78</v>
      </c>
      <c r="E42" s="3">
        <v>0.4</v>
      </c>
      <c r="F42" s="3">
        <v>12.1</v>
      </c>
      <c r="G42" s="2" t="s">
        <v>79</v>
      </c>
      <c r="H42" s="2" t="s">
        <v>80</v>
      </c>
      <c r="I42" s="3" t="s">
        <v>114</v>
      </c>
      <c r="J42" s="3">
        <v>34</v>
      </c>
      <c r="K42" s="2" t="s">
        <v>441</v>
      </c>
      <c r="L42" s="4">
        <v>46110</v>
      </c>
      <c r="M42" s="4">
        <v>46106</v>
      </c>
      <c r="N42" s="2" t="s">
        <v>180</v>
      </c>
      <c r="O42" s="2" t="s">
        <v>181</v>
      </c>
      <c r="P42" s="2" t="s">
        <v>195</v>
      </c>
      <c r="Q42" s="2" t="s">
        <v>86</v>
      </c>
      <c r="R42" s="2" t="s">
        <v>442</v>
      </c>
      <c r="S42" s="4">
        <v>46093</v>
      </c>
      <c r="T42" s="2" t="s">
        <v>180</v>
      </c>
      <c r="U42" s="2" t="s">
        <v>181</v>
      </c>
      <c r="V42" s="2" t="s">
        <v>350</v>
      </c>
      <c r="W42" s="2" t="s">
        <v>86</v>
      </c>
      <c r="X42" s="2" t="s">
        <v>117</v>
      </c>
      <c r="Y42" s="3" t="s">
        <v>118</v>
      </c>
      <c r="Z42" s="3">
        <v>12.5</v>
      </c>
      <c r="AA42" s="2" t="s">
        <v>138</v>
      </c>
      <c r="AB42" s="2" t="s">
        <v>443</v>
      </c>
      <c r="AC42" s="2" t="s">
        <v>444</v>
      </c>
      <c r="AD42" t="str" cm="1">
        <f t="array" ref="AD4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42" s="2" t="s">
        <v>182</v>
      </c>
      <c r="AF42" s="2" t="s">
        <v>92</v>
      </c>
      <c r="AG42" s="2" t="s">
        <v>274</v>
      </c>
      <c r="AH42" s="2" t="s">
        <v>275</v>
      </c>
      <c r="AK42" s="2" t="s">
        <v>445</v>
      </c>
      <c r="AN42" s="3">
        <v>1</v>
      </c>
      <c r="AO42" s="3">
        <v>1</v>
      </c>
      <c r="AP42" s="3">
        <v>1</v>
      </c>
      <c r="AQ42" s="3">
        <v>1</v>
      </c>
      <c r="AR42" s="3">
        <v>0</v>
      </c>
      <c r="AS42" s="3">
        <v>0</v>
      </c>
      <c r="AT42" s="3">
        <v>0</v>
      </c>
      <c r="AU42" s="3">
        <v>1</v>
      </c>
      <c r="AV42" s="3">
        <v>0</v>
      </c>
      <c r="AW42" s="3">
        <v>1</v>
      </c>
      <c r="AX42" s="3">
        <v>0</v>
      </c>
      <c r="AY42" s="3">
        <v>0</v>
      </c>
      <c r="AZ42" s="3">
        <v>0</v>
      </c>
      <c r="BA42" s="3">
        <v>1</v>
      </c>
      <c r="BB42" s="3">
        <v>0</v>
      </c>
      <c r="BC42" s="3">
        <v>0</v>
      </c>
      <c r="BD42" s="3">
        <v>0</v>
      </c>
      <c r="BE42" s="3">
        <v>1</v>
      </c>
      <c r="BG42" s="2" t="s">
        <v>182</v>
      </c>
      <c r="BH42" s="3">
        <v>4</v>
      </c>
      <c r="BJ42" s="2" t="s">
        <v>96</v>
      </c>
      <c r="BL42" s="2" t="s">
        <v>446</v>
      </c>
      <c r="BM42" s="2" t="s">
        <v>447</v>
      </c>
      <c r="BN42" s="2" t="s">
        <v>279</v>
      </c>
      <c r="BO42" s="2" t="s">
        <v>280</v>
      </c>
      <c r="BP42" s="2" t="s">
        <v>101</v>
      </c>
      <c r="BQ42" s="2" t="s">
        <v>448</v>
      </c>
      <c r="BR42" s="2" t="s">
        <v>449</v>
      </c>
      <c r="BS42" s="2" t="s">
        <v>450</v>
      </c>
      <c r="BT42" s="2" t="s">
        <v>451</v>
      </c>
      <c r="BU42" s="2" t="s">
        <v>452</v>
      </c>
      <c r="BV42" s="2" t="s">
        <v>166</v>
      </c>
      <c r="BW42" s="2" t="s">
        <v>167</v>
      </c>
      <c r="BX42" s="2" t="s">
        <v>182</v>
      </c>
      <c r="BY4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2" s="2">
        <f>IF(AND(Cases[[#This Row],[Priority Level]]&gt;=3,Cases[[#This Row],[System Role]]&lt;&gt;"Productive"),1,0)</f>
        <v>1</v>
      </c>
      <c r="CA42" s="2">
        <f>IFERROR(IF(Cases[[#This Row],[Days at Customer]]&gt;MAX(1,Cases[[#This Row],[Days at SAP]]*2),1,0),0)</f>
        <v>1</v>
      </c>
      <c r="CB42" s="2">
        <f>IF(AND(Cases[[#This Row],[Initial Component]]&lt;&gt;"",Cases[[#This Row],[Component]]&lt;&gt;"",Cases[[#This Row],[Initial Component]]&lt;&gt;Cases[[#This Row],[Component]]),1,0)</f>
        <v>1</v>
      </c>
      <c r="CC42" s="2">
        <f>IF(OR(Cases[[#This Row],[Is Reopened]]="X",Cases[[#This Row],[No. of Reopenings]]&gt;0),1,0)</f>
        <v>0</v>
      </c>
      <c r="CD42" s="2">
        <f>IF(Cases[[#This Row],[Confirmation Type]]="Automatic",1,0)</f>
        <v>0</v>
      </c>
      <c r="CE42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43" spans="1:83" x14ac:dyDescent="0.2">
      <c r="A43" s="1" t="s">
        <v>453</v>
      </c>
      <c r="B43" s="2" t="s">
        <v>454</v>
      </c>
      <c r="C43" s="2" t="s">
        <v>455</v>
      </c>
      <c r="D43" s="2" t="s">
        <v>238</v>
      </c>
      <c r="E43" s="3">
        <v>3.15</v>
      </c>
      <c r="F43" s="3">
        <v>31.57</v>
      </c>
      <c r="G43" s="2" t="s">
        <v>79</v>
      </c>
      <c r="H43" s="2" t="s">
        <v>178</v>
      </c>
      <c r="I43" s="3" t="s">
        <v>114</v>
      </c>
      <c r="J43" s="3">
        <v>35</v>
      </c>
      <c r="K43" s="2" t="s">
        <v>456</v>
      </c>
      <c r="L43" s="4">
        <v>46127</v>
      </c>
      <c r="M43" s="4">
        <v>46127</v>
      </c>
      <c r="N43" s="2" t="s">
        <v>83</v>
      </c>
      <c r="O43" s="2" t="s">
        <v>84</v>
      </c>
      <c r="P43" s="2" t="s">
        <v>193</v>
      </c>
      <c r="Q43" s="2" t="s">
        <v>86</v>
      </c>
      <c r="R43" s="2" t="s">
        <v>457</v>
      </c>
      <c r="S43" s="4">
        <v>46092</v>
      </c>
      <c r="T43" s="2" t="s">
        <v>180</v>
      </c>
      <c r="U43" s="2" t="s">
        <v>181</v>
      </c>
      <c r="V43" s="2" t="s">
        <v>350</v>
      </c>
      <c r="W43" s="2" t="s">
        <v>86</v>
      </c>
      <c r="X43" s="2" t="s">
        <v>117</v>
      </c>
      <c r="Y43" s="3" t="s">
        <v>118</v>
      </c>
      <c r="Z43" s="3">
        <v>34.72</v>
      </c>
      <c r="AA43" s="2" t="s">
        <v>90</v>
      </c>
      <c r="AB43" s="2" t="s">
        <v>457</v>
      </c>
      <c r="AC43" s="2" t="s">
        <v>455</v>
      </c>
      <c r="AD43" t="str" cm="1">
        <f t="array" ref="AD4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OTC</v>
      </c>
      <c r="AE43" s="2" t="s">
        <v>139</v>
      </c>
      <c r="AF43" s="2" t="s">
        <v>92</v>
      </c>
      <c r="AG43" s="2" t="s">
        <v>119</v>
      </c>
      <c r="AH43" s="2" t="s">
        <v>120</v>
      </c>
      <c r="AK43" s="2" t="s">
        <v>458</v>
      </c>
      <c r="AN43" s="3">
        <v>1</v>
      </c>
      <c r="AO43" s="3">
        <v>1</v>
      </c>
      <c r="AP43" s="3">
        <v>1</v>
      </c>
      <c r="AQ43" s="3">
        <v>1</v>
      </c>
      <c r="AR43" s="3">
        <v>0</v>
      </c>
      <c r="AS43" s="3">
        <v>0</v>
      </c>
      <c r="AT43" s="3">
        <v>1</v>
      </c>
      <c r="AU43" s="3">
        <v>0</v>
      </c>
      <c r="AV43" s="3">
        <v>1</v>
      </c>
      <c r="AW43" s="3">
        <v>0</v>
      </c>
      <c r="AX43" s="3">
        <v>0</v>
      </c>
      <c r="AY43" s="3">
        <v>0</v>
      </c>
      <c r="AZ43" s="3">
        <v>1</v>
      </c>
      <c r="BA43" s="3">
        <v>1</v>
      </c>
      <c r="BB43" s="3">
        <v>0</v>
      </c>
      <c r="BC43" s="3">
        <v>0</v>
      </c>
      <c r="BD43" s="3">
        <v>0</v>
      </c>
      <c r="BE43" s="3">
        <v>0</v>
      </c>
      <c r="BG43" s="2" t="s">
        <v>139</v>
      </c>
      <c r="BH43" s="3">
        <v>2</v>
      </c>
      <c r="BJ43" s="2" t="s">
        <v>96</v>
      </c>
      <c r="BL43" s="2" t="s">
        <v>123</v>
      </c>
      <c r="BM43" s="2" t="s">
        <v>123</v>
      </c>
      <c r="BN43" s="2" t="s">
        <v>124</v>
      </c>
      <c r="BO43" s="2" t="s">
        <v>125</v>
      </c>
      <c r="BP43" s="2" t="s">
        <v>242</v>
      </c>
      <c r="BQ43" s="2" t="s">
        <v>124</v>
      </c>
      <c r="BR43" s="2" t="s">
        <v>126</v>
      </c>
      <c r="BS43" s="2" t="s">
        <v>127</v>
      </c>
      <c r="BT43" s="2" t="s">
        <v>199</v>
      </c>
      <c r="BU43" s="2" t="s">
        <v>200</v>
      </c>
      <c r="BV43" s="2" t="s">
        <v>166</v>
      </c>
      <c r="BW43" s="2" t="s">
        <v>167</v>
      </c>
      <c r="BX43" s="2" t="s">
        <v>139</v>
      </c>
      <c r="BY4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3" s="2">
        <f>IF(AND(Cases[[#This Row],[Priority Level]]&gt;=3,Cases[[#This Row],[System Role]]&lt;&gt;"Productive"),1,0)</f>
        <v>0</v>
      </c>
      <c r="CA43" s="2">
        <f>IFERROR(IF(Cases[[#This Row],[Days at Customer]]&gt;MAX(1,Cases[[#This Row],[Days at SAP]]*2),1,0),0)</f>
        <v>1</v>
      </c>
      <c r="CB43" s="2">
        <f>IF(AND(Cases[[#This Row],[Initial Component]]&lt;&gt;"",Cases[[#This Row],[Component]]&lt;&gt;"",Cases[[#This Row],[Initial Component]]&lt;&gt;Cases[[#This Row],[Component]]),1,0)</f>
        <v>0</v>
      </c>
      <c r="CC43" s="2">
        <f>IF(OR(Cases[[#This Row],[Is Reopened]]="X",Cases[[#This Row],[No. of Reopenings]]&gt;0),1,0)</f>
        <v>0</v>
      </c>
      <c r="CD43" s="2">
        <f>IF(Cases[[#This Row],[Confirmation Type]]="Automatic",1,0)</f>
        <v>1</v>
      </c>
      <c r="CE43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4" spans="1:83" x14ac:dyDescent="0.2">
      <c r="A44" s="1" t="s">
        <v>459</v>
      </c>
      <c r="B44" s="2" t="s">
        <v>460</v>
      </c>
      <c r="C44" s="2" t="s">
        <v>77</v>
      </c>
      <c r="D44" s="2" t="s">
        <v>238</v>
      </c>
      <c r="E44" s="3">
        <v>0.73</v>
      </c>
      <c r="F44" s="3">
        <v>21.64</v>
      </c>
      <c r="G44" s="2" t="s">
        <v>79</v>
      </c>
      <c r="H44" s="2" t="s">
        <v>178</v>
      </c>
      <c r="I44" s="3" t="s">
        <v>81</v>
      </c>
      <c r="J44" s="3">
        <v>35</v>
      </c>
      <c r="K44" s="2" t="s">
        <v>461</v>
      </c>
      <c r="L44" s="4">
        <v>46117</v>
      </c>
      <c r="M44" s="4">
        <v>46115</v>
      </c>
      <c r="N44" s="2" t="s">
        <v>83</v>
      </c>
      <c r="O44" s="2" t="s">
        <v>84</v>
      </c>
      <c r="P44" s="2" t="s">
        <v>136</v>
      </c>
      <c r="Q44" s="2" t="s">
        <v>86</v>
      </c>
      <c r="R44" s="2" t="s">
        <v>87</v>
      </c>
      <c r="S44" s="4">
        <v>46092</v>
      </c>
      <c r="T44" s="2" t="s">
        <v>180</v>
      </c>
      <c r="U44" s="2" t="s">
        <v>181</v>
      </c>
      <c r="V44" s="2" t="s">
        <v>350</v>
      </c>
      <c r="W44" s="2" t="s">
        <v>86</v>
      </c>
      <c r="X44" s="2" t="s">
        <v>88</v>
      </c>
      <c r="Y44" s="3" t="s">
        <v>89</v>
      </c>
      <c r="Z44" s="3">
        <v>22.37</v>
      </c>
      <c r="AA44" s="2" t="s">
        <v>90</v>
      </c>
      <c r="AB44" s="2" t="s">
        <v>87</v>
      </c>
      <c r="AC44" s="2" t="s">
        <v>77</v>
      </c>
      <c r="AD44" t="str" cm="1">
        <f t="array" ref="AD4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44" s="2" t="s">
        <v>139</v>
      </c>
      <c r="AF44" s="2" t="s">
        <v>92</v>
      </c>
      <c r="AG44" s="2" t="s">
        <v>93</v>
      </c>
      <c r="AH44" s="2" t="s">
        <v>94</v>
      </c>
      <c r="AK44" s="2" t="s">
        <v>462</v>
      </c>
      <c r="AN44" s="3">
        <v>1</v>
      </c>
      <c r="AO44" s="3">
        <v>1</v>
      </c>
      <c r="AP44" s="3">
        <v>1</v>
      </c>
      <c r="AQ44" s="3">
        <v>1</v>
      </c>
      <c r="AR44" s="3">
        <v>0</v>
      </c>
      <c r="AS44" s="3">
        <v>0</v>
      </c>
      <c r="AT44" s="3">
        <v>1</v>
      </c>
      <c r="AU44" s="3">
        <v>0</v>
      </c>
      <c r="AV44" s="3">
        <v>1</v>
      </c>
      <c r="AW44" s="3">
        <v>0</v>
      </c>
      <c r="AX44" s="3">
        <v>0</v>
      </c>
      <c r="AY44" s="3">
        <v>0</v>
      </c>
      <c r="AZ44" s="3">
        <v>1</v>
      </c>
      <c r="BA44" s="3">
        <v>0</v>
      </c>
      <c r="BB44" s="3">
        <v>0</v>
      </c>
      <c r="BC44" s="3">
        <v>1</v>
      </c>
      <c r="BD44" s="3">
        <v>0</v>
      </c>
      <c r="BE44" s="3">
        <v>0</v>
      </c>
      <c r="BG44" s="2" t="s">
        <v>139</v>
      </c>
      <c r="BH44" s="3">
        <v>2</v>
      </c>
      <c r="BJ44" s="2" t="s">
        <v>96</v>
      </c>
      <c r="BL44" s="2" t="s">
        <v>184</v>
      </c>
      <c r="BM44" s="2" t="s">
        <v>184</v>
      </c>
      <c r="BN44" s="2" t="s">
        <v>124</v>
      </c>
      <c r="BO44" s="2" t="s">
        <v>125</v>
      </c>
      <c r="BP44" s="2" t="s">
        <v>242</v>
      </c>
      <c r="BQ44" s="2" t="s">
        <v>124</v>
      </c>
      <c r="BR44" s="2" t="s">
        <v>126</v>
      </c>
      <c r="BS44" s="2" t="s">
        <v>127</v>
      </c>
      <c r="BT44" s="2" t="s">
        <v>185</v>
      </c>
      <c r="BU44" s="2" t="s">
        <v>186</v>
      </c>
      <c r="BV44" s="2" t="s">
        <v>150</v>
      </c>
      <c r="BW44" s="2" t="s">
        <v>151</v>
      </c>
      <c r="BX44" s="2" t="s">
        <v>139</v>
      </c>
      <c r="BY4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4" s="2">
        <f>IF(AND(Cases[[#This Row],[Priority Level]]&gt;=3,Cases[[#This Row],[System Role]]&lt;&gt;"Productive"),1,0)</f>
        <v>0</v>
      </c>
      <c r="CA44" s="2">
        <f>IFERROR(IF(Cases[[#This Row],[Days at Customer]]&gt;MAX(1,Cases[[#This Row],[Days at SAP]]*2),1,0),0)</f>
        <v>1</v>
      </c>
      <c r="CB44" s="2">
        <f>IF(AND(Cases[[#This Row],[Initial Component]]&lt;&gt;"",Cases[[#This Row],[Component]]&lt;&gt;"",Cases[[#This Row],[Initial Component]]&lt;&gt;Cases[[#This Row],[Component]]),1,0)</f>
        <v>0</v>
      </c>
      <c r="CC44" s="2">
        <f>IF(OR(Cases[[#This Row],[Is Reopened]]="X",Cases[[#This Row],[No. of Reopenings]]&gt;0),1,0)</f>
        <v>0</v>
      </c>
      <c r="CD44" s="2">
        <f>IF(Cases[[#This Row],[Confirmation Type]]="Automatic",1,0)</f>
        <v>1</v>
      </c>
      <c r="CE44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5" spans="1:83" x14ac:dyDescent="0.2">
      <c r="A45" s="1" t="s">
        <v>463</v>
      </c>
      <c r="B45" s="2" t="s">
        <v>464</v>
      </c>
      <c r="C45" s="2" t="s">
        <v>323</v>
      </c>
      <c r="D45" s="2" t="s">
        <v>238</v>
      </c>
      <c r="E45" s="3">
        <v>7.59</v>
      </c>
      <c r="F45" s="3">
        <v>25.7</v>
      </c>
      <c r="G45" s="2" t="s">
        <v>79</v>
      </c>
      <c r="H45" s="2" t="s">
        <v>178</v>
      </c>
      <c r="I45" s="3" t="s">
        <v>114</v>
      </c>
      <c r="J45" s="3">
        <v>35</v>
      </c>
      <c r="K45" s="2" t="s">
        <v>465</v>
      </c>
      <c r="L45" s="4">
        <v>46127</v>
      </c>
      <c r="M45" s="4">
        <v>46126</v>
      </c>
      <c r="N45" s="2" t="s">
        <v>83</v>
      </c>
      <c r="O45" s="2" t="s">
        <v>84</v>
      </c>
      <c r="P45" s="2" t="s">
        <v>193</v>
      </c>
      <c r="Q45" s="2" t="s">
        <v>86</v>
      </c>
      <c r="R45" s="2" t="s">
        <v>326</v>
      </c>
      <c r="S45" s="4">
        <v>46092</v>
      </c>
      <c r="T45" s="2" t="s">
        <v>180</v>
      </c>
      <c r="U45" s="2" t="s">
        <v>181</v>
      </c>
      <c r="V45" s="2" t="s">
        <v>350</v>
      </c>
      <c r="W45" s="2" t="s">
        <v>86</v>
      </c>
      <c r="X45" s="2" t="s">
        <v>117</v>
      </c>
      <c r="Y45" s="3" t="s">
        <v>118</v>
      </c>
      <c r="Z45" s="3">
        <v>33.29</v>
      </c>
      <c r="AA45" s="2" t="s">
        <v>90</v>
      </c>
      <c r="AB45" s="2" t="s">
        <v>466</v>
      </c>
      <c r="AC45" s="2" t="s">
        <v>467</v>
      </c>
      <c r="AD45" t="str" cm="1">
        <f t="array" ref="AD4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45" s="2" t="s">
        <v>158</v>
      </c>
      <c r="AF45" s="2" t="s">
        <v>92</v>
      </c>
      <c r="AG45" s="2" t="s">
        <v>119</v>
      </c>
      <c r="AH45" s="2" t="s">
        <v>120</v>
      </c>
      <c r="AK45" s="2" t="s">
        <v>468</v>
      </c>
      <c r="AN45" s="3">
        <v>1</v>
      </c>
      <c r="AO45" s="3">
        <v>1</v>
      </c>
      <c r="AP45" s="3">
        <v>1</v>
      </c>
      <c r="AQ45" s="3">
        <v>1</v>
      </c>
      <c r="AR45" s="3">
        <v>1</v>
      </c>
      <c r="AS45" s="3">
        <v>0</v>
      </c>
      <c r="AT45" s="3">
        <v>0</v>
      </c>
      <c r="AU45" s="3">
        <v>0</v>
      </c>
      <c r="AV45" s="3">
        <v>1</v>
      </c>
      <c r="AW45" s="3">
        <v>0</v>
      </c>
      <c r="AX45" s="3">
        <v>1</v>
      </c>
      <c r="AY45" s="3">
        <v>0</v>
      </c>
      <c r="AZ45" s="3">
        <v>0</v>
      </c>
      <c r="BA45" s="3">
        <v>1</v>
      </c>
      <c r="BB45" s="3">
        <v>0</v>
      </c>
      <c r="BC45" s="3">
        <v>0</v>
      </c>
      <c r="BD45" s="3">
        <v>0</v>
      </c>
      <c r="BE45" s="3">
        <v>0</v>
      </c>
      <c r="BG45" s="2" t="s">
        <v>91</v>
      </c>
      <c r="BH45" s="3">
        <v>3</v>
      </c>
      <c r="BJ45" s="2" t="s">
        <v>96</v>
      </c>
      <c r="BL45" s="2" t="s">
        <v>123</v>
      </c>
      <c r="BM45" s="2" t="s">
        <v>123</v>
      </c>
      <c r="BN45" s="2" t="s">
        <v>124</v>
      </c>
      <c r="BO45" s="2" t="s">
        <v>125</v>
      </c>
      <c r="BP45" s="2" t="s">
        <v>242</v>
      </c>
      <c r="BQ45" s="2" t="s">
        <v>124</v>
      </c>
      <c r="BR45" s="2" t="s">
        <v>126</v>
      </c>
      <c r="BS45" s="2" t="s">
        <v>127</v>
      </c>
      <c r="BT45" s="2" t="s">
        <v>199</v>
      </c>
      <c r="BU45" s="2" t="s">
        <v>200</v>
      </c>
      <c r="BV45" s="2" t="s">
        <v>166</v>
      </c>
      <c r="BW45" s="2" t="s">
        <v>167</v>
      </c>
      <c r="BX45" s="2" t="s">
        <v>91</v>
      </c>
      <c r="BY4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5" s="2">
        <f>IF(AND(Cases[[#This Row],[Priority Level]]&gt;=3,Cases[[#This Row],[System Role]]&lt;&gt;"Productive"),1,0)</f>
        <v>1</v>
      </c>
      <c r="CA45" s="2">
        <f>IFERROR(IF(Cases[[#This Row],[Days at Customer]]&gt;MAX(1,Cases[[#This Row],[Days at SAP]]*2),1,0),0)</f>
        <v>1</v>
      </c>
      <c r="CB45" s="2">
        <f>IF(AND(Cases[[#This Row],[Initial Component]]&lt;&gt;"",Cases[[#This Row],[Component]]&lt;&gt;"",Cases[[#This Row],[Initial Component]]&lt;&gt;Cases[[#This Row],[Component]]),1,0)</f>
        <v>1</v>
      </c>
      <c r="CC45" s="2">
        <f>IF(OR(Cases[[#This Row],[Is Reopened]]="X",Cases[[#This Row],[No. of Reopenings]]&gt;0),1,0)</f>
        <v>0</v>
      </c>
      <c r="CD45" s="2">
        <f>IF(Cases[[#This Row],[Confirmation Type]]="Automatic",1,0)</f>
        <v>1</v>
      </c>
      <c r="CE45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46" spans="1:83" x14ac:dyDescent="0.2">
      <c r="A46" s="1" t="s">
        <v>469</v>
      </c>
      <c r="B46" s="2" t="s">
        <v>470</v>
      </c>
      <c r="C46" s="2" t="s">
        <v>406</v>
      </c>
      <c r="D46" s="2" t="s">
        <v>78</v>
      </c>
      <c r="E46" s="3">
        <v>1.02</v>
      </c>
      <c r="F46" s="3">
        <v>0</v>
      </c>
      <c r="G46" s="2" t="s">
        <v>133</v>
      </c>
      <c r="H46" s="2" t="s">
        <v>134</v>
      </c>
      <c r="I46" s="3" t="s">
        <v>114</v>
      </c>
      <c r="J46" s="3">
        <v>35</v>
      </c>
      <c r="K46" s="2" t="s">
        <v>471</v>
      </c>
      <c r="L46" s="4">
        <v>46096</v>
      </c>
      <c r="M46" s="4">
        <v>46093</v>
      </c>
      <c r="N46" s="2" t="s">
        <v>180</v>
      </c>
      <c r="O46" s="2" t="s">
        <v>181</v>
      </c>
      <c r="P46" s="2" t="s">
        <v>350</v>
      </c>
      <c r="Q46" s="2" t="s">
        <v>86</v>
      </c>
      <c r="R46" s="2" t="s">
        <v>408</v>
      </c>
      <c r="S46" s="4">
        <v>46092</v>
      </c>
      <c r="T46" s="2" t="s">
        <v>180</v>
      </c>
      <c r="U46" s="2" t="s">
        <v>181</v>
      </c>
      <c r="V46" s="2" t="s">
        <v>350</v>
      </c>
      <c r="W46" s="2" t="s">
        <v>86</v>
      </c>
      <c r="X46" s="2" t="s">
        <v>117</v>
      </c>
      <c r="Y46" s="3" t="s">
        <v>118</v>
      </c>
      <c r="Z46" s="3">
        <v>1.02</v>
      </c>
      <c r="AA46" s="2" t="s">
        <v>90</v>
      </c>
      <c r="AB46" s="2" t="s">
        <v>408</v>
      </c>
      <c r="AC46" s="2" t="s">
        <v>406</v>
      </c>
      <c r="AD46" t="str" cm="1">
        <f t="array" ref="AD4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46" s="2" t="s">
        <v>91</v>
      </c>
      <c r="AF46" s="2" t="s">
        <v>92</v>
      </c>
      <c r="AG46" s="2" t="s">
        <v>119</v>
      </c>
      <c r="AH46" s="2" t="s">
        <v>120</v>
      </c>
      <c r="AK46" s="2" t="s">
        <v>472</v>
      </c>
      <c r="AN46" s="3">
        <v>1</v>
      </c>
      <c r="AO46" s="3">
        <v>1</v>
      </c>
      <c r="AP46" s="3">
        <v>1</v>
      </c>
      <c r="AQ46" s="3">
        <v>1</v>
      </c>
      <c r="AR46" s="3">
        <v>1</v>
      </c>
      <c r="AS46" s="3">
        <v>0</v>
      </c>
      <c r="AT46" s="3">
        <v>0</v>
      </c>
      <c r="AU46" s="3">
        <v>0</v>
      </c>
      <c r="AV46" s="3">
        <v>0</v>
      </c>
      <c r="AW46" s="3">
        <v>1</v>
      </c>
      <c r="AX46" s="3">
        <v>1</v>
      </c>
      <c r="AY46" s="3">
        <v>0</v>
      </c>
      <c r="AZ46" s="3">
        <v>0</v>
      </c>
      <c r="BA46" s="3">
        <v>1</v>
      </c>
      <c r="BB46" s="3">
        <v>0</v>
      </c>
      <c r="BC46" s="3">
        <v>0</v>
      </c>
      <c r="BD46" s="3">
        <v>0</v>
      </c>
      <c r="BE46" s="3">
        <v>0</v>
      </c>
      <c r="BG46" s="2" t="s">
        <v>91</v>
      </c>
      <c r="BH46" s="3">
        <v>3</v>
      </c>
      <c r="BJ46" s="2" t="s">
        <v>96</v>
      </c>
      <c r="BL46" s="2" t="s">
        <v>123</v>
      </c>
      <c r="BM46" s="2" t="s">
        <v>123</v>
      </c>
      <c r="BN46" s="2" t="s">
        <v>124</v>
      </c>
      <c r="BO46" s="2" t="s">
        <v>125</v>
      </c>
      <c r="BP46" s="2" t="s">
        <v>101</v>
      </c>
      <c r="BQ46" s="2" t="s">
        <v>124</v>
      </c>
      <c r="BR46" s="2" t="s">
        <v>126</v>
      </c>
      <c r="BS46" s="2" t="s">
        <v>127</v>
      </c>
      <c r="BT46" s="2" t="s">
        <v>128</v>
      </c>
      <c r="BU46" s="2" t="s">
        <v>129</v>
      </c>
      <c r="BV46" s="2" t="s">
        <v>107</v>
      </c>
      <c r="BW46" s="2" t="s">
        <v>108</v>
      </c>
      <c r="BX46" s="2" t="s">
        <v>91</v>
      </c>
      <c r="BY4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6" s="2">
        <f>IF(AND(Cases[[#This Row],[Priority Level]]&gt;=3,Cases[[#This Row],[System Role]]&lt;&gt;"Productive"),1,0)</f>
        <v>1</v>
      </c>
      <c r="CA46" s="2">
        <f>IFERROR(IF(Cases[[#This Row],[Days at Customer]]&gt;MAX(1,Cases[[#This Row],[Days at SAP]]*2),1,0),0)</f>
        <v>0</v>
      </c>
      <c r="CB46" s="2">
        <f>IF(AND(Cases[[#This Row],[Initial Component]]&lt;&gt;"",Cases[[#This Row],[Component]]&lt;&gt;"",Cases[[#This Row],[Initial Component]]&lt;&gt;Cases[[#This Row],[Component]]),1,0)</f>
        <v>0</v>
      </c>
      <c r="CC46" s="2">
        <f>IF(OR(Cases[[#This Row],[Is Reopened]]="X",Cases[[#This Row],[No. of Reopenings]]&gt;0),1,0)</f>
        <v>0</v>
      </c>
      <c r="CD46" s="2">
        <f>IF(Cases[[#This Row],[Confirmation Type]]="Automatic",1,0)</f>
        <v>0</v>
      </c>
      <c r="CE46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7" spans="1:83" x14ac:dyDescent="0.2">
      <c r="A47" s="1" t="s">
        <v>473</v>
      </c>
      <c r="B47" s="2" t="s">
        <v>474</v>
      </c>
      <c r="C47" s="2" t="s">
        <v>475</v>
      </c>
      <c r="D47" s="2" t="s">
        <v>78</v>
      </c>
      <c r="E47" s="3">
        <v>0.38</v>
      </c>
      <c r="F47" s="3">
        <v>8.25</v>
      </c>
      <c r="G47" s="2" t="s">
        <v>112</v>
      </c>
      <c r="H47" s="2" t="s">
        <v>113</v>
      </c>
      <c r="I47" s="3" t="s">
        <v>114</v>
      </c>
      <c r="J47" s="3">
        <v>36</v>
      </c>
      <c r="K47" s="2" t="s">
        <v>476</v>
      </c>
      <c r="L47" s="4">
        <v>46103</v>
      </c>
      <c r="M47" s="4">
        <v>46100</v>
      </c>
      <c r="N47" s="2" t="s">
        <v>180</v>
      </c>
      <c r="O47" s="2" t="s">
        <v>181</v>
      </c>
      <c r="P47" s="2" t="s">
        <v>260</v>
      </c>
      <c r="Q47" s="2" t="s">
        <v>86</v>
      </c>
      <c r="R47" s="2" t="s">
        <v>477</v>
      </c>
      <c r="S47" s="4">
        <v>46091</v>
      </c>
      <c r="T47" s="2" t="s">
        <v>180</v>
      </c>
      <c r="U47" s="2" t="s">
        <v>181</v>
      </c>
      <c r="V47" s="2" t="s">
        <v>350</v>
      </c>
      <c r="W47" s="2" t="s">
        <v>86</v>
      </c>
      <c r="X47" s="2" t="s">
        <v>117</v>
      </c>
      <c r="Y47" s="3" t="s">
        <v>118</v>
      </c>
      <c r="Z47" s="3">
        <v>8.6300000000000008</v>
      </c>
      <c r="AA47" s="2" t="s">
        <v>138</v>
      </c>
      <c r="AB47" s="2" t="s">
        <v>478</v>
      </c>
      <c r="AC47" s="2" t="s">
        <v>479</v>
      </c>
      <c r="AD47" t="str" cm="1">
        <f t="array" ref="AD4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47" s="2" t="s">
        <v>182</v>
      </c>
      <c r="AF47" s="2" t="s">
        <v>92</v>
      </c>
      <c r="AG47" s="2" t="s">
        <v>140</v>
      </c>
      <c r="AH47" s="2" t="s">
        <v>141</v>
      </c>
      <c r="AJ47" s="2" t="s">
        <v>122</v>
      </c>
      <c r="AK47" s="2" t="s">
        <v>480</v>
      </c>
      <c r="AN47" s="3">
        <v>1</v>
      </c>
      <c r="AO47" s="3">
        <v>1</v>
      </c>
      <c r="AP47" s="3">
        <v>1</v>
      </c>
      <c r="AQ47" s="3">
        <v>1</v>
      </c>
      <c r="AR47" s="3">
        <v>0</v>
      </c>
      <c r="AS47" s="3">
        <v>1</v>
      </c>
      <c r="AT47" s="3">
        <v>0</v>
      </c>
      <c r="AU47" s="3">
        <v>0</v>
      </c>
      <c r="AV47" s="3">
        <v>0</v>
      </c>
      <c r="AW47" s="3">
        <v>1</v>
      </c>
      <c r="AX47" s="3">
        <v>0</v>
      </c>
      <c r="AY47" s="3">
        <v>1</v>
      </c>
      <c r="AZ47" s="3">
        <v>0</v>
      </c>
      <c r="BA47" s="3">
        <v>1</v>
      </c>
      <c r="BB47" s="3">
        <v>0</v>
      </c>
      <c r="BC47" s="3">
        <v>0</v>
      </c>
      <c r="BD47" s="3">
        <v>1</v>
      </c>
      <c r="BE47" s="3">
        <v>0</v>
      </c>
      <c r="BG47" s="2" t="s">
        <v>158</v>
      </c>
      <c r="BH47" s="3">
        <v>1</v>
      </c>
      <c r="BJ47" s="2" t="s">
        <v>96</v>
      </c>
      <c r="BL47" s="2" t="s">
        <v>143</v>
      </c>
      <c r="BM47" s="2" t="s">
        <v>144</v>
      </c>
      <c r="BN47" s="2" t="s">
        <v>99</v>
      </c>
      <c r="BO47" s="2" t="s">
        <v>100</v>
      </c>
      <c r="BP47" s="2" t="s">
        <v>101</v>
      </c>
      <c r="BQ47" s="2" t="s">
        <v>145</v>
      </c>
      <c r="BR47" s="2" t="s">
        <v>146</v>
      </c>
      <c r="BS47" s="2" t="s">
        <v>147</v>
      </c>
      <c r="BT47" s="2" t="s">
        <v>148</v>
      </c>
      <c r="BU47" s="2" t="s">
        <v>262</v>
      </c>
      <c r="BV47" s="2" t="s">
        <v>107</v>
      </c>
      <c r="BW47" s="2" t="s">
        <v>108</v>
      </c>
      <c r="BX47" s="2" t="s">
        <v>182</v>
      </c>
      <c r="BY4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7" s="2">
        <f>IF(AND(Cases[[#This Row],[Priority Level]]&gt;=3,Cases[[#This Row],[System Role]]&lt;&gt;"Productive"),1,0)</f>
        <v>0</v>
      </c>
      <c r="CA47" s="2">
        <f>IFERROR(IF(Cases[[#This Row],[Days at Customer]]&gt;MAX(1,Cases[[#This Row],[Days at SAP]]*2),1,0),0)</f>
        <v>1</v>
      </c>
      <c r="CB47" s="2">
        <f>IF(AND(Cases[[#This Row],[Initial Component]]&lt;&gt;"",Cases[[#This Row],[Component]]&lt;&gt;"",Cases[[#This Row],[Initial Component]]&lt;&gt;Cases[[#This Row],[Component]]),1,0)</f>
        <v>1</v>
      </c>
      <c r="CC47" s="2">
        <f>IF(OR(Cases[[#This Row],[Is Reopened]]="X",Cases[[#This Row],[No. of Reopenings]]&gt;0),1,0)</f>
        <v>1</v>
      </c>
      <c r="CD47" s="2">
        <f>IF(Cases[[#This Row],[Confirmation Type]]="Automatic",1,0)</f>
        <v>0</v>
      </c>
      <c r="CE47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48" spans="1:83" x14ac:dyDescent="0.2">
      <c r="A48" s="1" t="s">
        <v>2762</v>
      </c>
      <c r="B48" s="2" t="s">
        <v>2763</v>
      </c>
      <c r="C48" s="2" t="s">
        <v>203</v>
      </c>
      <c r="D48" s="2" t="s">
        <v>238</v>
      </c>
      <c r="E48" s="3">
        <v>0</v>
      </c>
      <c r="F48" s="3">
        <v>21.48</v>
      </c>
      <c r="G48" s="2" t="s">
        <v>112</v>
      </c>
      <c r="H48" s="2" t="s">
        <v>113</v>
      </c>
      <c r="I48" s="3" t="s">
        <v>114</v>
      </c>
      <c r="J48" s="3">
        <v>167</v>
      </c>
      <c r="K48" s="2" t="s">
        <v>2764</v>
      </c>
      <c r="L48" s="4">
        <v>46009</v>
      </c>
      <c r="M48" s="4">
        <v>45982</v>
      </c>
      <c r="N48" s="2" t="s">
        <v>2274</v>
      </c>
      <c r="O48" s="2" t="s">
        <v>1805</v>
      </c>
      <c r="P48" s="2" t="s">
        <v>2404</v>
      </c>
      <c r="Q48" s="2" t="s">
        <v>1806</v>
      </c>
      <c r="R48" s="2" t="s">
        <v>205</v>
      </c>
      <c r="S48" s="4">
        <v>45960</v>
      </c>
      <c r="T48" s="2" t="s">
        <v>2727</v>
      </c>
      <c r="U48" s="2" t="s">
        <v>1805</v>
      </c>
      <c r="V48" s="2" t="s">
        <v>2717</v>
      </c>
      <c r="W48" s="2" t="s">
        <v>1806</v>
      </c>
      <c r="X48" s="2" t="s">
        <v>117</v>
      </c>
      <c r="Y48" s="3" t="s">
        <v>118</v>
      </c>
      <c r="Z48" s="3">
        <v>21.48</v>
      </c>
      <c r="AA48" s="2" t="s">
        <v>90</v>
      </c>
      <c r="AB48" s="2" t="s">
        <v>205</v>
      </c>
      <c r="AC48" s="2" t="s">
        <v>203</v>
      </c>
      <c r="AD48" t="str" cm="1">
        <f t="array" ref="AD4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48" s="2" t="s">
        <v>139</v>
      </c>
      <c r="AF48" s="2" t="s">
        <v>92</v>
      </c>
      <c r="AG48" s="2" t="s">
        <v>119</v>
      </c>
      <c r="AH48" s="2" t="s">
        <v>120</v>
      </c>
      <c r="AK48" s="2" t="s">
        <v>2765</v>
      </c>
      <c r="AN48" s="3">
        <v>1</v>
      </c>
      <c r="AO48" s="3">
        <v>1</v>
      </c>
      <c r="AP48" s="3">
        <v>1</v>
      </c>
      <c r="AQ48" s="3">
        <v>1</v>
      </c>
      <c r="AR48" s="3">
        <v>0</v>
      </c>
      <c r="AS48" s="3">
        <v>0</v>
      </c>
      <c r="AT48" s="3">
        <v>1</v>
      </c>
      <c r="AU48" s="3">
        <v>0</v>
      </c>
      <c r="AV48" s="3">
        <v>1</v>
      </c>
      <c r="AW48" s="3">
        <v>0</v>
      </c>
      <c r="AX48" s="3">
        <v>0</v>
      </c>
      <c r="AY48" s="3">
        <v>0</v>
      </c>
      <c r="AZ48" s="3">
        <v>1</v>
      </c>
      <c r="BA48" s="3">
        <v>0</v>
      </c>
      <c r="BB48" s="3">
        <v>0</v>
      </c>
      <c r="BC48" s="3">
        <v>1</v>
      </c>
      <c r="BD48" s="3">
        <v>0</v>
      </c>
      <c r="BE48" s="3">
        <v>0</v>
      </c>
      <c r="BG48" s="2" t="s">
        <v>139</v>
      </c>
      <c r="BH48" s="3">
        <v>2</v>
      </c>
      <c r="BI48" s="2" t="s">
        <v>122</v>
      </c>
      <c r="BJ48" s="2" t="s">
        <v>96</v>
      </c>
      <c r="BL48" s="2" t="s">
        <v>123</v>
      </c>
      <c r="BM48" s="2" t="s">
        <v>123</v>
      </c>
      <c r="BN48" s="2" t="s">
        <v>124</v>
      </c>
      <c r="BO48" s="2" t="s">
        <v>125</v>
      </c>
      <c r="BP48" s="2" t="s">
        <v>242</v>
      </c>
      <c r="BQ48" s="2" t="s">
        <v>124</v>
      </c>
      <c r="BR48" s="2" t="s">
        <v>126</v>
      </c>
      <c r="BS48" s="2" t="s">
        <v>127</v>
      </c>
      <c r="BT48" s="2" t="s">
        <v>207</v>
      </c>
      <c r="BU48" s="2" t="s">
        <v>208</v>
      </c>
      <c r="BV48" s="2" t="s">
        <v>150</v>
      </c>
      <c r="BW48" s="2" t="s">
        <v>151</v>
      </c>
      <c r="BX48" s="2" t="s">
        <v>139</v>
      </c>
      <c r="BY4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8" s="2">
        <f>IF(AND(Cases[[#This Row],[Priority Level]]&gt;=3,Cases[[#This Row],[System Role]]&lt;&gt;"Productive"),1,0)</f>
        <v>0</v>
      </c>
      <c r="CA48" s="2">
        <f>IFERROR(IF(Cases[[#This Row],[Days at Customer]]&gt;MAX(1,Cases[[#This Row],[Days at SAP]]*2),1,0),0)</f>
        <v>1</v>
      </c>
      <c r="CB48" s="2">
        <f>IF(AND(Cases[[#This Row],[Initial Component]]&lt;&gt;"",Cases[[#This Row],[Component]]&lt;&gt;"",Cases[[#This Row],[Initial Component]]&lt;&gt;Cases[[#This Row],[Component]]),1,0)</f>
        <v>0</v>
      </c>
      <c r="CC48" s="2">
        <f>IF(OR(Cases[[#This Row],[Is Reopened]]="X",Cases[[#This Row],[No. of Reopenings]]&gt;0),1,0)</f>
        <v>0</v>
      </c>
      <c r="CD48" s="2">
        <f>IF(Cases[[#This Row],[Confirmation Type]]="Automatic",1,0)</f>
        <v>1</v>
      </c>
      <c r="CE4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9" spans="1:83" x14ac:dyDescent="0.2">
      <c r="A49" s="1" t="s">
        <v>485</v>
      </c>
      <c r="B49" s="2" t="s">
        <v>486</v>
      </c>
      <c r="C49" s="2" t="s">
        <v>364</v>
      </c>
      <c r="D49" s="2" t="s">
        <v>238</v>
      </c>
      <c r="E49" s="3">
        <v>1.57</v>
      </c>
      <c r="F49" s="3">
        <v>21.7</v>
      </c>
      <c r="G49" s="2" t="s">
        <v>133</v>
      </c>
      <c r="H49" s="2" t="s">
        <v>324</v>
      </c>
      <c r="I49" s="3" t="s">
        <v>114</v>
      </c>
      <c r="J49" s="3">
        <v>36</v>
      </c>
      <c r="K49" s="2" t="s">
        <v>487</v>
      </c>
      <c r="L49" s="4">
        <v>46117</v>
      </c>
      <c r="M49" s="4">
        <v>46115</v>
      </c>
      <c r="N49" s="2" t="s">
        <v>83</v>
      </c>
      <c r="O49" s="2" t="s">
        <v>84</v>
      </c>
      <c r="P49" s="2" t="s">
        <v>136</v>
      </c>
      <c r="Q49" s="2" t="s">
        <v>86</v>
      </c>
      <c r="R49" s="2" t="s">
        <v>363</v>
      </c>
      <c r="S49" s="4">
        <v>46091</v>
      </c>
      <c r="T49" s="2" t="s">
        <v>180</v>
      </c>
      <c r="U49" s="2" t="s">
        <v>181</v>
      </c>
      <c r="V49" s="2" t="s">
        <v>350</v>
      </c>
      <c r="W49" s="2" t="s">
        <v>86</v>
      </c>
      <c r="X49" s="2" t="s">
        <v>117</v>
      </c>
      <c r="Y49" s="3" t="s">
        <v>118</v>
      </c>
      <c r="Z49" s="3">
        <v>23.27</v>
      </c>
      <c r="AA49" s="2" t="s">
        <v>90</v>
      </c>
      <c r="AB49" s="2" t="s">
        <v>488</v>
      </c>
      <c r="AC49" s="2" t="s">
        <v>489</v>
      </c>
      <c r="AD49" t="str" cm="1">
        <f t="array" ref="AD4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49" s="2" t="s">
        <v>139</v>
      </c>
      <c r="AF49" s="2" t="s">
        <v>92</v>
      </c>
      <c r="AG49" s="2" t="s">
        <v>119</v>
      </c>
      <c r="AH49" s="2" t="s">
        <v>120</v>
      </c>
      <c r="AK49" s="2" t="s">
        <v>490</v>
      </c>
      <c r="AN49" s="3">
        <v>1</v>
      </c>
      <c r="AO49" s="3">
        <v>1</v>
      </c>
      <c r="AP49" s="3">
        <v>1</v>
      </c>
      <c r="AQ49" s="3">
        <v>1</v>
      </c>
      <c r="AR49" s="3">
        <v>0</v>
      </c>
      <c r="AS49" s="3">
        <v>0</v>
      </c>
      <c r="AT49" s="3">
        <v>1</v>
      </c>
      <c r="AU49" s="3">
        <v>0</v>
      </c>
      <c r="AV49" s="3">
        <v>1</v>
      </c>
      <c r="AW49" s="3">
        <v>0</v>
      </c>
      <c r="AX49" s="3">
        <v>0</v>
      </c>
      <c r="AY49" s="3">
        <v>0</v>
      </c>
      <c r="AZ49" s="3">
        <v>1</v>
      </c>
      <c r="BA49" s="3">
        <v>0</v>
      </c>
      <c r="BB49" s="3">
        <v>0</v>
      </c>
      <c r="BC49" s="3">
        <v>1</v>
      </c>
      <c r="BD49" s="3">
        <v>0</v>
      </c>
      <c r="BE49" s="3">
        <v>0</v>
      </c>
      <c r="BG49" s="2" t="s">
        <v>139</v>
      </c>
      <c r="BH49" s="3">
        <v>2</v>
      </c>
      <c r="BJ49" s="2" t="s">
        <v>96</v>
      </c>
      <c r="BL49" s="2" t="s">
        <v>123</v>
      </c>
      <c r="BM49" s="2" t="s">
        <v>123</v>
      </c>
      <c r="BN49" s="2" t="s">
        <v>124</v>
      </c>
      <c r="BO49" s="2" t="s">
        <v>125</v>
      </c>
      <c r="BP49" s="2" t="s">
        <v>242</v>
      </c>
      <c r="BQ49" s="2" t="s">
        <v>124</v>
      </c>
      <c r="BR49" s="2" t="s">
        <v>126</v>
      </c>
      <c r="BS49" s="2" t="s">
        <v>127</v>
      </c>
      <c r="BT49" s="2" t="s">
        <v>207</v>
      </c>
      <c r="BU49" s="2" t="s">
        <v>208</v>
      </c>
      <c r="BV49" s="2" t="s">
        <v>150</v>
      </c>
      <c r="BW49" s="2" t="s">
        <v>151</v>
      </c>
      <c r="BX49" s="2" t="s">
        <v>139</v>
      </c>
      <c r="BY4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9" s="2">
        <f>IF(AND(Cases[[#This Row],[Priority Level]]&gt;=3,Cases[[#This Row],[System Role]]&lt;&gt;"Productive"),1,0)</f>
        <v>0</v>
      </c>
      <c r="CA49" s="2">
        <f>IFERROR(IF(Cases[[#This Row],[Days at Customer]]&gt;MAX(1,Cases[[#This Row],[Days at SAP]]*2),1,0),0)</f>
        <v>1</v>
      </c>
      <c r="CB49" s="2">
        <f>IF(AND(Cases[[#This Row],[Initial Component]]&lt;&gt;"",Cases[[#This Row],[Component]]&lt;&gt;"",Cases[[#This Row],[Initial Component]]&lt;&gt;Cases[[#This Row],[Component]]),1,0)</f>
        <v>1</v>
      </c>
      <c r="CC49" s="2">
        <f>IF(OR(Cases[[#This Row],[Is Reopened]]="X",Cases[[#This Row],[No. of Reopenings]]&gt;0),1,0)</f>
        <v>0</v>
      </c>
      <c r="CD49" s="2">
        <f>IF(Cases[[#This Row],[Confirmation Type]]="Automatic",1,0)</f>
        <v>1</v>
      </c>
      <c r="CE49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0" spans="1:83" x14ac:dyDescent="0.2">
      <c r="A50" s="1" t="s">
        <v>491</v>
      </c>
      <c r="B50" s="2" t="s">
        <v>492</v>
      </c>
      <c r="C50" s="2" t="s">
        <v>493</v>
      </c>
      <c r="D50" s="2" t="s">
        <v>238</v>
      </c>
      <c r="E50" s="3">
        <v>1.89</v>
      </c>
      <c r="F50" s="3">
        <v>22.87</v>
      </c>
      <c r="G50" s="2" t="s">
        <v>79</v>
      </c>
      <c r="H50" s="2" t="s">
        <v>178</v>
      </c>
      <c r="I50" s="3" t="s">
        <v>81</v>
      </c>
      <c r="J50" s="3">
        <v>36</v>
      </c>
      <c r="K50" s="2" t="s">
        <v>494</v>
      </c>
      <c r="L50" s="4">
        <v>46124</v>
      </c>
      <c r="M50" s="4">
        <v>46116</v>
      </c>
      <c r="N50" s="2" t="s">
        <v>83</v>
      </c>
      <c r="O50" s="2" t="s">
        <v>84</v>
      </c>
      <c r="P50" s="2" t="s">
        <v>136</v>
      </c>
      <c r="Q50" s="2" t="s">
        <v>86</v>
      </c>
      <c r="R50" s="2" t="s">
        <v>495</v>
      </c>
      <c r="S50" s="4">
        <v>46091</v>
      </c>
      <c r="T50" s="2" t="s">
        <v>180</v>
      </c>
      <c r="U50" s="2" t="s">
        <v>181</v>
      </c>
      <c r="V50" s="2" t="s">
        <v>350</v>
      </c>
      <c r="W50" s="2" t="s">
        <v>86</v>
      </c>
      <c r="X50" s="2" t="s">
        <v>88</v>
      </c>
      <c r="Y50" s="3" t="s">
        <v>89</v>
      </c>
      <c r="Z50" s="3">
        <v>24.77</v>
      </c>
      <c r="AA50" s="2" t="s">
        <v>90</v>
      </c>
      <c r="AB50" s="2" t="s">
        <v>495</v>
      </c>
      <c r="AC50" s="2" t="s">
        <v>493</v>
      </c>
      <c r="AD50" t="str" cm="1">
        <f t="array" ref="AD5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50" s="2" t="s">
        <v>91</v>
      </c>
      <c r="AF50" s="2" t="s">
        <v>92</v>
      </c>
      <c r="AG50" s="2" t="s">
        <v>496</v>
      </c>
      <c r="AH50" s="2" t="s">
        <v>497</v>
      </c>
      <c r="AK50" s="2" t="s">
        <v>498</v>
      </c>
      <c r="AN50" s="3">
        <v>1</v>
      </c>
      <c r="AO50" s="3">
        <v>1</v>
      </c>
      <c r="AP50" s="3">
        <v>1</v>
      </c>
      <c r="AQ50" s="3">
        <v>1</v>
      </c>
      <c r="AR50" s="3">
        <v>1</v>
      </c>
      <c r="AS50" s="3">
        <v>0</v>
      </c>
      <c r="AT50" s="3">
        <v>0</v>
      </c>
      <c r="AU50" s="3">
        <v>0</v>
      </c>
      <c r="AV50" s="3">
        <v>1</v>
      </c>
      <c r="AW50" s="3">
        <v>0</v>
      </c>
      <c r="AX50" s="3">
        <v>1</v>
      </c>
      <c r="AY50" s="3">
        <v>0</v>
      </c>
      <c r="AZ50" s="3">
        <v>0</v>
      </c>
      <c r="BA50" s="3">
        <v>0</v>
      </c>
      <c r="BB50" s="3">
        <v>0</v>
      </c>
      <c r="BC50" s="3">
        <v>1</v>
      </c>
      <c r="BD50" s="3">
        <v>0</v>
      </c>
      <c r="BE50" s="3">
        <v>0</v>
      </c>
      <c r="BG50" s="2" t="s">
        <v>91</v>
      </c>
      <c r="BH50" s="3">
        <v>3</v>
      </c>
      <c r="BJ50" s="2" t="s">
        <v>96</v>
      </c>
      <c r="BL50" s="2" t="s">
        <v>162</v>
      </c>
      <c r="BM50" s="2" t="s">
        <v>163</v>
      </c>
      <c r="BN50" s="2" t="s">
        <v>99</v>
      </c>
      <c r="BO50" s="2" t="s">
        <v>100</v>
      </c>
      <c r="BP50" s="2" t="s">
        <v>242</v>
      </c>
      <c r="BQ50" s="2" t="s">
        <v>102</v>
      </c>
      <c r="BR50" s="2" t="s">
        <v>103</v>
      </c>
      <c r="BS50" s="2" t="s">
        <v>104</v>
      </c>
      <c r="BT50" s="2" t="s">
        <v>499</v>
      </c>
      <c r="BU50" s="2" t="s">
        <v>500</v>
      </c>
      <c r="BV50" s="2" t="s">
        <v>150</v>
      </c>
      <c r="BW50" s="2" t="s">
        <v>151</v>
      </c>
      <c r="BX50" s="2" t="s">
        <v>91</v>
      </c>
      <c r="BY5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0" s="2">
        <f>IF(AND(Cases[[#This Row],[Priority Level]]&gt;=3,Cases[[#This Row],[System Role]]&lt;&gt;"Productive"),1,0)</f>
        <v>0</v>
      </c>
      <c r="CA50" s="2">
        <f>IFERROR(IF(Cases[[#This Row],[Days at Customer]]&gt;MAX(1,Cases[[#This Row],[Days at SAP]]*2),1,0),0)</f>
        <v>1</v>
      </c>
      <c r="CB50" s="2">
        <f>IF(AND(Cases[[#This Row],[Initial Component]]&lt;&gt;"",Cases[[#This Row],[Component]]&lt;&gt;"",Cases[[#This Row],[Initial Component]]&lt;&gt;Cases[[#This Row],[Component]]),1,0)</f>
        <v>0</v>
      </c>
      <c r="CC50" s="2">
        <f>IF(OR(Cases[[#This Row],[Is Reopened]]="X",Cases[[#This Row],[No. of Reopenings]]&gt;0),1,0)</f>
        <v>0</v>
      </c>
      <c r="CD50" s="2">
        <f>IF(Cases[[#This Row],[Confirmation Type]]="Automatic",1,0)</f>
        <v>1</v>
      </c>
      <c r="CE5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1" spans="1:83" x14ac:dyDescent="0.2">
      <c r="A51" s="1" t="s">
        <v>501</v>
      </c>
      <c r="B51" s="2" t="s">
        <v>502</v>
      </c>
      <c r="C51" s="2" t="s">
        <v>503</v>
      </c>
      <c r="D51" s="2" t="s">
        <v>78</v>
      </c>
      <c r="E51" s="3">
        <v>5.43</v>
      </c>
      <c r="F51" s="3">
        <v>8.73</v>
      </c>
      <c r="G51" s="2" t="s">
        <v>79</v>
      </c>
      <c r="H51" s="2" t="s">
        <v>80</v>
      </c>
      <c r="I51" s="3" t="s">
        <v>114</v>
      </c>
      <c r="J51" s="3">
        <v>36</v>
      </c>
      <c r="K51" s="2" t="s">
        <v>504</v>
      </c>
      <c r="L51" s="4">
        <v>46110</v>
      </c>
      <c r="M51" s="4">
        <v>46105</v>
      </c>
      <c r="N51" s="2" t="s">
        <v>180</v>
      </c>
      <c r="O51" s="2" t="s">
        <v>181</v>
      </c>
      <c r="P51" s="2" t="s">
        <v>195</v>
      </c>
      <c r="Q51" s="2" t="s">
        <v>86</v>
      </c>
      <c r="R51" s="2" t="s">
        <v>505</v>
      </c>
      <c r="S51" s="4">
        <v>46091</v>
      </c>
      <c r="T51" s="2" t="s">
        <v>180</v>
      </c>
      <c r="U51" s="2" t="s">
        <v>181</v>
      </c>
      <c r="V51" s="2" t="s">
        <v>350</v>
      </c>
      <c r="W51" s="2" t="s">
        <v>86</v>
      </c>
      <c r="X51" s="2" t="s">
        <v>117</v>
      </c>
      <c r="Y51" s="3" t="s">
        <v>118</v>
      </c>
      <c r="Z51" s="3">
        <v>14.16</v>
      </c>
      <c r="AA51" s="2" t="s">
        <v>90</v>
      </c>
      <c r="AB51" s="2" t="s">
        <v>408</v>
      </c>
      <c r="AC51" s="2" t="s">
        <v>406</v>
      </c>
      <c r="AD51" t="str" cm="1">
        <f t="array" ref="AD5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51" s="2" t="s">
        <v>139</v>
      </c>
      <c r="AF51" s="2" t="s">
        <v>92</v>
      </c>
      <c r="AG51" s="2" t="s">
        <v>119</v>
      </c>
      <c r="AH51" s="2" t="s">
        <v>120</v>
      </c>
      <c r="AJ51" s="2" t="s">
        <v>122</v>
      </c>
      <c r="AK51" s="2" t="s">
        <v>506</v>
      </c>
      <c r="AN51" s="3">
        <v>1</v>
      </c>
      <c r="AO51" s="3">
        <v>1</v>
      </c>
      <c r="AP51" s="3">
        <v>1</v>
      </c>
      <c r="AQ51" s="3">
        <v>1</v>
      </c>
      <c r="AR51" s="3">
        <v>1</v>
      </c>
      <c r="AS51" s="3">
        <v>0</v>
      </c>
      <c r="AT51" s="3">
        <v>0</v>
      </c>
      <c r="AU51" s="3">
        <v>0</v>
      </c>
      <c r="AV51" s="3">
        <v>0</v>
      </c>
      <c r="AW51" s="3">
        <v>1</v>
      </c>
      <c r="AX51" s="3">
        <v>1</v>
      </c>
      <c r="AY51" s="3">
        <v>0</v>
      </c>
      <c r="AZ51" s="3">
        <v>0</v>
      </c>
      <c r="BA51" s="3">
        <v>1</v>
      </c>
      <c r="BB51" s="3">
        <v>0</v>
      </c>
      <c r="BC51" s="3">
        <v>0</v>
      </c>
      <c r="BD51" s="3">
        <v>2</v>
      </c>
      <c r="BE51" s="3">
        <v>0</v>
      </c>
      <c r="BG51" s="2" t="s">
        <v>91</v>
      </c>
      <c r="BH51" s="3">
        <v>3</v>
      </c>
      <c r="BJ51" s="2" t="s">
        <v>96</v>
      </c>
      <c r="BL51" s="2" t="s">
        <v>123</v>
      </c>
      <c r="BM51" s="2" t="s">
        <v>123</v>
      </c>
      <c r="BN51" s="2" t="s">
        <v>124</v>
      </c>
      <c r="BO51" s="2" t="s">
        <v>125</v>
      </c>
      <c r="BP51" s="2" t="s">
        <v>101</v>
      </c>
      <c r="BQ51" s="2" t="s">
        <v>124</v>
      </c>
      <c r="BR51" s="2" t="s">
        <v>126</v>
      </c>
      <c r="BS51" s="2" t="s">
        <v>127</v>
      </c>
      <c r="BT51" s="2" t="s">
        <v>128</v>
      </c>
      <c r="BU51" s="2" t="s">
        <v>129</v>
      </c>
      <c r="BV51" s="2" t="s">
        <v>107</v>
      </c>
      <c r="BW51" s="2" t="s">
        <v>108</v>
      </c>
      <c r="BX51" s="2" t="s">
        <v>91</v>
      </c>
      <c r="BY5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1" s="2">
        <f>IF(AND(Cases[[#This Row],[Priority Level]]&gt;=3,Cases[[#This Row],[System Role]]&lt;&gt;"Productive"),1,0)</f>
        <v>1</v>
      </c>
      <c r="CA51" s="2">
        <f>IFERROR(IF(Cases[[#This Row],[Days at Customer]]&gt;MAX(1,Cases[[#This Row],[Days at SAP]]*2),1,0),0)</f>
        <v>0</v>
      </c>
      <c r="CB51" s="2">
        <f>IF(AND(Cases[[#This Row],[Initial Component]]&lt;&gt;"",Cases[[#This Row],[Component]]&lt;&gt;"",Cases[[#This Row],[Initial Component]]&lt;&gt;Cases[[#This Row],[Component]]),1,0)</f>
        <v>1</v>
      </c>
      <c r="CC51" s="2">
        <f>IF(OR(Cases[[#This Row],[Is Reopened]]="X",Cases[[#This Row],[No. of Reopenings]]&gt;0),1,0)</f>
        <v>1</v>
      </c>
      <c r="CD51" s="2">
        <f>IF(Cases[[#This Row],[Confirmation Type]]="Automatic",1,0)</f>
        <v>0</v>
      </c>
      <c r="CE51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52" spans="1:83" x14ac:dyDescent="0.2">
      <c r="A52" s="1" t="s">
        <v>2771</v>
      </c>
      <c r="B52" s="2" t="s">
        <v>2772</v>
      </c>
      <c r="C52" s="2" t="s">
        <v>111</v>
      </c>
      <c r="D52" s="2" t="s">
        <v>238</v>
      </c>
      <c r="E52" s="3">
        <v>0</v>
      </c>
      <c r="F52" s="3">
        <v>21.58</v>
      </c>
      <c r="G52" s="2" t="s">
        <v>112</v>
      </c>
      <c r="H52" s="2" t="s">
        <v>113</v>
      </c>
      <c r="I52" s="3" t="s">
        <v>114</v>
      </c>
      <c r="J52" s="3">
        <v>167</v>
      </c>
      <c r="K52" s="2" t="s">
        <v>2773</v>
      </c>
      <c r="L52" s="4">
        <v>46009</v>
      </c>
      <c r="M52" s="4">
        <v>45986</v>
      </c>
      <c r="N52" s="2" t="s">
        <v>2274</v>
      </c>
      <c r="O52" s="2" t="s">
        <v>1805</v>
      </c>
      <c r="P52" s="2" t="s">
        <v>2275</v>
      </c>
      <c r="Q52" s="2" t="s">
        <v>1806</v>
      </c>
      <c r="R52" s="2" t="s">
        <v>116</v>
      </c>
      <c r="S52" s="4">
        <v>45960</v>
      </c>
      <c r="T52" s="2" t="s">
        <v>2727</v>
      </c>
      <c r="U52" s="2" t="s">
        <v>1805</v>
      </c>
      <c r="V52" s="2" t="s">
        <v>2717</v>
      </c>
      <c r="W52" s="2" t="s">
        <v>1806</v>
      </c>
      <c r="X52" s="2" t="s">
        <v>117</v>
      </c>
      <c r="Y52" s="3" t="s">
        <v>118</v>
      </c>
      <c r="Z52" s="3">
        <v>21.58</v>
      </c>
      <c r="AA52" s="2" t="s">
        <v>90</v>
      </c>
      <c r="AB52" s="2" t="s">
        <v>116</v>
      </c>
      <c r="AC52" s="2" t="s">
        <v>111</v>
      </c>
      <c r="AD52" t="str" cm="1">
        <f t="array" ref="AD5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52" s="2" t="s">
        <v>139</v>
      </c>
      <c r="AF52" s="2" t="s">
        <v>92</v>
      </c>
      <c r="AG52" s="2" t="s">
        <v>119</v>
      </c>
      <c r="AH52" s="2" t="s">
        <v>120</v>
      </c>
      <c r="AK52" s="2" t="s">
        <v>2774</v>
      </c>
      <c r="AN52" s="3">
        <v>1</v>
      </c>
      <c r="AO52" s="3">
        <v>1</v>
      </c>
      <c r="AP52" s="3">
        <v>1</v>
      </c>
      <c r="AQ52" s="3">
        <v>1</v>
      </c>
      <c r="AR52" s="3">
        <v>0</v>
      </c>
      <c r="AS52" s="3">
        <v>0</v>
      </c>
      <c r="AT52" s="3">
        <v>1</v>
      </c>
      <c r="AU52" s="3">
        <v>0</v>
      </c>
      <c r="AV52" s="3">
        <v>1</v>
      </c>
      <c r="AW52" s="3">
        <v>0</v>
      </c>
      <c r="AX52" s="3">
        <v>0</v>
      </c>
      <c r="AY52" s="3">
        <v>0</v>
      </c>
      <c r="AZ52" s="3">
        <v>1</v>
      </c>
      <c r="BA52" s="3">
        <v>0</v>
      </c>
      <c r="BB52" s="3">
        <v>0</v>
      </c>
      <c r="BC52" s="3">
        <v>1</v>
      </c>
      <c r="BD52" s="3">
        <v>0</v>
      </c>
      <c r="BE52" s="3">
        <v>0</v>
      </c>
      <c r="BG52" s="2" t="s">
        <v>139</v>
      </c>
      <c r="BH52" s="3">
        <v>2</v>
      </c>
      <c r="BI52" s="2" t="s">
        <v>122</v>
      </c>
      <c r="BJ52" s="2" t="s">
        <v>96</v>
      </c>
      <c r="BL52" s="2" t="s">
        <v>123</v>
      </c>
      <c r="BM52" s="2" t="s">
        <v>123</v>
      </c>
      <c r="BN52" s="2" t="s">
        <v>124</v>
      </c>
      <c r="BO52" s="2" t="s">
        <v>125</v>
      </c>
      <c r="BP52" s="2" t="s">
        <v>242</v>
      </c>
      <c r="BQ52" s="2" t="s">
        <v>124</v>
      </c>
      <c r="BR52" s="2" t="s">
        <v>126</v>
      </c>
      <c r="BS52" s="2" t="s">
        <v>127</v>
      </c>
      <c r="BT52" s="2" t="s">
        <v>207</v>
      </c>
      <c r="BU52" s="2" t="s">
        <v>208</v>
      </c>
      <c r="BV52" s="2" t="s">
        <v>150</v>
      </c>
      <c r="BW52" s="2" t="s">
        <v>151</v>
      </c>
      <c r="BX52" s="2" t="s">
        <v>139</v>
      </c>
      <c r="BY5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2" s="2">
        <f>IF(AND(Cases[[#This Row],[Priority Level]]&gt;=3,Cases[[#This Row],[System Role]]&lt;&gt;"Productive"),1,0)</f>
        <v>0</v>
      </c>
      <c r="CA52" s="2">
        <f>IFERROR(IF(Cases[[#This Row],[Days at Customer]]&gt;MAX(1,Cases[[#This Row],[Days at SAP]]*2),1,0),0)</f>
        <v>1</v>
      </c>
      <c r="CB52" s="2">
        <f>IF(AND(Cases[[#This Row],[Initial Component]]&lt;&gt;"",Cases[[#This Row],[Component]]&lt;&gt;"",Cases[[#This Row],[Initial Component]]&lt;&gt;Cases[[#This Row],[Component]]),1,0)</f>
        <v>0</v>
      </c>
      <c r="CC52" s="2">
        <f>IF(OR(Cases[[#This Row],[Is Reopened]]="X",Cases[[#This Row],[No. of Reopenings]]&gt;0),1,0)</f>
        <v>0</v>
      </c>
      <c r="CD52" s="2">
        <f>IF(Cases[[#This Row],[Confirmation Type]]="Automatic",1,0)</f>
        <v>1</v>
      </c>
      <c r="CE52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3" spans="1:83" x14ac:dyDescent="0.2">
      <c r="A53" s="1" t="s">
        <v>511</v>
      </c>
      <c r="B53" s="2" t="s">
        <v>512</v>
      </c>
      <c r="C53" s="2" t="s">
        <v>513</v>
      </c>
      <c r="D53" s="2" t="s">
        <v>78</v>
      </c>
      <c r="E53" s="3">
        <v>7.0000000000000007E-2</v>
      </c>
      <c r="F53" s="3">
        <v>0</v>
      </c>
      <c r="G53" s="2" t="s">
        <v>133</v>
      </c>
      <c r="H53" s="2" t="s">
        <v>134</v>
      </c>
      <c r="I53" s="3" t="s">
        <v>114</v>
      </c>
      <c r="J53" s="3">
        <v>37</v>
      </c>
      <c r="K53" s="2" t="s">
        <v>514</v>
      </c>
      <c r="L53" s="4">
        <v>46096</v>
      </c>
      <c r="M53" s="4">
        <v>46090</v>
      </c>
      <c r="N53" s="2" t="s">
        <v>180</v>
      </c>
      <c r="O53" s="2" t="s">
        <v>181</v>
      </c>
      <c r="P53" s="2" t="s">
        <v>350</v>
      </c>
      <c r="Q53" s="2" t="s">
        <v>86</v>
      </c>
      <c r="R53" s="2" t="s">
        <v>515</v>
      </c>
      <c r="S53" s="4">
        <v>46090</v>
      </c>
      <c r="T53" s="2" t="s">
        <v>180</v>
      </c>
      <c r="U53" s="2" t="s">
        <v>181</v>
      </c>
      <c r="V53" s="2" t="s">
        <v>350</v>
      </c>
      <c r="W53" s="2" t="s">
        <v>86</v>
      </c>
      <c r="X53" s="2" t="s">
        <v>117</v>
      </c>
      <c r="Y53" s="3" t="s">
        <v>118</v>
      </c>
      <c r="Z53" s="3">
        <v>7.0000000000000007E-2</v>
      </c>
      <c r="AA53" s="2" t="s">
        <v>90</v>
      </c>
      <c r="AB53" s="2" t="s">
        <v>515</v>
      </c>
      <c r="AC53" s="2" t="s">
        <v>513</v>
      </c>
      <c r="AD53" t="str" cm="1">
        <f t="array" ref="AD5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53" s="2" t="s">
        <v>139</v>
      </c>
      <c r="AF53" s="2" t="s">
        <v>92</v>
      </c>
      <c r="AG53" s="2" t="s">
        <v>119</v>
      </c>
      <c r="AH53" s="2" t="s">
        <v>120</v>
      </c>
      <c r="AK53" s="2" t="s">
        <v>516</v>
      </c>
      <c r="AN53" s="3">
        <v>1</v>
      </c>
      <c r="AO53" s="3">
        <v>1</v>
      </c>
      <c r="AP53" s="3">
        <v>1</v>
      </c>
      <c r="AQ53" s="3">
        <v>1</v>
      </c>
      <c r="AR53" s="3">
        <v>0</v>
      </c>
      <c r="AS53" s="3">
        <v>0</v>
      </c>
      <c r="AT53" s="3">
        <v>1</v>
      </c>
      <c r="AU53" s="3">
        <v>0</v>
      </c>
      <c r="AV53" s="3">
        <v>0</v>
      </c>
      <c r="AW53" s="3">
        <v>1</v>
      </c>
      <c r="AX53" s="3">
        <v>0</v>
      </c>
      <c r="AY53" s="3">
        <v>0</v>
      </c>
      <c r="AZ53" s="3">
        <v>1</v>
      </c>
      <c r="BA53" s="3">
        <v>1</v>
      </c>
      <c r="BB53" s="3">
        <v>0</v>
      </c>
      <c r="BC53" s="3">
        <v>0</v>
      </c>
      <c r="BD53" s="3">
        <v>0</v>
      </c>
      <c r="BE53" s="3">
        <v>0</v>
      </c>
      <c r="BG53" s="2" t="s">
        <v>139</v>
      </c>
      <c r="BH53" s="3">
        <v>2</v>
      </c>
      <c r="BJ53" s="2" t="s">
        <v>96</v>
      </c>
      <c r="BL53" s="2" t="s">
        <v>123</v>
      </c>
      <c r="BM53" s="2" t="s">
        <v>123</v>
      </c>
      <c r="BN53" s="2" t="s">
        <v>124</v>
      </c>
      <c r="BO53" s="2" t="s">
        <v>125</v>
      </c>
      <c r="BP53" s="2" t="s">
        <v>101</v>
      </c>
      <c r="BQ53" s="2" t="s">
        <v>124</v>
      </c>
      <c r="BR53" s="2" t="s">
        <v>126</v>
      </c>
      <c r="BS53" s="2" t="s">
        <v>127</v>
      </c>
      <c r="BT53" s="2" t="s">
        <v>436</v>
      </c>
      <c r="BU53" s="2" t="s">
        <v>437</v>
      </c>
      <c r="BV53" s="2" t="s">
        <v>107</v>
      </c>
      <c r="BW53" s="2" t="s">
        <v>108</v>
      </c>
      <c r="BX53" s="2" t="s">
        <v>139</v>
      </c>
      <c r="BY5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3" s="2">
        <f>IF(AND(Cases[[#This Row],[Priority Level]]&gt;=3,Cases[[#This Row],[System Role]]&lt;&gt;"Productive"),1,0)</f>
        <v>0</v>
      </c>
      <c r="CA53" s="2">
        <f>IFERROR(IF(Cases[[#This Row],[Days at Customer]]&gt;MAX(1,Cases[[#This Row],[Days at SAP]]*2),1,0),0)</f>
        <v>0</v>
      </c>
      <c r="CB53" s="2">
        <f>IF(AND(Cases[[#This Row],[Initial Component]]&lt;&gt;"",Cases[[#This Row],[Component]]&lt;&gt;"",Cases[[#This Row],[Initial Component]]&lt;&gt;Cases[[#This Row],[Component]]),1,0)</f>
        <v>0</v>
      </c>
      <c r="CC53" s="2">
        <f>IF(OR(Cases[[#This Row],[Is Reopened]]="X",Cases[[#This Row],[No. of Reopenings]]&gt;0),1,0)</f>
        <v>0</v>
      </c>
      <c r="CD53" s="2">
        <f>IF(Cases[[#This Row],[Confirmation Type]]="Automatic",1,0)</f>
        <v>0</v>
      </c>
      <c r="CE53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54" spans="1:83" x14ac:dyDescent="0.2">
      <c r="A54" s="1" t="s">
        <v>517</v>
      </c>
      <c r="B54" s="2" t="s">
        <v>518</v>
      </c>
      <c r="C54" s="2" t="s">
        <v>519</v>
      </c>
      <c r="D54" s="2" t="s">
        <v>238</v>
      </c>
      <c r="E54" s="3">
        <v>7.0000000000000007E-2</v>
      </c>
      <c r="F54" s="3">
        <v>21.33</v>
      </c>
      <c r="G54" s="2" t="s">
        <v>79</v>
      </c>
      <c r="H54" s="2" t="s">
        <v>155</v>
      </c>
      <c r="I54" s="3" t="s">
        <v>114</v>
      </c>
      <c r="J54" s="3">
        <v>37</v>
      </c>
      <c r="K54" s="2" t="s">
        <v>520</v>
      </c>
      <c r="L54" s="4">
        <v>46117</v>
      </c>
      <c r="M54" s="4">
        <v>46112</v>
      </c>
      <c r="N54" s="2" t="s">
        <v>180</v>
      </c>
      <c r="O54" s="2" t="s">
        <v>181</v>
      </c>
      <c r="P54" s="2" t="s">
        <v>136</v>
      </c>
      <c r="Q54" s="2" t="s">
        <v>86</v>
      </c>
      <c r="R54" s="2" t="s">
        <v>521</v>
      </c>
      <c r="S54" s="4">
        <v>46090</v>
      </c>
      <c r="T54" s="2" t="s">
        <v>180</v>
      </c>
      <c r="U54" s="2" t="s">
        <v>181</v>
      </c>
      <c r="V54" s="2" t="s">
        <v>350</v>
      </c>
      <c r="W54" s="2" t="s">
        <v>86</v>
      </c>
      <c r="X54" s="2" t="s">
        <v>117</v>
      </c>
      <c r="Y54" s="3" t="s">
        <v>118</v>
      </c>
      <c r="Z54" s="3">
        <v>21.39</v>
      </c>
      <c r="AA54" s="2" t="s">
        <v>90</v>
      </c>
      <c r="AB54" s="2" t="s">
        <v>521</v>
      </c>
      <c r="AC54" s="2" t="s">
        <v>519</v>
      </c>
      <c r="AD54" t="str" cm="1">
        <f t="array" ref="AD5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54" s="2" t="s">
        <v>139</v>
      </c>
      <c r="AF54" s="2" t="s">
        <v>92</v>
      </c>
      <c r="AG54" s="2" t="s">
        <v>119</v>
      </c>
      <c r="AH54" s="2" t="s">
        <v>120</v>
      </c>
      <c r="AK54" s="2" t="s">
        <v>522</v>
      </c>
      <c r="AN54" s="3">
        <v>1</v>
      </c>
      <c r="AO54" s="3">
        <v>1</v>
      </c>
      <c r="AP54" s="3">
        <v>1</v>
      </c>
      <c r="AQ54" s="3">
        <v>1</v>
      </c>
      <c r="AR54" s="3">
        <v>0</v>
      </c>
      <c r="AS54" s="3">
        <v>0</v>
      </c>
      <c r="AT54" s="3">
        <v>1</v>
      </c>
      <c r="AU54" s="3">
        <v>0</v>
      </c>
      <c r="AV54" s="3">
        <v>1</v>
      </c>
      <c r="AW54" s="3">
        <v>0</v>
      </c>
      <c r="AX54" s="3">
        <v>0</v>
      </c>
      <c r="AY54" s="3">
        <v>0</v>
      </c>
      <c r="AZ54" s="3">
        <v>1</v>
      </c>
      <c r="BA54" s="3">
        <v>1</v>
      </c>
      <c r="BB54" s="3">
        <v>0</v>
      </c>
      <c r="BC54" s="3">
        <v>0</v>
      </c>
      <c r="BD54" s="3">
        <v>0</v>
      </c>
      <c r="BE54" s="3">
        <v>0</v>
      </c>
      <c r="BG54" s="2" t="s">
        <v>139</v>
      </c>
      <c r="BH54" s="3">
        <v>2</v>
      </c>
      <c r="BJ54" s="2" t="s">
        <v>96</v>
      </c>
      <c r="BL54" s="2" t="s">
        <v>123</v>
      </c>
      <c r="BM54" s="2" t="s">
        <v>123</v>
      </c>
      <c r="BN54" s="2" t="s">
        <v>124</v>
      </c>
      <c r="BO54" s="2" t="s">
        <v>125</v>
      </c>
      <c r="BP54" s="2" t="s">
        <v>242</v>
      </c>
      <c r="BQ54" s="2" t="s">
        <v>124</v>
      </c>
      <c r="BR54" s="2" t="s">
        <v>126</v>
      </c>
      <c r="BS54" s="2" t="s">
        <v>127</v>
      </c>
      <c r="BT54" s="2" t="s">
        <v>199</v>
      </c>
      <c r="BU54" s="2" t="s">
        <v>200</v>
      </c>
      <c r="BV54" s="2" t="s">
        <v>166</v>
      </c>
      <c r="BW54" s="2" t="s">
        <v>167</v>
      </c>
      <c r="BX54" s="2" t="s">
        <v>139</v>
      </c>
      <c r="BY5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4" s="2">
        <f>IF(AND(Cases[[#This Row],[Priority Level]]&gt;=3,Cases[[#This Row],[System Role]]&lt;&gt;"Productive"),1,0)</f>
        <v>0</v>
      </c>
      <c r="CA54" s="2">
        <f>IFERROR(IF(Cases[[#This Row],[Days at Customer]]&gt;MAX(1,Cases[[#This Row],[Days at SAP]]*2),1,0),0)</f>
        <v>1</v>
      </c>
      <c r="CB54" s="2">
        <f>IF(AND(Cases[[#This Row],[Initial Component]]&lt;&gt;"",Cases[[#This Row],[Component]]&lt;&gt;"",Cases[[#This Row],[Initial Component]]&lt;&gt;Cases[[#This Row],[Component]]),1,0)</f>
        <v>0</v>
      </c>
      <c r="CC54" s="2">
        <f>IF(OR(Cases[[#This Row],[Is Reopened]]="X",Cases[[#This Row],[No. of Reopenings]]&gt;0),1,0)</f>
        <v>0</v>
      </c>
      <c r="CD54" s="2">
        <f>IF(Cases[[#This Row],[Confirmation Type]]="Automatic",1,0)</f>
        <v>1</v>
      </c>
      <c r="CE54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5" spans="1:83" x14ac:dyDescent="0.2">
      <c r="A55" s="1" t="s">
        <v>2783</v>
      </c>
      <c r="B55" s="2" t="s">
        <v>2784</v>
      </c>
      <c r="C55" s="2" t="s">
        <v>2785</v>
      </c>
      <c r="D55" s="2" t="s">
        <v>238</v>
      </c>
      <c r="E55" s="3">
        <v>0.86</v>
      </c>
      <c r="F55" s="3">
        <v>21.69</v>
      </c>
      <c r="G55" s="2" t="s">
        <v>79</v>
      </c>
      <c r="H55" s="2" t="s">
        <v>178</v>
      </c>
      <c r="I55" s="3" t="s">
        <v>114</v>
      </c>
      <c r="J55" s="3">
        <v>167</v>
      </c>
      <c r="K55" s="2" t="s">
        <v>2786</v>
      </c>
      <c r="L55" s="4">
        <v>46009</v>
      </c>
      <c r="M55" s="4">
        <v>45983</v>
      </c>
      <c r="N55" s="2" t="s">
        <v>2274</v>
      </c>
      <c r="O55" s="2" t="s">
        <v>1805</v>
      </c>
      <c r="P55" s="2" t="s">
        <v>2404</v>
      </c>
      <c r="Q55" s="2" t="s">
        <v>1806</v>
      </c>
      <c r="R55" s="2" t="s">
        <v>2787</v>
      </c>
      <c r="S55" s="4">
        <v>45960</v>
      </c>
      <c r="T55" s="2" t="s">
        <v>2727</v>
      </c>
      <c r="U55" s="2" t="s">
        <v>1805</v>
      </c>
      <c r="V55" s="2" t="s">
        <v>2717</v>
      </c>
      <c r="W55" s="2" t="s">
        <v>1806</v>
      </c>
      <c r="X55" s="2" t="s">
        <v>117</v>
      </c>
      <c r="Y55" s="3" t="s">
        <v>118</v>
      </c>
      <c r="Z55" s="3">
        <v>22.54</v>
      </c>
      <c r="AA55" s="2" t="s">
        <v>90</v>
      </c>
      <c r="AB55" s="2" t="s">
        <v>2787</v>
      </c>
      <c r="AC55" s="2" t="s">
        <v>2785</v>
      </c>
      <c r="AD55" t="str" cm="1">
        <f t="array" ref="AD5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55" s="2" t="s">
        <v>91</v>
      </c>
      <c r="AF55" s="2" t="s">
        <v>92</v>
      </c>
      <c r="AG55" s="2" t="s">
        <v>119</v>
      </c>
      <c r="AH55" s="2" t="s">
        <v>120</v>
      </c>
      <c r="AK55" s="2" t="s">
        <v>2788</v>
      </c>
      <c r="AN55" s="3">
        <v>1</v>
      </c>
      <c r="AO55" s="3">
        <v>1</v>
      </c>
      <c r="AP55" s="3">
        <v>1</v>
      </c>
      <c r="AQ55" s="3">
        <v>1</v>
      </c>
      <c r="AR55" s="3">
        <v>1</v>
      </c>
      <c r="AS55" s="3">
        <v>0</v>
      </c>
      <c r="AT55" s="3">
        <v>0</v>
      </c>
      <c r="AU55" s="3">
        <v>0</v>
      </c>
      <c r="AV55" s="3">
        <v>1</v>
      </c>
      <c r="AW55" s="3">
        <v>0</v>
      </c>
      <c r="AX55" s="3">
        <v>1</v>
      </c>
      <c r="AY55" s="3">
        <v>0</v>
      </c>
      <c r="AZ55" s="3">
        <v>0</v>
      </c>
      <c r="BA55" s="3">
        <v>0</v>
      </c>
      <c r="BB55" s="3">
        <v>0</v>
      </c>
      <c r="BC55" s="3">
        <v>1</v>
      </c>
      <c r="BD55" s="3">
        <v>0</v>
      </c>
      <c r="BE55" s="3">
        <v>0</v>
      </c>
      <c r="BG55" s="2" t="s">
        <v>91</v>
      </c>
      <c r="BH55" s="3">
        <v>3</v>
      </c>
      <c r="BJ55" s="2" t="s">
        <v>96</v>
      </c>
      <c r="BL55" s="2" t="s">
        <v>382</v>
      </c>
      <c r="BM55" s="2" t="s">
        <v>382</v>
      </c>
      <c r="BN55" s="2" t="s">
        <v>99</v>
      </c>
      <c r="BO55" s="2" t="s">
        <v>100</v>
      </c>
      <c r="BP55" s="2" t="s">
        <v>242</v>
      </c>
      <c r="BQ55" s="2" t="s">
        <v>383</v>
      </c>
      <c r="BR55" s="2" t="s">
        <v>384</v>
      </c>
      <c r="BS55" s="2" t="s">
        <v>127</v>
      </c>
      <c r="BT55" s="2" t="s">
        <v>1000</v>
      </c>
      <c r="BU55" s="2" t="s">
        <v>1001</v>
      </c>
      <c r="BV55" s="2" t="s">
        <v>150</v>
      </c>
      <c r="BW55" s="2" t="s">
        <v>151</v>
      </c>
      <c r="BX55" s="2" t="s">
        <v>91</v>
      </c>
      <c r="BY5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5" s="2">
        <f>IF(AND(Cases[[#This Row],[Priority Level]]&gt;=3,Cases[[#This Row],[System Role]]&lt;&gt;"Productive"),1,0)</f>
        <v>0</v>
      </c>
      <c r="CA55" s="2">
        <f>IFERROR(IF(Cases[[#This Row],[Days at Customer]]&gt;MAX(1,Cases[[#This Row],[Days at SAP]]*2),1,0),0)</f>
        <v>1</v>
      </c>
      <c r="CB55" s="2">
        <f>IF(AND(Cases[[#This Row],[Initial Component]]&lt;&gt;"",Cases[[#This Row],[Component]]&lt;&gt;"",Cases[[#This Row],[Initial Component]]&lt;&gt;Cases[[#This Row],[Component]]),1,0)</f>
        <v>0</v>
      </c>
      <c r="CC55" s="2">
        <f>IF(OR(Cases[[#This Row],[Is Reopened]]="X",Cases[[#This Row],[No. of Reopenings]]&gt;0),1,0)</f>
        <v>0</v>
      </c>
      <c r="CD55" s="2">
        <f>IF(Cases[[#This Row],[Confirmation Type]]="Automatic",1,0)</f>
        <v>1</v>
      </c>
      <c r="CE55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6" spans="1:83" x14ac:dyDescent="0.2">
      <c r="A56" s="1" t="s">
        <v>531</v>
      </c>
      <c r="B56" s="2" t="s">
        <v>532</v>
      </c>
      <c r="C56" s="2" t="s">
        <v>323</v>
      </c>
      <c r="D56" s="2" t="s">
        <v>238</v>
      </c>
      <c r="E56" s="3">
        <v>0.85</v>
      </c>
      <c r="F56" s="3">
        <v>21.66</v>
      </c>
      <c r="G56" s="2" t="s">
        <v>79</v>
      </c>
      <c r="H56" s="2" t="s">
        <v>80</v>
      </c>
      <c r="I56" s="3" t="s">
        <v>114</v>
      </c>
      <c r="J56" s="3">
        <v>40</v>
      </c>
      <c r="K56" s="2" t="s">
        <v>533</v>
      </c>
      <c r="L56" s="4">
        <v>46117</v>
      </c>
      <c r="M56" s="4">
        <v>46109</v>
      </c>
      <c r="N56" s="2" t="s">
        <v>180</v>
      </c>
      <c r="O56" s="2" t="s">
        <v>181</v>
      </c>
      <c r="P56" s="2" t="s">
        <v>195</v>
      </c>
      <c r="Q56" s="2" t="s">
        <v>86</v>
      </c>
      <c r="R56" s="2" t="s">
        <v>326</v>
      </c>
      <c r="S56" s="4">
        <v>46087</v>
      </c>
      <c r="T56" s="2" t="s">
        <v>180</v>
      </c>
      <c r="U56" s="2" t="s">
        <v>181</v>
      </c>
      <c r="V56" s="2" t="s">
        <v>526</v>
      </c>
      <c r="W56" s="2" t="s">
        <v>86</v>
      </c>
      <c r="X56" s="2" t="s">
        <v>117</v>
      </c>
      <c r="Y56" s="3" t="s">
        <v>118</v>
      </c>
      <c r="Z56" s="3">
        <v>22.5</v>
      </c>
      <c r="AA56" s="2" t="s">
        <v>90</v>
      </c>
      <c r="AB56" s="2" t="s">
        <v>326</v>
      </c>
      <c r="AC56" s="2" t="s">
        <v>323</v>
      </c>
      <c r="AD56" t="str" cm="1">
        <f t="array" ref="AD5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56" s="2" t="s">
        <v>91</v>
      </c>
      <c r="AF56" s="2" t="s">
        <v>92</v>
      </c>
      <c r="AG56" s="2" t="s">
        <v>119</v>
      </c>
      <c r="AH56" s="2" t="s">
        <v>120</v>
      </c>
      <c r="AK56" s="2" t="s">
        <v>534</v>
      </c>
      <c r="AN56" s="3">
        <v>1</v>
      </c>
      <c r="AO56" s="3">
        <v>1</v>
      </c>
      <c r="AP56" s="3">
        <v>1</v>
      </c>
      <c r="AQ56" s="3">
        <v>1</v>
      </c>
      <c r="AR56" s="3">
        <v>1</v>
      </c>
      <c r="AS56" s="3">
        <v>0</v>
      </c>
      <c r="AT56" s="3">
        <v>0</v>
      </c>
      <c r="AU56" s="3">
        <v>0</v>
      </c>
      <c r="AV56" s="3">
        <v>1</v>
      </c>
      <c r="AW56" s="3">
        <v>0</v>
      </c>
      <c r="AX56" s="3">
        <v>1</v>
      </c>
      <c r="AY56" s="3">
        <v>0</v>
      </c>
      <c r="AZ56" s="3">
        <v>0</v>
      </c>
      <c r="BA56" s="3">
        <v>1</v>
      </c>
      <c r="BB56" s="3">
        <v>0</v>
      </c>
      <c r="BC56" s="3">
        <v>0</v>
      </c>
      <c r="BD56" s="3">
        <v>0</v>
      </c>
      <c r="BE56" s="3">
        <v>0</v>
      </c>
      <c r="BG56" s="2" t="s">
        <v>91</v>
      </c>
      <c r="BH56" s="3">
        <v>3</v>
      </c>
      <c r="BJ56" s="2" t="s">
        <v>96</v>
      </c>
      <c r="BL56" s="2" t="s">
        <v>123</v>
      </c>
      <c r="BM56" s="2" t="s">
        <v>123</v>
      </c>
      <c r="BN56" s="2" t="s">
        <v>124</v>
      </c>
      <c r="BO56" s="2" t="s">
        <v>125</v>
      </c>
      <c r="BP56" s="2" t="s">
        <v>242</v>
      </c>
      <c r="BQ56" s="2" t="s">
        <v>124</v>
      </c>
      <c r="BR56" s="2" t="s">
        <v>126</v>
      </c>
      <c r="BS56" s="2" t="s">
        <v>127</v>
      </c>
      <c r="BT56" s="2" t="s">
        <v>199</v>
      </c>
      <c r="BU56" s="2" t="s">
        <v>200</v>
      </c>
      <c r="BV56" s="2" t="s">
        <v>166</v>
      </c>
      <c r="BW56" s="2" t="s">
        <v>167</v>
      </c>
      <c r="BX56" s="2" t="s">
        <v>91</v>
      </c>
      <c r="BY5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6" s="2">
        <f>IF(AND(Cases[[#This Row],[Priority Level]]&gt;=3,Cases[[#This Row],[System Role]]&lt;&gt;"Productive"),1,0)</f>
        <v>1</v>
      </c>
      <c r="CA56" s="2">
        <f>IFERROR(IF(Cases[[#This Row],[Days at Customer]]&gt;MAX(1,Cases[[#This Row],[Days at SAP]]*2),1,0),0)</f>
        <v>1</v>
      </c>
      <c r="CB56" s="2">
        <f>IF(AND(Cases[[#This Row],[Initial Component]]&lt;&gt;"",Cases[[#This Row],[Component]]&lt;&gt;"",Cases[[#This Row],[Initial Component]]&lt;&gt;Cases[[#This Row],[Component]]),1,0)</f>
        <v>0</v>
      </c>
      <c r="CC56" s="2">
        <f>IF(OR(Cases[[#This Row],[Is Reopened]]="X",Cases[[#This Row],[No. of Reopenings]]&gt;0),1,0)</f>
        <v>0</v>
      </c>
      <c r="CD56" s="2">
        <f>IF(Cases[[#This Row],[Confirmation Type]]="Automatic",1,0)</f>
        <v>1</v>
      </c>
      <c r="CE5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7" spans="1:83" x14ac:dyDescent="0.2">
      <c r="A57" s="1" t="s">
        <v>535</v>
      </c>
      <c r="B57" s="2" t="s">
        <v>536</v>
      </c>
      <c r="C57" s="2" t="s">
        <v>537</v>
      </c>
      <c r="D57" s="2" t="s">
        <v>238</v>
      </c>
      <c r="E57" s="3">
        <v>6.25</v>
      </c>
      <c r="F57" s="3">
        <v>26.39</v>
      </c>
      <c r="G57" s="2" t="s">
        <v>79</v>
      </c>
      <c r="H57" s="2" t="s">
        <v>80</v>
      </c>
      <c r="I57" s="3" t="s">
        <v>114</v>
      </c>
      <c r="J57" s="3">
        <v>40</v>
      </c>
      <c r="K57" s="2" t="s">
        <v>538</v>
      </c>
      <c r="L57" s="4">
        <v>46124</v>
      </c>
      <c r="M57" s="4">
        <v>46120</v>
      </c>
      <c r="N57" s="2" t="s">
        <v>83</v>
      </c>
      <c r="O57" s="2" t="s">
        <v>84</v>
      </c>
      <c r="P57" s="2" t="s">
        <v>85</v>
      </c>
      <c r="Q57" s="2" t="s">
        <v>86</v>
      </c>
      <c r="R57" s="2" t="s">
        <v>539</v>
      </c>
      <c r="S57" s="4">
        <v>46087</v>
      </c>
      <c r="T57" s="2" t="s">
        <v>180</v>
      </c>
      <c r="U57" s="2" t="s">
        <v>181</v>
      </c>
      <c r="V57" s="2" t="s">
        <v>526</v>
      </c>
      <c r="W57" s="2" t="s">
        <v>86</v>
      </c>
      <c r="X57" s="2" t="s">
        <v>117</v>
      </c>
      <c r="Y57" s="3" t="s">
        <v>118</v>
      </c>
      <c r="Z57" s="3">
        <v>32.630000000000003</v>
      </c>
      <c r="AA57" s="2" t="s">
        <v>90</v>
      </c>
      <c r="AB57" s="2" t="s">
        <v>539</v>
      </c>
      <c r="AC57" s="2" t="s">
        <v>537</v>
      </c>
      <c r="AD57" t="str" cm="1">
        <f t="array" ref="AD5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57" s="2" t="s">
        <v>91</v>
      </c>
      <c r="AF57" s="2" t="s">
        <v>92</v>
      </c>
      <c r="AG57" s="2" t="s">
        <v>540</v>
      </c>
      <c r="AH57" s="2" t="s">
        <v>541</v>
      </c>
      <c r="AK57" s="2" t="s">
        <v>542</v>
      </c>
      <c r="AN57" s="3">
        <v>1</v>
      </c>
      <c r="AO57" s="3">
        <v>1</v>
      </c>
      <c r="AP57" s="3">
        <v>1</v>
      </c>
      <c r="AQ57" s="3">
        <v>1</v>
      </c>
      <c r="AR57" s="3">
        <v>1</v>
      </c>
      <c r="AS57" s="3">
        <v>0</v>
      </c>
      <c r="AT57" s="3">
        <v>0</v>
      </c>
      <c r="AU57" s="3">
        <v>0</v>
      </c>
      <c r="AV57" s="3">
        <v>1</v>
      </c>
      <c r="AW57" s="3">
        <v>0</v>
      </c>
      <c r="AX57" s="3">
        <v>1</v>
      </c>
      <c r="AY57" s="3">
        <v>0</v>
      </c>
      <c r="AZ57" s="3">
        <v>0</v>
      </c>
      <c r="BA57" s="3">
        <v>0</v>
      </c>
      <c r="BB57" s="3">
        <v>0</v>
      </c>
      <c r="BC57" s="3">
        <v>1</v>
      </c>
      <c r="BD57" s="3">
        <v>0</v>
      </c>
      <c r="BE57" s="3">
        <v>0</v>
      </c>
      <c r="BG57" s="2" t="s">
        <v>91</v>
      </c>
      <c r="BH57" s="3">
        <v>3</v>
      </c>
      <c r="BJ57" s="2" t="s">
        <v>96</v>
      </c>
      <c r="BL57" s="2" t="s">
        <v>162</v>
      </c>
      <c r="BM57" s="2" t="s">
        <v>163</v>
      </c>
      <c r="BN57" s="2" t="s">
        <v>99</v>
      </c>
      <c r="BO57" s="2" t="s">
        <v>100</v>
      </c>
      <c r="BP57" s="2" t="s">
        <v>242</v>
      </c>
      <c r="BQ57" s="2" t="s">
        <v>102</v>
      </c>
      <c r="BR57" s="2" t="s">
        <v>103</v>
      </c>
      <c r="BS57" s="2" t="s">
        <v>127</v>
      </c>
      <c r="BT57" s="2" t="s">
        <v>543</v>
      </c>
      <c r="BU57" s="2" t="s">
        <v>544</v>
      </c>
      <c r="BV57" s="2" t="s">
        <v>150</v>
      </c>
      <c r="BW57" s="2" t="s">
        <v>151</v>
      </c>
      <c r="BX57" s="2" t="s">
        <v>91</v>
      </c>
      <c r="BY5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7" s="2">
        <f>IF(AND(Cases[[#This Row],[Priority Level]]&gt;=3,Cases[[#This Row],[System Role]]&lt;&gt;"Productive"),1,0)</f>
        <v>0</v>
      </c>
      <c r="CA57" s="2">
        <f>IFERROR(IF(Cases[[#This Row],[Days at Customer]]&gt;MAX(1,Cases[[#This Row],[Days at SAP]]*2),1,0),0)</f>
        <v>1</v>
      </c>
      <c r="CB57" s="2">
        <f>IF(AND(Cases[[#This Row],[Initial Component]]&lt;&gt;"",Cases[[#This Row],[Component]]&lt;&gt;"",Cases[[#This Row],[Initial Component]]&lt;&gt;Cases[[#This Row],[Component]]),1,0)</f>
        <v>0</v>
      </c>
      <c r="CC57" s="2">
        <f>IF(OR(Cases[[#This Row],[Is Reopened]]="X",Cases[[#This Row],[No. of Reopenings]]&gt;0),1,0)</f>
        <v>0</v>
      </c>
      <c r="CD57" s="2">
        <f>IF(Cases[[#This Row],[Confirmation Type]]="Automatic",1,0)</f>
        <v>1</v>
      </c>
      <c r="CE57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8" spans="1:83" x14ac:dyDescent="0.2">
      <c r="A58" s="1" t="s">
        <v>545</v>
      </c>
      <c r="B58" s="2" t="s">
        <v>492</v>
      </c>
      <c r="C58" s="2" t="s">
        <v>493</v>
      </c>
      <c r="D58" s="2" t="s">
        <v>238</v>
      </c>
      <c r="E58" s="3">
        <v>4.6900000000000004</v>
      </c>
      <c r="F58" s="3">
        <v>21.65</v>
      </c>
      <c r="G58" s="2" t="s">
        <v>133</v>
      </c>
      <c r="H58" s="2" t="s">
        <v>324</v>
      </c>
      <c r="I58" s="3" t="s">
        <v>81</v>
      </c>
      <c r="J58" s="3">
        <v>40</v>
      </c>
      <c r="K58" s="2" t="s">
        <v>546</v>
      </c>
      <c r="L58" s="4">
        <v>46117</v>
      </c>
      <c r="M58" s="4">
        <v>46113</v>
      </c>
      <c r="N58" s="2" t="s">
        <v>83</v>
      </c>
      <c r="O58" s="2" t="s">
        <v>84</v>
      </c>
      <c r="P58" s="2" t="s">
        <v>136</v>
      </c>
      <c r="Q58" s="2" t="s">
        <v>86</v>
      </c>
      <c r="R58" s="2" t="s">
        <v>495</v>
      </c>
      <c r="S58" s="4">
        <v>46087</v>
      </c>
      <c r="T58" s="2" t="s">
        <v>180</v>
      </c>
      <c r="U58" s="2" t="s">
        <v>181</v>
      </c>
      <c r="V58" s="2" t="s">
        <v>526</v>
      </c>
      <c r="W58" s="2" t="s">
        <v>86</v>
      </c>
      <c r="X58" s="2" t="s">
        <v>88</v>
      </c>
      <c r="Y58" s="3" t="s">
        <v>89</v>
      </c>
      <c r="Z58" s="3">
        <v>26.35</v>
      </c>
      <c r="AA58" s="2" t="s">
        <v>90</v>
      </c>
      <c r="AB58" s="2" t="s">
        <v>495</v>
      </c>
      <c r="AC58" s="2" t="s">
        <v>493</v>
      </c>
      <c r="AD58" t="str" cm="1">
        <f t="array" ref="AD5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58" s="2" t="s">
        <v>139</v>
      </c>
      <c r="AF58" s="2" t="s">
        <v>92</v>
      </c>
      <c r="AG58" s="2" t="s">
        <v>496</v>
      </c>
      <c r="AH58" s="2" t="s">
        <v>497</v>
      </c>
      <c r="AK58" s="2" t="s">
        <v>547</v>
      </c>
      <c r="AN58" s="3">
        <v>1</v>
      </c>
      <c r="AO58" s="3">
        <v>1</v>
      </c>
      <c r="AP58" s="3">
        <v>1</v>
      </c>
      <c r="AQ58" s="3">
        <v>1</v>
      </c>
      <c r="AR58" s="3">
        <v>0</v>
      </c>
      <c r="AS58" s="3">
        <v>0</v>
      </c>
      <c r="AT58" s="3">
        <v>1</v>
      </c>
      <c r="AU58" s="3">
        <v>0</v>
      </c>
      <c r="AV58" s="3">
        <v>1</v>
      </c>
      <c r="AW58" s="3">
        <v>0</v>
      </c>
      <c r="AX58" s="3">
        <v>0</v>
      </c>
      <c r="AY58" s="3">
        <v>0</v>
      </c>
      <c r="AZ58" s="3">
        <v>1</v>
      </c>
      <c r="BA58" s="3">
        <v>0</v>
      </c>
      <c r="BB58" s="3">
        <v>0</v>
      </c>
      <c r="BC58" s="3">
        <v>1</v>
      </c>
      <c r="BD58" s="3">
        <v>0</v>
      </c>
      <c r="BE58" s="3">
        <v>0</v>
      </c>
      <c r="BG58" s="2" t="s">
        <v>139</v>
      </c>
      <c r="BH58" s="3">
        <v>2</v>
      </c>
      <c r="BJ58" s="2" t="s">
        <v>96</v>
      </c>
      <c r="BL58" s="2" t="s">
        <v>162</v>
      </c>
      <c r="BM58" s="2" t="s">
        <v>163</v>
      </c>
      <c r="BN58" s="2" t="s">
        <v>99</v>
      </c>
      <c r="BO58" s="2" t="s">
        <v>100</v>
      </c>
      <c r="BP58" s="2" t="s">
        <v>242</v>
      </c>
      <c r="BQ58" s="2" t="s">
        <v>102</v>
      </c>
      <c r="BR58" s="2" t="s">
        <v>103</v>
      </c>
      <c r="BS58" s="2" t="s">
        <v>104</v>
      </c>
      <c r="BT58" s="2" t="s">
        <v>499</v>
      </c>
      <c r="BU58" s="2" t="s">
        <v>500</v>
      </c>
      <c r="BV58" s="2" t="s">
        <v>150</v>
      </c>
      <c r="BW58" s="2" t="s">
        <v>151</v>
      </c>
      <c r="BX58" s="2" t="s">
        <v>139</v>
      </c>
      <c r="BY5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8" s="2">
        <f>IF(AND(Cases[[#This Row],[Priority Level]]&gt;=3,Cases[[#This Row],[System Role]]&lt;&gt;"Productive"),1,0)</f>
        <v>0</v>
      </c>
      <c r="CA58" s="2">
        <f>IFERROR(IF(Cases[[#This Row],[Days at Customer]]&gt;MAX(1,Cases[[#This Row],[Days at SAP]]*2),1,0),0)</f>
        <v>1</v>
      </c>
      <c r="CB58" s="2">
        <f>IF(AND(Cases[[#This Row],[Initial Component]]&lt;&gt;"",Cases[[#This Row],[Component]]&lt;&gt;"",Cases[[#This Row],[Initial Component]]&lt;&gt;Cases[[#This Row],[Component]]),1,0)</f>
        <v>0</v>
      </c>
      <c r="CC58" s="2">
        <f>IF(OR(Cases[[#This Row],[Is Reopened]]="X",Cases[[#This Row],[No. of Reopenings]]&gt;0),1,0)</f>
        <v>0</v>
      </c>
      <c r="CD58" s="2">
        <f>IF(Cases[[#This Row],[Confirmation Type]]="Automatic",1,0)</f>
        <v>1</v>
      </c>
      <c r="CE5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9" spans="1:83" x14ac:dyDescent="0.2">
      <c r="A59" s="1" t="s">
        <v>548</v>
      </c>
      <c r="B59" s="2" t="s">
        <v>549</v>
      </c>
      <c r="C59" s="2" t="s">
        <v>550</v>
      </c>
      <c r="D59" s="2" t="s">
        <v>238</v>
      </c>
      <c r="E59" s="3">
        <v>8.67</v>
      </c>
      <c r="F59" s="3">
        <v>23.94</v>
      </c>
      <c r="G59" s="2" t="s">
        <v>79</v>
      </c>
      <c r="H59" s="2" t="s">
        <v>178</v>
      </c>
      <c r="I59" s="3" t="s">
        <v>114</v>
      </c>
      <c r="J59" s="3">
        <v>41</v>
      </c>
      <c r="K59" s="2" t="s">
        <v>551</v>
      </c>
      <c r="L59" s="4">
        <v>46124</v>
      </c>
      <c r="M59" s="4">
        <v>46118</v>
      </c>
      <c r="N59" s="2" t="s">
        <v>83</v>
      </c>
      <c r="O59" s="2" t="s">
        <v>84</v>
      </c>
      <c r="P59" s="2" t="s">
        <v>85</v>
      </c>
      <c r="Q59" s="2" t="s">
        <v>86</v>
      </c>
      <c r="R59" s="2" t="s">
        <v>552</v>
      </c>
      <c r="S59" s="4">
        <v>46086</v>
      </c>
      <c r="T59" s="2" t="s">
        <v>180</v>
      </c>
      <c r="U59" s="2" t="s">
        <v>181</v>
      </c>
      <c r="V59" s="2" t="s">
        <v>526</v>
      </c>
      <c r="W59" s="2" t="s">
        <v>86</v>
      </c>
      <c r="X59" s="2" t="s">
        <v>117</v>
      </c>
      <c r="Y59" s="3" t="s">
        <v>118</v>
      </c>
      <c r="Z59" s="3">
        <v>32.61</v>
      </c>
      <c r="AA59" s="2" t="s">
        <v>90</v>
      </c>
      <c r="AB59" s="2" t="s">
        <v>552</v>
      </c>
      <c r="AC59" s="2" t="s">
        <v>550</v>
      </c>
      <c r="AD59" t="str" cm="1">
        <f t="array" ref="AD5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59" s="2" t="s">
        <v>139</v>
      </c>
      <c r="AF59" s="2" t="s">
        <v>92</v>
      </c>
      <c r="AG59" s="2" t="s">
        <v>553</v>
      </c>
      <c r="AH59" s="2" t="s">
        <v>554</v>
      </c>
      <c r="AK59" s="2" t="s">
        <v>555</v>
      </c>
      <c r="AN59" s="3">
        <v>1</v>
      </c>
      <c r="AO59" s="3">
        <v>1</v>
      </c>
      <c r="AP59" s="3">
        <v>1</v>
      </c>
      <c r="AQ59" s="3">
        <v>1</v>
      </c>
      <c r="AR59" s="3">
        <v>0</v>
      </c>
      <c r="AS59" s="3">
        <v>0</v>
      </c>
      <c r="AT59" s="3">
        <v>1</v>
      </c>
      <c r="AU59" s="3">
        <v>0</v>
      </c>
      <c r="AV59" s="3">
        <v>1</v>
      </c>
      <c r="AW59" s="3">
        <v>0</v>
      </c>
      <c r="AX59" s="3">
        <v>0</v>
      </c>
      <c r="AY59" s="3">
        <v>0</v>
      </c>
      <c r="AZ59" s="3">
        <v>1</v>
      </c>
      <c r="BA59" s="3">
        <v>1</v>
      </c>
      <c r="BB59" s="3">
        <v>0</v>
      </c>
      <c r="BC59" s="3">
        <v>0</v>
      </c>
      <c r="BD59" s="3">
        <v>0</v>
      </c>
      <c r="BE59" s="3">
        <v>0</v>
      </c>
      <c r="BG59" s="2" t="s">
        <v>139</v>
      </c>
      <c r="BH59" s="3">
        <v>2</v>
      </c>
      <c r="BJ59" s="2" t="s">
        <v>96</v>
      </c>
      <c r="BL59" s="2" t="s">
        <v>556</v>
      </c>
      <c r="BM59" s="2" t="s">
        <v>557</v>
      </c>
      <c r="BN59" s="2" t="s">
        <v>99</v>
      </c>
      <c r="BO59" s="2" t="s">
        <v>100</v>
      </c>
      <c r="BP59" s="2" t="s">
        <v>242</v>
      </c>
      <c r="BQ59" s="2" t="s">
        <v>102</v>
      </c>
      <c r="BR59" s="2" t="s">
        <v>103</v>
      </c>
      <c r="BS59" s="2" t="s">
        <v>127</v>
      </c>
      <c r="BT59" s="2" t="s">
        <v>558</v>
      </c>
      <c r="BU59" s="2" t="s">
        <v>559</v>
      </c>
      <c r="BV59" s="2" t="s">
        <v>166</v>
      </c>
      <c r="BW59" s="2" t="s">
        <v>167</v>
      </c>
      <c r="BX59" s="2" t="s">
        <v>139</v>
      </c>
      <c r="BY5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9" s="2">
        <f>IF(AND(Cases[[#This Row],[Priority Level]]&gt;=3,Cases[[#This Row],[System Role]]&lt;&gt;"Productive"),1,0)</f>
        <v>0</v>
      </c>
      <c r="CA59" s="2">
        <f>IFERROR(IF(Cases[[#This Row],[Days at Customer]]&gt;MAX(1,Cases[[#This Row],[Days at SAP]]*2),1,0),0)</f>
        <v>1</v>
      </c>
      <c r="CB59" s="2">
        <f>IF(AND(Cases[[#This Row],[Initial Component]]&lt;&gt;"",Cases[[#This Row],[Component]]&lt;&gt;"",Cases[[#This Row],[Initial Component]]&lt;&gt;Cases[[#This Row],[Component]]),1,0)</f>
        <v>0</v>
      </c>
      <c r="CC59" s="2">
        <f>IF(OR(Cases[[#This Row],[Is Reopened]]="X",Cases[[#This Row],[No. of Reopenings]]&gt;0),1,0)</f>
        <v>0</v>
      </c>
      <c r="CD59" s="2">
        <f>IF(Cases[[#This Row],[Confirmation Type]]="Automatic",1,0)</f>
        <v>1</v>
      </c>
      <c r="CE59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0" spans="1:83" x14ac:dyDescent="0.2">
      <c r="A60" s="1" t="s">
        <v>560</v>
      </c>
      <c r="B60" s="2" t="s">
        <v>561</v>
      </c>
      <c r="C60" s="2" t="s">
        <v>389</v>
      </c>
      <c r="D60" s="2" t="s">
        <v>238</v>
      </c>
      <c r="E60" s="3">
        <v>10.66</v>
      </c>
      <c r="F60" s="3">
        <v>29.09</v>
      </c>
      <c r="G60" s="2" t="s">
        <v>79</v>
      </c>
      <c r="H60" s="2" t="s">
        <v>178</v>
      </c>
      <c r="I60" s="3" t="s">
        <v>114</v>
      </c>
      <c r="J60" s="3">
        <v>41</v>
      </c>
      <c r="K60" s="2" t="s">
        <v>562</v>
      </c>
      <c r="L60" s="4">
        <v>46127</v>
      </c>
      <c r="M60" s="4">
        <v>46126</v>
      </c>
      <c r="N60" s="2" t="s">
        <v>83</v>
      </c>
      <c r="O60" s="2" t="s">
        <v>84</v>
      </c>
      <c r="P60" s="2" t="s">
        <v>193</v>
      </c>
      <c r="Q60" s="2" t="s">
        <v>86</v>
      </c>
      <c r="R60" s="2" t="s">
        <v>391</v>
      </c>
      <c r="S60" s="4">
        <v>46086</v>
      </c>
      <c r="T60" s="2" t="s">
        <v>180</v>
      </c>
      <c r="U60" s="2" t="s">
        <v>181</v>
      </c>
      <c r="V60" s="2" t="s">
        <v>526</v>
      </c>
      <c r="W60" s="2" t="s">
        <v>86</v>
      </c>
      <c r="X60" s="2" t="s">
        <v>117</v>
      </c>
      <c r="Y60" s="3" t="s">
        <v>118</v>
      </c>
      <c r="Z60" s="3">
        <v>39.76</v>
      </c>
      <c r="AA60" s="2" t="s">
        <v>90</v>
      </c>
      <c r="AB60" s="2" t="s">
        <v>563</v>
      </c>
      <c r="AC60" s="2" t="s">
        <v>564</v>
      </c>
      <c r="AD60" t="str" cm="1">
        <f t="array" ref="AD6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60" s="2" t="s">
        <v>139</v>
      </c>
      <c r="AF60" s="2" t="s">
        <v>92</v>
      </c>
      <c r="AG60" s="2" t="s">
        <v>119</v>
      </c>
      <c r="AH60" s="2" t="s">
        <v>120</v>
      </c>
      <c r="AK60" s="2" t="s">
        <v>565</v>
      </c>
      <c r="AN60" s="3">
        <v>1</v>
      </c>
      <c r="AO60" s="3">
        <v>1</v>
      </c>
      <c r="AP60" s="3">
        <v>1</v>
      </c>
      <c r="AQ60" s="3">
        <v>1</v>
      </c>
      <c r="AR60" s="3">
        <v>0</v>
      </c>
      <c r="AS60" s="3">
        <v>0</v>
      </c>
      <c r="AT60" s="3">
        <v>1</v>
      </c>
      <c r="AU60" s="3">
        <v>0</v>
      </c>
      <c r="AV60" s="3">
        <v>1</v>
      </c>
      <c r="AW60" s="3">
        <v>0</v>
      </c>
      <c r="AX60" s="3">
        <v>0</v>
      </c>
      <c r="AY60" s="3">
        <v>0</v>
      </c>
      <c r="AZ60" s="3">
        <v>1</v>
      </c>
      <c r="BA60" s="3">
        <v>1</v>
      </c>
      <c r="BB60" s="3">
        <v>0</v>
      </c>
      <c r="BC60" s="3">
        <v>0</v>
      </c>
      <c r="BD60" s="3">
        <v>0</v>
      </c>
      <c r="BE60" s="3">
        <v>0</v>
      </c>
      <c r="BG60" s="2" t="s">
        <v>139</v>
      </c>
      <c r="BH60" s="3">
        <v>2</v>
      </c>
      <c r="BJ60" s="2" t="s">
        <v>96</v>
      </c>
      <c r="BL60" s="2" t="s">
        <v>123</v>
      </c>
      <c r="BM60" s="2" t="s">
        <v>123</v>
      </c>
      <c r="BN60" s="2" t="s">
        <v>124</v>
      </c>
      <c r="BO60" s="2" t="s">
        <v>125</v>
      </c>
      <c r="BP60" s="2" t="s">
        <v>242</v>
      </c>
      <c r="BQ60" s="2" t="s">
        <v>124</v>
      </c>
      <c r="BR60" s="2" t="s">
        <v>126</v>
      </c>
      <c r="BS60" s="2" t="s">
        <v>127</v>
      </c>
      <c r="BT60" s="2" t="s">
        <v>128</v>
      </c>
      <c r="BU60" s="2" t="s">
        <v>129</v>
      </c>
      <c r="BV60" s="2" t="s">
        <v>107</v>
      </c>
      <c r="BW60" s="2" t="s">
        <v>108</v>
      </c>
      <c r="BX60" s="2" t="s">
        <v>139</v>
      </c>
      <c r="BY6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0" s="2">
        <f>IF(AND(Cases[[#This Row],[Priority Level]]&gt;=3,Cases[[#This Row],[System Role]]&lt;&gt;"Productive"),1,0)</f>
        <v>0</v>
      </c>
      <c r="CA60" s="2">
        <f>IFERROR(IF(Cases[[#This Row],[Days at Customer]]&gt;MAX(1,Cases[[#This Row],[Days at SAP]]*2),1,0),0)</f>
        <v>1</v>
      </c>
      <c r="CB60" s="2">
        <f>IF(AND(Cases[[#This Row],[Initial Component]]&lt;&gt;"",Cases[[#This Row],[Component]]&lt;&gt;"",Cases[[#This Row],[Initial Component]]&lt;&gt;Cases[[#This Row],[Component]]),1,0)</f>
        <v>1</v>
      </c>
      <c r="CC60" s="2">
        <f>IF(OR(Cases[[#This Row],[Is Reopened]]="X",Cases[[#This Row],[No. of Reopenings]]&gt;0),1,0)</f>
        <v>0</v>
      </c>
      <c r="CD60" s="2">
        <f>IF(Cases[[#This Row],[Confirmation Type]]="Automatic",1,0)</f>
        <v>1</v>
      </c>
      <c r="CE60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61" spans="1:83" x14ac:dyDescent="0.2">
      <c r="A61" s="1" t="s">
        <v>2880</v>
      </c>
      <c r="B61" s="2" t="s">
        <v>2881</v>
      </c>
      <c r="C61" s="2" t="s">
        <v>203</v>
      </c>
      <c r="D61" s="2" t="s">
        <v>238</v>
      </c>
      <c r="E61" s="3">
        <v>0</v>
      </c>
      <c r="F61" s="3">
        <v>23.09</v>
      </c>
      <c r="G61" s="2" t="s">
        <v>112</v>
      </c>
      <c r="H61" s="2" t="s">
        <v>113</v>
      </c>
      <c r="I61" s="3" t="s">
        <v>114</v>
      </c>
      <c r="J61" s="3">
        <v>170</v>
      </c>
      <c r="K61" s="2" t="s">
        <v>2882</v>
      </c>
      <c r="L61" s="4">
        <v>46009</v>
      </c>
      <c r="M61" s="4">
        <v>45982</v>
      </c>
      <c r="N61" s="2" t="s">
        <v>2274</v>
      </c>
      <c r="O61" s="2" t="s">
        <v>1805</v>
      </c>
      <c r="P61" s="2" t="s">
        <v>2404</v>
      </c>
      <c r="Q61" s="2" t="s">
        <v>1806</v>
      </c>
      <c r="R61" s="2" t="s">
        <v>205</v>
      </c>
      <c r="S61" s="4">
        <v>45957</v>
      </c>
      <c r="T61" s="2" t="s">
        <v>2727</v>
      </c>
      <c r="U61" s="2" t="s">
        <v>1805</v>
      </c>
      <c r="V61" s="2" t="s">
        <v>2717</v>
      </c>
      <c r="W61" s="2" t="s">
        <v>1806</v>
      </c>
      <c r="X61" s="2" t="s">
        <v>117</v>
      </c>
      <c r="Y61" s="3" t="s">
        <v>118</v>
      </c>
      <c r="Z61" s="3">
        <v>23.09</v>
      </c>
      <c r="AA61" s="2" t="s">
        <v>90</v>
      </c>
      <c r="AB61" s="2" t="s">
        <v>205</v>
      </c>
      <c r="AC61" s="2" t="s">
        <v>203</v>
      </c>
      <c r="AD61" t="str" cm="1">
        <f t="array" ref="AD6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61" s="2" t="s">
        <v>91</v>
      </c>
      <c r="AF61" s="2" t="s">
        <v>92</v>
      </c>
      <c r="AG61" s="2" t="s">
        <v>119</v>
      </c>
      <c r="AH61" s="2" t="s">
        <v>120</v>
      </c>
      <c r="AK61" s="2" t="s">
        <v>2883</v>
      </c>
      <c r="AN61" s="3">
        <v>1</v>
      </c>
      <c r="AO61" s="3">
        <v>1</v>
      </c>
      <c r="AP61" s="3">
        <v>1</v>
      </c>
      <c r="AQ61" s="3">
        <v>1</v>
      </c>
      <c r="AR61" s="3">
        <v>1</v>
      </c>
      <c r="AS61" s="3">
        <v>0</v>
      </c>
      <c r="AT61" s="3">
        <v>0</v>
      </c>
      <c r="AU61" s="3">
        <v>0</v>
      </c>
      <c r="AV61" s="3">
        <v>1</v>
      </c>
      <c r="AW61" s="3">
        <v>0</v>
      </c>
      <c r="AX61" s="3">
        <v>1</v>
      </c>
      <c r="AY61" s="3">
        <v>0</v>
      </c>
      <c r="AZ61" s="3">
        <v>0</v>
      </c>
      <c r="BA61" s="3">
        <v>0</v>
      </c>
      <c r="BB61" s="3">
        <v>0</v>
      </c>
      <c r="BC61" s="3">
        <v>1</v>
      </c>
      <c r="BD61" s="3">
        <v>0</v>
      </c>
      <c r="BE61" s="3">
        <v>0</v>
      </c>
      <c r="BG61" s="2" t="s">
        <v>91</v>
      </c>
      <c r="BH61" s="3">
        <v>3</v>
      </c>
      <c r="BI61" s="2" t="s">
        <v>122</v>
      </c>
      <c r="BJ61" s="2" t="s">
        <v>96</v>
      </c>
      <c r="BL61" s="2" t="s">
        <v>123</v>
      </c>
      <c r="BM61" s="2" t="s">
        <v>123</v>
      </c>
      <c r="BN61" s="2" t="s">
        <v>124</v>
      </c>
      <c r="BO61" s="2" t="s">
        <v>125</v>
      </c>
      <c r="BP61" s="2" t="s">
        <v>242</v>
      </c>
      <c r="BQ61" s="2" t="s">
        <v>124</v>
      </c>
      <c r="BR61" s="2" t="s">
        <v>126</v>
      </c>
      <c r="BS61" s="2" t="s">
        <v>127</v>
      </c>
      <c r="BT61" s="2" t="s">
        <v>207</v>
      </c>
      <c r="BU61" s="2" t="s">
        <v>208</v>
      </c>
      <c r="BV61" s="2" t="s">
        <v>150</v>
      </c>
      <c r="BW61" s="2" t="s">
        <v>151</v>
      </c>
      <c r="BX61" s="2" t="s">
        <v>91</v>
      </c>
      <c r="BY6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1" s="2">
        <f>IF(AND(Cases[[#This Row],[Priority Level]]&gt;=3,Cases[[#This Row],[System Role]]&lt;&gt;"Productive"),1,0)</f>
        <v>0</v>
      </c>
      <c r="CA61" s="2">
        <f>IFERROR(IF(Cases[[#This Row],[Days at Customer]]&gt;MAX(1,Cases[[#This Row],[Days at SAP]]*2),1,0),0)</f>
        <v>1</v>
      </c>
      <c r="CB61" s="2">
        <f>IF(AND(Cases[[#This Row],[Initial Component]]&lt;&gt;"",Cases[[#This Row],[Component]]&lt;&gt;"",Cases[[#This Row],[Initial Component]]&lt;&gt;Cases[[#This Row],[Component]]),1,0)</f>
        <v>0</v>
      </c>
      <c r="CC61" s="2">
        <f>IF(OR(Cases[[#This Row],[Is Reopened]]="X",Cases[[#This Row],[No. of Reopenings]]&gt;0),1,0)</f>
        <v>0</v>
      </c>
      <c r="CD61" s="2">
        <f>IF(Cases[[#This Row],[Confirmation Type]]="Automatic",1,0)</f>
        <v>1</v>
      </c>
      <c r="CE61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2" spans="1:83" x14ac:dyDescent="0.2">
      <c r="A62" s="1" t="s">
        <v>2884</v>
      </c>
      <c r="B62" s="2" t="s">
        <v>2885</v>
      </c>
      <c r="C62" s="2" t="s">
        <v>111</v>
      </c>
      <c r="D62" s="2" t="s">
        <v>238</v>
      </c>
      <c r="E62" s="3">
        <v>0</v>
      </c>
      <c r="F62" s="3">
        <v>22.17</v>
      </c>
      <c r="G62" s="2" t="s">
        <v>112</v>
      </c>
      <c r="H62" s="2" t="s">
        <v>113</v>
      </c>
      <c r="I62" s="3" t="s">
        <v>114</v>
      </c>
      <c r="J62" s="3">
        <v>172</v>
      </c>
      <c r="K62" s="2" t="s">
        <v>2886</v>
      </c>
      <c r="L62" s="4">
        <v>46009</v>
      </c>
      <c r="M62" s="4">
        <v>45980</v>
      </c>
      <c r="N62" s="2" t="s">
        <v>2274</v>
      </c>
      <c r="O62" s="2" t="s">
        <v>1805</v>
      </c>
      <c r="P62" s="2" t="s">
        <v>2404</v>
      </c>
      <c r="Q62" s="2" t="s">
        <v>1806</v>
      </c>
      <c r="R62" s="2" t="s">
        <v>116</v>
      </c>
      <c r="S62" s="4">
        <v>45955</v>
      </c>
      <c r="T62" s="2" t="s">
        <v>2727</v>
      </c>
      <c r="U62" s="2" t="s">
        <v>1805</v>
      </c>
      <c r="V62" s="2" t="s">
        <v>2887</v>
      </c>
      <c r="W62" s="2" t="s">
        <v>1806</v>
      </c>
      <c r="X62" s="2" t="s">
        <v>117</v>
      </c>
      <c r="Y62" s="3" t="s">
        <v>118</v>
      </c>
      <c r="Z62" s="3">
        <v>22.17</v>
      </c>
      <c r="AA62" s="2" t="s">
        <v>90</v>
      </c>
      <c r="AB62" s="2" t="s">
        <v>116</v>
      </c>
      <c r="AC62" s="2" t="s">
        <v>111</v>
      </c>
      <c r="AD62" t="str" cm="1">
        <f t="array" ref="AD6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62" s="2" t="s">
        <v>139</v>
      </c>
      <c r="AF62" s="2" t="s">
        <v>92</v>
      </c>
      <c r="AG62" s="2" t="s">
        <v>119</v>
      </c>
      <c r="AH62" s="2" t="s">
        <v>120</v>
      </c>
      <c r="AK62" s="2" t="s">
        <v>2888</v>
      </c>
      <c r="AN62" s="3">
        <v>1</v>
      </c>
      <c r="AO62" s="3">
        <v>1</v>
      </c>
      <c r="AP62" s="3">
        <v>1</v>
      </c>
      <c r="AQ62" s="3">
        <v>1</v>
      </c>
      <c r="AR62" s="3">
        <v>0</v>
      </c>
      <c r="AS62" s="3">
        <v>0</v>
      </c>
      <c r="AT62" s="3">
        <v>1</v>
      </c>
      <c r="AU62" s="3">
        <v>0</v>
      </c>
      <c r="AV62" s="3">
        <v>1</v>
      </c>
      <c r="AW62" s="3">
        <v>0</v>
      </c>
      <c r="AX62" s="3">
        <v>0</v>
      </c>
      <c r="AY62" s="3">
        <v>0</v>
      </c>
      <c r="AZ62" s="3">
        <v>1</v>
      </c>
      <c r="BA62" s="3">
        <v>1</v>
      </c>
      <c r="BB62" s="3">
        <v>0</v>
      </c>
      <c r="BC62" s="3">
        <v>0</v>
      </c>
      <c r="BD62" s="3">
        <v>0</v>
      </c>
      <c r="BE62" s="3">
        <v>0</v>
      </c>
      <c r="BG62" s="2" t="s">
        <v>139</v>
      </c>
      <c r="BH62" s="3">
        <v>2</v>
      </c>
      <c r="BI62" s="2" t="s">
        <v>122</v>
      </c>
      <c r="BJ62" s="2" t="s">
        <v>96</v>
      </c>
      <c r="BL62" s="2" t="s">
        <v>123</v>
      </c>
      <c r="BM62" s="2" t="s">
        <v>123</v>
      </c>
      <c r="BN62" s="2" t="s">
        <v>124</v>
      </c>
      <c r="BO62" s="2" t="s">
        <v>125</v>
      </c>
      <c r="BP62" s="2" t="s">
        <v>242</v>
      </c>
      <c r="BQ62" s="2" t="s">
        <v>124</v>
      </c>
      <c r="BR62" s="2" t="s">
        <v>126</v>
      </c>
      <c r="BS62" s="2" t="s">
        <v>127</v>
      </c>
      <c r="BT62" s="2" t="s">
        <v>128</v>
      </c>
      <c r="BU62" s="2" t="s">
        <v>129</v>
      </c>
      <c r="BV62" s="2" t="s">
        <v>107</v>
      </c>
      <c r="BW62" s="2" t="s">
        <v>108</v>
      </c>
      <c r="BX62" s="2" t="s">
        <v>139</v>
      </c>
      <c r="BY6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2" s="2">
        <f>IF(AND(Cases[[#This Row],[Priority Level]]&gt;=3,Cases[[#This Row],[System Role]]&lt;&gt;"Productive"),1,0)</f>
        <v>0</v>
      </c>
      <c r="CA62" s="2">
        <f>IFERROR(IF(Cases[[#This Row],[Days at Customer]]&gt;MAX(1,Cases[[#This Row],[Days at SAP]]*2),1,0),0)</f>
        <v>1</v>
      </c>
      <c r="CB62" s="2">
        <f>IF(AND(Cases[[#This Row],[Initial Component]]&lt;&gt;"",Cases[[#This Row],[Component]]&lt;&gt;"",Cases[[#This Row],[Initial Component]]&lt;&gt;Cases[[#This Row],[Component]]),1,0)</f>
        <v>0</v>
      </c>
      <c r="CC62" s="2">
        <f>IF(OR(Cases[[#This Row],[Is Reopened]]="X",Cases[[#This Row],[No. of Reopenings]]&gt;0),1,0)</f>
        <v>0</v>
      </c>
      <c r="CD62" s="2">
        <f>IF(Cases[[#This Row],[Confirmation Type]]="Automatic",1,0)</f>
        <v>1</v>
      </c>
      <c r="CE62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3" spans="1:83" x14ac:dyDescent="0.2">
      <c r="A63" s="1" t="s">
        <v>2914</v>
      </c>
      <c r="B63" s="2" t="s">
        <v>2915</v>
      </c>
      <c r="C63" s="2" t="s">
        <v>1576</v>
      </c>
      <c r="D63" s="2" t="s">
        <v>238</v>
      </c>
      <c r="E63" s="3">
        <v>11.29</v>
      </c>
      <c r="F63" s="3">
        <v>23.38</v>
      </c>
      <c r="G63" s="2" t="s">
        <v>79</v>
      </c>
      <c r="H63" s="2" t="s">
        <v>178</v>
      </c>
      <c r="I63" s="3" t="s">
        <v>114</v>
      </c>
      <c r="J63" s="3">
        <v>175</v>
      </c>
      <c r="K63" s="2" t="s">
        <v>2916</v>
      </c>
      <c r="L63" s="4">
        <v>46009</v>
      </c>
      <c r="M63" s="4">
        <v>45987</v>
      </c>
      <c r="N63" s="2" t="s">
        <v>2274</v>
      </c>
      <c r="O63" s="2" t="s">
        <v>1805</v>
      </c>
      <c r="P63" s="2" t="s">
        <v>2275</v>
      </c>
      <c r="Q63" s="2" t="s">
        <v>1806</v>
      </c>
      <c r="R63" s="2" t="s">
        <v>1578</v>
      </c>
      <c r="S63" s="4">
        <v>45952</v>
      </c>
      <c r="T63" s="2" t="s">
        <v>2727</v>
      </c>
      <c r="U63" s="2" t="s">
        <v>1805</v>
      </c>
      <c r="V63" s="2" t="s">
        <v>2887</v>
      </c>
      <c r="W63" s="2" t="s">
        <v>1806</v>
      </c>
      <c r="X63" s="2" t="s">
        <v>117</v>
      </c>
      <c r="Y63" s="3" t="s">
        <v>118</v>
      </c>
      <c r="Z63" s="3">
        <v>34.67</v>
      </c>
      <c r="AA63" s="2" t="s">
        <v>90</v>
      </c>
      <c r="AB63" s="2" t="s">
        <v>363</v>
      </c>
      <c r="AC63" s="2" t="s">
        <v>2917</v>
      </c>
      <c r="AD63" t="str" cm="1">
        <f t="array" ref="AD6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OTC</v>
      </c>
      <c r="AE63" s="2" t="s">
        <v>91</v>
      </c>
      <c r="AF63" s="2" t="s">
        <v>92</v>
      </c>
      <c r="AG63" s="2" t="s">
        <v>119</v>
      </c>
      <c r="AH63" s="2" t="s">
        <v>120</v>
      </c>
      <c r="AK63" s="2" t="s">
        <v>2918</v>
      </c>
      <c r="AN63" s="3">
        <v>1</v>
      </c>
      <c r="AO63" s="3">
        <v>1</v>
      </c>
      <c r="AP63" s="3">
        <v>1</v>
      </c>
      <c r="AQ63" s="3">
        <v>1</v>
      </c>
      <c r="AR63" s="3">
        <v>1</v>
      </c>
      <c r="AS63" s="3">
        <v>0</v>
      </c>
      <c r="AT63" s="3">
        <v>0</v>
      </c>
      <c r="AU63" s="3">
        <v>0</v>
      </c>
      <c r="AV63" s="3">
        <v>1</v>
      </c>
      <c r="AW63" s="3">
        <v>0</v>
      </c>
      <c r="AX63" s="3">
        <v>1</v>
      </c>
      <c r="AY63" s="3">
        <v>0</v>
      </c>
      <c r="AZ63" s="3">
        <v>0</v>
      </c>
      <c r="BA63" s="3">
        <v>0</v>
      </c>
      <c r="BB63" s="3">
        <v>0</v>
      </c>
      <c r="BC63" s="3">
        <v>1</v>
      </c>
      <c r="BD63" s="3">
        <v>0</v>
      </c>
      <c r="BE63" s="3">
        <v>0</v>
      </c>
      <c r="BG63" s="2" t="s">
        <v>91</v>
      </c>
      <c r="BH63" s="3">
        <v>3</v>
      </c>
      <c r="BJ63" s="2" t="s">
        <v>96</v>
      </c>
      <c r="BL63" s="2" t="s">
        <v>123</v>
      </c>
      <c r="BM63" s="2" t="s">
        <v>123</v>
      </c>
      <c r="BN63" s="2" t="s">
        <v>124</v>
      </c>
      <c r="BO63" s="2" t="s">
        <v>125</v>
      </c>
      <c r="BP63" s="2" t="s">
        <v>242</v>
      </c>
      <c r="BQ63" s="2" t="s">
        <v>124</v>
      </c>
      <c r="BR63" s="2" t="s">
        <v>126</v>
      </c>
      <c r="BS63" s="2" t="s">
        <v>127</v>
      </c>
      <c r="BT63" s="2" t="s">
        <v>207</v>
      </c>
      <c r="BU63" s="2" t="s">
        <v>208</v>
      </c>
      <c r="BV63" s="2" t="s">
        <v>150</v>
      </c>
      <c r="BW63" s="2" t="s">
        <v>151</v>
      </c>
      <c r="BX63" s="2" t="s">
        <v>91</v>
      </c>
      <c r="BY6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3" s="2">
        <f>IF(AND(Cases[[#This Row],[Priority Level]]&gt;=3,Cases[[#This Row],[System Role]]&lt;&gt;"Productive"),1,0)</f>
        <v>0</v>
      </c>
      <c r="CA63" s="2">
        <f>IFERROR(IF(Cases[[#This Row],[Days at Customer]]&gt;MAX(1,Cases[[#This Row],[Days at SAP]]*2),1,0),0)</f>
        <v>1</v>
      </c>
      <c r="CB63" s="2">
        <f>IF(AND(Cases[[#This Row],[Initial Component]]&lt;&gt;"",Cases[[#This Row],[Component]]&lt;&gt;"",Cases[[#This Row],[Initial Component]]&lt;&gt;Cases[[#This Row],[Component]]),1,0)</f>
        <v>1</v>
      </c>
      <c r="CC63" s="2">
        <f>IF(OR(Cases[[#This Row],[Is Reopened]]="X",Cases[[#This Row],[No. of Reopenings]]&gt;0),1,0)</f>
        <v>0</v>
      </c>
      <c r="CD63" s="2">
        <f>IF(Cases[[#This Row],[Confirmation Type]]="Automatic",1,0)</f>
        <v>1</v>
      </c>
      <c r="CE63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64" spans="1:83" x14ac:dyDescent="0.2">
      <c r="A64" s="1" t="s">
        <v>585</v>
      </c>
      <c r="B64" s="2" t="s">
        <v>586</v>
      </c>
      <c r="C64" s="2" t="s">
        <v>587</v>
      </c>
      <c r="D64" s="2" t="s">
        <v>238</v>
      </c>
      <c r="E64" s="3">
        <v>0.64</v>
      </c>
      <c r="F64" s="3">
        <v>22.09</v>
      </c>
      <c r="G64" s="2" t="s">
        <v>588</v>
      </c>
      <c r="H64" s="2" t="s">
        <v>113</v>
      </c>
      <c r="I64" s="3" t="s">
        <v>114</v>
      </c>
      <c r="J64" s="3">
        <v>42</v>
      </c>
      <c r="K64" s="2" t="s">
        <v>589</v>
      </c>
      <c r="L64" s="4">
        <v>46110</v>
      </c>
      <c r="M64" s="4">
        <v>46108</v>
      </c>
      <c r="N64" s="2" t="s">
        <v>180</v>
      </c>
      <c r="O64" s="2" t="s">
        <v>181</v>
      </c>
      <c r="P64" s="2" t="s">
        <v>195</v>
      </c>
      <c r="Q64" s="2" t="s">
        <v>86</v>
      </c>
      <c r="R64" s="2" t="s">
        <v>590</v>
      </c>
      <c r="S64" s="4">
        <v>46085</v>
      </c>
      <c r="T64" s="2" t="s">
        <v>180</v>
      </c>
      <c r="U64" s="2" t="s">
        <v>181</v>
      </c>
      <c r="V64" s="2" t="s">
        <v>526</v>
      </c>
      <c r="W64" s="2" t="s">
        <v>86</v>
      </c>
      <c r="X64" s="2" t="s">
        <v>117</v>
      </c>
      <c r="Y64" s="3" t="s">
        <v>118</v>
      </c>
      <c r="Z64" s="3">
        <v>22.73</v>
      </c>
      <c r="AA64" s="2" t="s">
        <v>90</v>
      </c>
      <c r="AB64" s="2" t="s">
        <v>590</v>
      </c>
      <c r="AC64" s="2" t="s">
        <v>587</v>
      </c>
      <c r="AD64" t="str" cm="1">
        <f t="array" ref="AD6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64" s="2" t="s">
        <v>91</v>
      </c>
      <c r="AF64" s="2" t="s">
        <v>92</v>
      </c>
      <c r="AG64" s="2" t="s">
        <v>119</v>
      </c>
      <c r="AH64" s="2" t="s">
        <v>120</v>
      </c>
      <c r="AK64" s="2" t="s">
        <v>591</v>
      </c>
      <c r="AN64" s="3">
        <v>1</v>
      </c>
      <c r="AO64" s="3">
        <v>1</v>
      </c>
      <c r="AP64" s="3">
        <v>1</v>
      </c>
      <c r="AQ64" s="3">
        <v>1</v>
      </c>
      <c r="AR64" s="3">
        <v>1</v>
      </c>
      <c r="AS64" s="3">
        <v>0</v>
      </c>
      <c r="AT64" s="3">
        <v>0</v>
      </c>
      <c r="AU64" s="3">
        <v>0</v>
      </c>
      <c r="AV64" s="3">
        <v>1</v>
      </c>
      <c r="AW64" s="3">
        <v>0</v>
      </c>
      <c r="AX64" s="3">
        <v>1</v>
      </c>
      <c r="AY64" s="3">
        <v>0</v>
      </c>
      <c r="AZ64" s="3">
        <v>0</v>
      </c>
      <c r="BA64" s="3">
        <v>0</v>
      </c>
      <c r="BB64" s="3">
        <v>0</v>
      </c>
      <c r="BC64" s="3">
        <v>1</v>
      </c>
      <c r="BD64" s="3">
        <v>0</v>
      </c>
      <c r="BE64" s="3">
        <v>0</v>
      </c>
      <c r="BG64" s="2" t="s">
        <v>91</v>
      </c>
      <c r="BH64" s="3">
        <v>3</v>
      </c>
      <c r="BJ64" s="2" t="s">
        <v>96</v>
      </c>
      <c r="BL64" s="2" t="s">
        <v>123</v>
      </c>
      <c r="BM64" s="2" t="s">
        <v>123</v>
      </c>
      <c r="BN64" s="2" t="s">
        <v>124</v>
      </c>
      <c r="BO64" s="2" t="s">
        <v>125</v>
      </c>
      <c r="BP64" s="2" t="s">
        <v>242</v>
      </c>
      <c r="BQ64" s="2" t="s">
        <v>124</v>
      </c>
      <c r="BR64" s="2" t="s">
        <v>126</v>
      </c>
      <c r="BS64" s="2" t="s">
        <v>127</v>
      </c>
      <c r="BT64" s="2" t="s">
        <v>207</v>
      </c>
      <c r="BU64" s="2" t="s">
        <v>208</v>
      </c>
      <c r="BV64" s="2" t="s">
        <v>150</v>
      </c>
      <c r="BW64" s="2" t="s">
        <v>151</v>
      </c>
      <c r="BX64" s="2" t="s">
        <v>91</v>
      </c>
      <c r="BY6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4" s="2">
        <f>IF(AND(Cases[[#This Row],[Priority Level]]&gt;=3,Cases[[#This Row],[System Role]]&lt;&gt;"Productive"),1,0)</f>
        <v>0</v>
      </c>
      <c r="CA64" s="2">
        <f>IFERROR(IF(Cases[[#This Row],[Days at Customer]]&gt;MAX(1,Cases[[#This Row],[Days at SAP]]*2),1,0),0)</f>
        <v>1</v>
      </c>
      <c r="CB64" s="2">
        <f>IF(AND(Cases[[#This Row],[Initial Component]]&lt;&gt;"",Cases[[#This Row],[Component]]&lt;&gt;"",Cases[[#This Row],[Initial Component]]&lt;&gt;Cases[[#This Row],[Component]]),1,0)</f>
        <v>0</v>
      </c>
      <c r="CC64" s="2">
        <f>IF(OR(Cases[[#This Row],[Is Reopened]]="X",Cases[[#This Row],[No. of Reopenings]]&gt;0),1,0)</f>
        <v>0</v>
      </c>
      <c r="CD64" s="2">
        <f>IF(Cases[[#This Row],[Confirmation Type]]="Automatic",1,0)</f>
        <v>1</v>
      </c>
      <c r="CE6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5" spans="1:83" x14ac:dyDescent="0.2">
      <c r="A65" s="1" t="s">
        <v>592</v>
      </c>
      <c r="B65" s="2" t="s">
        <v>593</v>
      </c>
      <c r="C65" s="2" t="s">
        <v>231</v>
      </c>
      <c r="D65" s="2" t="s">
        <v>78</v>
      </c>
      <c r="E65" s="3">
        <v>8.1199999999999992</v>
      </c>
      <c r="F65" s="3">
        <v>5.85</v>
      </c>
      <c r="G65" s="2" t="s">
        <v>79</v>
      </c>
      <c r="H65" s="2" t="s">
        <v>80</v>
      </c>
      <c r="I65" s="3" t="s">
        <v>114</v>
      </c>
      <c r="J65" s="3">
        <v>42</v>
      </c>
      <c r="K65" s="2" t="s">
        <v>594</v>
      </c>
      <c r="L65" s="4">
        <v>46103</v>
      </c>
      <c r="M65" s="4">
        <v>46099</v>
      </c>
      <c r="N65" s="2" t="s">
        <v>180</v>
      </c>
      <c r="O65" s="2" t="s">
        <v>181</v>
      </c>
      <c r="P65" s="2" t="s">
        <v>260</v>
      </c>
      <c r="Q65" s="2" t="s">
        <v>86</v>
      </c>
      <c r="R65" s="2" t="s">
        <v>233</v>
      </c>
      <c r="S65" s="4">
        <v>46085</v>
      </c>
      <c r="T65" s="2" t="s">
        <v>180</v>
      </c>
      <c r="U65" s="2" t="s">
        <v>181</v>
      </c>
      <c r="V65" s="2" t="s">
        <v>526</v>
      </c>
      <c r="W65" s="2" t="s">
        <v>86</v>
      </c>
      <c r="X65" s="2" t="s">
        <v>117</v>
      </c>
      <c r="Y65" s="3" t="s">
        <v>118</v>
      </c>
      <c r="Z65" s="3">
        <v>13.97</v>
      </c>
      <c r="AA65" s="2" t="s">
        <v>90</v>
      </c>
      <c r="AB65" s="2" t="s">
        <v>595</v>
      </c>
      <c r="AC65" s="2" t="s">
        <v>596</v>
      </c>
      <c r="AD65" t="str" cm="1">
        <f t="array" ref="AD6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65" s="2" t="s">
        <v>91</v>
      </c>
      <c r="AF65" s="2" t="s">
        <v>92</v>
      </c>
      <c r="AG65" s="2" t="s">
        <v>119</v>
      </c>
      <c r="AH65" s="2" t="s">
        <v>120</v>
      </c>
      <c r="AK65" s="2" t="s">
        <v>597</v>
      </c>
      <c r="AN65" s="3">
        <v>1</v>
      </c>
      <c r="AO65" s="3">
        <v>1</v>
      </c>
      <c r="AP65" s="3">
        <v>1</v>
      </c>
      <c r="AQ65" s="3">
        <v>1</v>
      </c>
      <c r="AR65" s="3">
        <v>1</v>
      </c>
      <c r="AS65" s="3">
        <v>0</v>
      </c>
      <c r="AT65" s="3">
        <v>0</v>
      </c>
      <c r="AU65" s="3">
        <v>0</v>
      </c>
      <c r="AV65" s="3">
        <v>0</v>
      </c>
      <c r="AW65" s="3">
        <v>1</v>
      </c>
      <c r="AX65" s="3">
        <v>1</v>
      </c>
      <c r="AY65" s="3">
        <v>0</v>
      </c>
      <c r="AZ65" s="3">
        <v>0</v>
      </c>
      <c r="BA65" s="3">
        <v>0</v>
      </c>
      <c r="BB65" s="3">
        <v>0</v>
      </c>
      <c r="BC65" s="3">
        <v>1</v>
      </c>
      <c r="BD65" s="3">
        <v>0</v>
      </c>
      <c r="BE65" s="3">
        <v>0</v>
      </c>
      <c r="BG65" s="2" t="s">
        <v>91</v>
      </c>
      <c r="BH65" s="3">
        <v>3</v>
      </c>
      <c r="BJ65" s="2" t="s">
        <v>96</v>
      </c>
      <c r="BL65" s="2" t="s">
        <v>123</v>
      </c>
      <c r="BM65" s="2" t="s">
        <v>123</v>
      </c>
      <c r="BN65" s="2" t="s">
        <v>124</v>
      </c>
      <c r="BO65" s="2" t="s">
        <v>125</v>
      </c>
      <c r="BP65" s="2" t="s">
        <v>101</v>
      </c>
      <c r="BQ65" s="2" t="s">
        <v>124</v>
      </c>
      <c r="BR65" s="2" t="s">
        <v>126</v>
      </c>
      <c r="BS65" s="2" t="s">
        <v>127</v>
      </c>
      <c r="BT65" s="2" t="s">
        <v>207</v>
      </c>
      <c r="BU65" s="2" t="s">
        <v>208</v>
      </c>
      <c r="BV65" s="2" t="s">
        <v>150</v>
      </c>
      <c r="BW65" s="2" t="s">
        <v>151</v>
      </c>
      <c r="BX65" s="2" t="s">
        <v>91</v>
      </c>
      <c r="BY6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5" s="2">
        <f>IF(AND(Cases[[#This Row],[Priority Level]]&gt;=3,Cases[[#This Row],[System Role]]&lt;&gt;"Productive"),1,0)</f>
        <v>0</v>
      </c>
      <c r="CA65" s="2">
        <f>IFERROR(IF(Cases[[#This Row],[Days at Customer]]&gt;MAX(1,Cases[[#This Row],[Days at SAP]]*2),1,0),0)</f>
        <v>0</v>
      </c>
      <c r="CB65" s="2">
        <f>IF(AND(Cases[[#This Row],[Initial Component]]&lt;&gt;"",Cases[[#This Row],[Component]]&lt;&gt;"",Cases[[#This Row],[Initial Component]]&lt;&gt;Cases[[#This Row],[Component]]),1,0)</f>
        <v>1</v>
      </c>
      <c r="CC65" s="2">
        <f>IF(OR(Cases[[#This Row],[Is Reopened]]="X",Cases[[#This Row],[No. of Reopenings]]&gt;0),1,0)</f>
        <v>0</v>
      </c>
      <c r="CD65" s="2">
        <f>IF(Cases[[#This Row],[Confirmation Type]]="Automatic",1,0)</f>
        <v>0</v>
      </c>
      <c r="CE65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6" spans="1:83" x14ac:dyDescent="0.2">
      <c r="A66" s="1" t="s">
        <v>2928</v>
      </c>
      <c r="B66" s="2" t="s">
        <v>2929</v>
      </c>
      <c r="C66" s="2" t="s">
        <v>2930</v>
      </c>
      <c r="D66" s="2" t="s">
        <v>238</v>
      </c>
      <c r="E66" s="3">
        <v>6.95</v>
      </c>
      <c r="F66" s="3">
        <v>45.44</v>
      </c>
      <c r="G66" s="2" t="s">
        <v>79</v>
      </c>
      <c r="H66" s="2" t="s">
        <v>178</v>
      </c>
      <c r="I66" s="3" t="s">
        <v>114</v>
      </c>
      <c r="J66" s="3">
        <v>176</v>
      </c>
      <c r="K66" s="2" t="s">
        <v>2931</v>
      </c>
      <c r="L66" s="4">
        <v>46009</v>
      </c>
      <c r="M66" s="4">
        <v>46003</v>
      </c>
      <c r="N66" s="2" t="s">
        <v>1804</v>
      </c>
      <c r="O66" s="2" t="s">
        <v>1805</v>
      </c>
      <c r="P66" s="2" t="s">
        <v>2037</v>
      </c>
      <c r="Q66" s="2" t="s">
        <v>1806</v>
      </c>
      <c r="R66" s="2" t="s">
        <v>310</v>
      </c>
      <c r="S66" s="4">
        <v>45951</v>
      </c>
      <c r="T66" s="2" t="s">
        <v>2727</v>
      </c>
      <c r="U66" s="2" t="s">
        <v>1805</v>
      </c>
      <c r="V66" s="2" t="s">
        <v>2887</v>
      </c>
      <c r="W66" s="2" t="s">
        <v>1806</v>
      </c>
      <c r="X66" s="2" t="s">
        <v>117</v>
      </c>
      <c r="Y66" s="3" t="s">
        <v>118</v>
      </c>
      <c r="Z66" s="3">
        <v>52.39</v>
      </c>
      <c r="AA66" s="2" t="s">
        <v>90</v>
      </c>
      <c r="AB66" s="2" t="s">
        <v>363</v>
      </c>
      <c r="AC66" s="2" t="s">
        <v>2917</v>
      </c>
      <c r="AD66" t="str" cm="1">
        <f t="array" ref="AD6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66" s="2" t="s">
        <v>139</v>
      </c>
      <c r="AF66" s="2" t="s">
        <v>92</v>
      </c>
      <c r="AG66" s="2" t="s">
        <v>119</v>
      </c>
      <c r="AH66" s="2" t="s">
        <v>120</v>
      </c>
      <c r="AJ66" s="2" t="s">
        <v>122</v>
      </c>
      <c r="AK66" s="2" t="s">
        <v>2932</v>
      </c>
      <c r="AN66" s="3">
        <v>1</v>
      </c>
      <c r="AO66" s="3">
        <v>1</v>
      </c>
      <c r="AP66" s="3">
        <v>1</v>
      </c>
      <c r="AQ66" s="3">
        <v>1</v>
      </c>
      <c r="AR66" s="3">
        <v>1</v>
      </c>
      <c r="AS66" s="3">
        <v>0</v>
      </c>
      <c r="AT66" s="3">
        <v>0</v>
      </c>
      <c r="AU66" s="3">
        <v>0</v>
      </c>
      <c r="AV66" s="3">
        <v>1</v>
      </c>
      <c r="AW66" s="3">
        <v>0</v>
      </c>
      <c r="AX66" s="3">
        <v>1</v>
      </c>
      <c r="AY66" s="3">
        <v>0</v>
      </c>
      <c r="AZ66" s="3">
        <v>0</v>
      </c>
      <c r="BA66" s="3">
        <v>0</v>
      </c>
      <c r="BB66" s="3">
        <v>0</v>
      </c>
      <c r="BC66" s="3">
        <v>1</v>
      </c>
      <c r="BD66" s="3">
        <v>1</v>
      </c>
      <c r="BE66" s="3">
        <v>0</v>
      </c>
      <c r="BG66" s="2" t="s">
        <v>91</v>
      </c>
      <c r="BH66" s="3">
        <v>3</v>
      </c>
      <c r="BJ66" s="2" t="s">
        <v>96</v>
      </c>
      <c r="BL66" s="2" t="s">
        <v>123</v>
      </c>
      <c r="BM66" s="2" t="s">
        <v>123</v>
      </c>
      <c r="BN66" s="2" t="s">
        <v>124</v>
      </c>
      <c r="BO66" s="2" t="s">
        <v>125</v>
      </c>
      <c r="BP66" s="2" t="s">
        <v>242</v>
      </c>
      <c r="BQ66" s="2" t="s">
        <v>124</v>
      </c>
      <c r="BR66" s="2" t="s">
        <v>126</v>
      </c>
      <c r="BS66" s="2" t="s">
        <v>127</v>
      </c>
      <c r="BT66" s="2" t="s">
        <v>207</v>
      </c>
      <c r="BU66" s="2" t="s">
        <v>208</v>
      </c>
      <c r="BV66" s="2" t="s">
        <v>150</v>
      </c>
      <c r="BW66" s="2" t="s">
        <v>151</v>
      </c>
      <c r="BX66" s="2" t="s">
        <v>91</v>
      </c>
      <c r="BY6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6" s="2">
        <f>IF(AND(Cases[[#This Row],[Priority Level]]&gt;=3,Cases[[#This Row],[System Role]]&lt;&gt;"Productive"),1,0)</f>
        <v>0</v>
      </c>
      <c r="CA66" s="2">
        <f>IFERROR(IF(Cases[[#This Row],[Days at Customer]]&gt;MAX(1,Cases[[#This Row],[Days at SAP]]*2),1,0),0)</f>
        <v>1</v>
      </c>
      <c r="CB66" s="2">
        <f>IF(AND(Cases[[#This Row],[Initial Component]]&lt;&gt;"",Cases[[#This Row],[Component]]&lt;&gt;"",Cases[[#This Row],[Initial Component]]&lt;&gt;Cases[[#This Row],[Component]]),1,0)</f>
        <v>1</v>
      </c>
      <c r="CC66" s="2">
        <f>IF(OR(Cases[[#This Row],[Is Reopened]]="X",Cases[[#This Row],[No. of Reopenings]]&gt;0),1,0)</f>
        <v>1</v>
      </c>
      <c r="CD66" s="2">
        <f>IF(Cases[[#This Row],[Confirmation Type]]="Automatic",1,0)</f>
        <v>1</v>
      </c>
      <c r="CE66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67" spans="1:83" x14ac:dyDescent="0.2">
      <c r="A67" s="1" t="s">
        <v>602</v>
      </c>
      <c r="B67" s="2" t="s">
        <v>603</v>
      </c>
      <c r="C67" s="2" t="s">
        <v>604</v>
      </c>
      <c r="D67" s="2" t="s">
        <v>238</v>
      </c>
      <c r="E67" s="3">
        <v>2.93</v>
      </c>
      <c r="F67" s="3">
        <v>24.31</v>
      </c>
      <c r="G67" s="2" t="s">
        <v>79</v>
      </c>
      <c r="H67" s="2" t="s">
        <v>155</v>
      </c>
      <c r="I67" s="3" t="s">
        <v>114</v>
      </c>
      <c r="J67" s="3">
        <v>42</v>
      </c>
      <c r="K67" s="2" t="s">
        <v>605</v>
      </c>
      <c r="L67" s="4">
        <v>46117</v>
      </c>
      <c r="M67" s="4">
        <v>46112</v>
      </c>
      <c r="N67" s="2" t="s">
        <v>180</v>
      </c>
      <c r="O67" s="2" t="s">
        <v>181</v>
      </c>
      <c r="P67" s="2" t="s">
        <v>136</v>
      </c>
      <c r="Q67" s="2" t="s">
        <v>86</v>
      </c>
      <c r="R67" s="2" t="s">
        <v>606</v>
      </c>
      <c r="S67" s="4">
        <v>46085</v>
      </c>
      <c r="T67" s="2" t="s">
        <v>180</v>
      </c>
      <c r="U67" s="2" t="s">
        <v>181</v>
      </c>
      <c r="V67" s="2" t="s">
        <v>526</v>
      </c>
      <c r="W67" s="2" t="s">
        <v>86</v>
      </c>
      <c r="X67" s="2" t="s">
        <v>117</v>
      </c>
      <c r="Y67" s="3" t="s">
        <v>118</v>
      </c>
      <c r="Z67" s="3">
        <v>27.24</v>
      </c>
      <c r="AA67" s="2" t="s">
        <v>90</v>
      </c>
      <c r="AB67" s="2" t="s">
        <v>606</v>
      </c>
      <c r="AC67" s="2" t="s">
        <v>604</v>
      </c>
      <c r="AD67" t="str" cm="1">
        <f t="array" ref="AD6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67" s="2" t="s">
        <v>139</v>
      </c>
      <c r="AF67" s="2" t="s">
        <v>92</v>
      </c>
      <c r="AG67" s="2" t="s">
        <v>119</v>
      </c>
      <c r="AH67" s="2" t="s">
        <v>120</v>
      </c>
      <c r="AJ67" s="2" t="s">
        <v>122</v>
      </c>
      <c r="AK67" s="2" t="s">
        <v>607</v>
      </c>
      <c r="AN67" s="3">
        <v>1</v>
      </c>
      <c r="AO67" s="3">
        <v>1</v>
      </c>
      <c r="AP67" s="3">
        <v>1</v>
      </c>
      <c r="AQ67" s="3">
        <v>1</v>
      </c>
      <c r="AR67" s="3">
        <v>0</v>
      </c>
      <c r="AS67" s="3">
        <v>0</v>
      </c>
      <c r="AT67" s="3">
        <v>1</v>
      </c>
      <c r="AU67" s="3">
        <v>0</v>
      </c>
      <c r="AV67" s="3">
        <v>1</v>
      </c>
      <c r="AW67" s="3">
        <v>0</v>
      </c>
      <c r="AX67" s="3">
        <v>0</v>
      </c>
      <c r="AY67" s="3">
        <v>0</v>
      </c>
      <c r="AZ67" s="3">
        <v>1</v>
      </c>
      <c r="BA67" s="3">
        <v>0</v>
      </c>
      <c r="BB67" s="3">
        <v>0</v>
      </c>
      <c r="BC67" s="3">
        <v>1</v>
      </c>
      <c r="BD67" s="3">
        <v>1</v>
      </c>
      <c r="BE67" s="3">
        <v>0</v>
      </c>
      <c r="BG67" s="2" t="s">
        <v>139</v>
      </c>
      <c r="BH67" s="3">
        <v>2</v>
      </c>
      <c r="BJ67" s="2" t="s">
        <v>96</v>
      </c>
      <c r="BL67" s="2" t="s">
        <v>123</v>
      </c>
      <c r="BM67" s="2" t="s">
        <v>123</v>
      </c>
      <c r="BN67" s="2" t="s">
        <v>124</v>
      </c>
      <c r="BO67" s="2" t="s">
        <v>125</v>
      </c>
      <c r="BP67" s="2" t="s">
        <v>242</v>
      </c>
      <c r="BQ67" s="2" t="s">
        <v>124</v>
      </c>
      <c r="BR67" s="2" t="s">
        <v>126</v>
      </c>
      <c r="BS67" s="2" t="s">
        <v>127</v>
      </c>
      <c r="BT67" s="2" t="s">
        <v>207</v>
      </c>
      <c r="BU67" s="2" t="s">
        <v>208</v>
      </c>
      <c r="BV67" s="2" t="s">
        <v>150</v>
      </c>
      <c r="BW67" s="2" t="s">
        <v>151</v>
      </c>
      <c r="BX67" s="2" t="s">
        <v>139</v>
      </c>
      <c r="BY6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7" s="2">
        <f>IF(AND(Cases[[#This Row],[Priority Level]]&gt;=3,Cases[[#This Row],[System Role]]&lt;&gt;"Productive"),1,0)</f>
        <v>0</v>
      </c>
      <c r="CA67" s="2">
        <f>IFERROR(IF(Cases[[#This Row],[Days at Customer]]&gt;MAX(1,Cases[[#This Row],[Days at SAP]]*2),1,0),0)</f>
        <v>1</v>
      </c>
      <c r="CB67" s="2">
        <f>IF(AND(Cases[[#This Row],[Initial Component]]&lt;&gt;"",Cases[[#This Row],[Component]]&lt;&gt;"",Cases[[#This Row],[Initial Component]]&lt;&gt;Cases[[#This Row],[Component]]),1,0)</f>
        <v>0</v>
      </c>
      <c r="CC67" s="2">
        <f>IF(OR(Cases[[#This Row],[Is Reopened]]="X",Cases[[#This Row],[No. of Reopenings]]&gt;0),1,0)</f>
        <v>1</v>
      </c>
      <c r="CD67" s="2">
        <f>IF(Cases[[#This Row],[Confirmation Type]]="Automatic",1,0)</f>
        <v>1</v>
      </c>
      <c r="CE67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68" spans="1:83" x14ac:dyDescent="0.2">
      <c r="A68" s="1" t="s">
        <v>608</v>
      </c>
      <c r="B68" s="2" t="s">
        <v>609</v>
      </c>
      <c r="C68" s="2" t="s">
        <v>610</v>
      </c>
      <c r="D68" s="2" t="s">
        <v>238</v>
      </c>
      <c r="E68" s="3">
        <v>1.82</v>
      </c>
      <c r="F68" s="3">
        <v>21.75</v>
      </c>
      <c r="G68" s="2" t="s">
        <v>79</v>
      </c>
      <c r="H68" s="2" t="s">
        <v>80</v>
      </c>
      <c r="I68" s="3" t="s">
        <v>114</v>
      </c>
      <c r="J68" s="3">
        <v>43</v>
      </c>
      <c r="K68" s="2" t="s">
        <v>611</v>
      </c>
      <c r="L68" s="4">
        <v>46117</v>
      </c>
      <c r="M68" s="4">
        <v>46108</v>
      </c>
      <c r="N68" s="2" t="s">
        <v>180</v>
      </c>
      <c r="O68" s="2" t="s">
        <v>181</v>
      </c>
      <c r="P68" s="2" t="s">
        <v>195</v>
      </c>
      <c r="Q68" s="2" t="s">
        <v>86</v>
      </c>
      <c r="R68" s="2" t="s">
        <v>612</v>
      </c>
      <c r="S68" s="4">
        <v>46084</v>
      </c>
      <c r="T68" s="2" t="s">
        <v>180</v>
      </c>
      <c r="U68" s="2" t="s">
        <v>181</v>
      </c>
      <c r="V68" s="2" t="s">
        <v>526</v>
      </c>
      <c r="W68" s="2" t="s">
        <v>86</v>
      </c>
      <c r="X68" s="2" t="s">
        <v>117</v>
      </c>
      <c r="Y68" s="3" t="s">
        <v>118</v>
      </c>
      <c r="Z68" s="3">
        <v>23.58</v>
      </c>
      <c r="AA68" s="2" t="s">
        <v>90</v>
      </c>
      <c r="AB68" s="2" t="s">
        <v>539</v>
      </c>
      <c r="AC68" s="2" t="s">
        <v>537</v>
      </c>
      <c r="AD68" t="str" cm="1">
        <f t="array" ref="AD6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68" s="2" t="s">
        <v>91</v>
      </c>
      <c r="AF68" s="2" t="s">
        <v>92</v>
      </c>
      <c r="AG68" s="2" t="s">
        <v>527</v>
      </c>
      <c r="AH68" s="2" t="s">
        <v>528</v>
      </c>
      <c r="AK68" s="2" t="s">
        <v>613</v>
      </c>
      <c r="AN68" s="3">
        <v>1</v>
      </c>
      <c r="AO68" s="3">
        <v>1</v>
      </c>
      <c r="AP68" s="3">
        <v>1</v>
      </c>
      <c r="AQ68" s="3">
        <v>1</v>
      </c>
      <c r="AR68" s="3">
        <v>1</v>
      </c>
      <c r="AS68" s="3">
        <v>0</v>
      </c>
      <c r="AT68" s="3">
        <v>0</v>
      </c>
      <c r="AU68" s="3">
        <v>0</v>
      </c>
      <c r="AV68" s="3">
        <v>1</v>
      </c>
      <c r="AW68" s="3">
        <v>0</v>
      </c>
      <c r="AX68" s="3">
        <v>1</v>
      </c>
      <c r="AY68" s="3">
        <v>0</v>
      </c>
      <c r="AZ68" s="3">
        <v>0</v>
      </c>
      <c r="BA68" s="3">
        <v>1</v>
      </c>
      <c r="BB68" s="3">
        <v>0</v>
      </c>
      <c r="BC68" s="3">
        <v>0</v>
      </c>
      <c r="BD68" s="3">
        <v>0</v>
      </c>
      <c r="BE68" s="3">
        <v>0</v>
      </c>
      <c r="BG68" s="2" t="s">
        <v>91</v>
      </c>
      <c r="BH68" s="3">
        <v>3</v>
      </c>
      <c r="BJ68" s="2" t="s">
        <v>96</v>
      </c>
      <c r="BL68" s="2" t="s">
        <v>184</v>
      </c>
      <c r="BM68" s="2" t="s">
        <v>184</v>
      </c>
      <c r="BN68" s="2" t="s">
        <v>124</v>
      </c>
      <c r="BO68" s="2" t="s">
        <v>125</v>
      </c>
      <c r="BP68" s="2" t="s">
        <v>242</v>
      </c>
      <c r="BQ68" s="2" t="s">
        <v>124</v>
      </c>
      <c r="BR68" s="2" t="s">
        <v>126</v>
      </c>
      <c r="BS68" s="2" t="s">
        <v>127</v>
      </c>
      <c r="BT68" s="2" t="s">
        <v>105</v>
      </c>
      <c r="BU68" s="2" t="s">
        <v>614</v>
      </c>
      <c r="BV68" s="2" t="s">
        <v>107</v>
      </c>
      <c r="BW68" s="2" t="s">
        <v>108</v>
      </c>
      <c r="BX68" s="2" t="s">
        <v>91</v>
      </c>
      <c r="BY6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8" s="2">
        <f>IF(AND(Cases[[#This Row],[Priority Level]]&gt;=3,Cases[[#This Row],[System Role]]&lt;&gt;"Productive"),1,0)</f>
        <v>1</v>
      </c>
      <c r="CA68" s="2">
        <f>IFERROR(IF(Cases[[#This Row],[Days at Customer]]&gt;MAX(1,Cases[[#This Row],[Days at SAP]]*2),1,0),0)</f>
        <v>1</v>
      </c>
      <c r="CB68" s="2">
        <f>IF(AND(Cases[[#This Row],[Initial Component]]&lt;&gt;"",Cases[[#This Row],[Component]]&lt;&gt;"",Cases[[#This Row],[Initial Component]]&lt;&gt;Cases[[#This Row],[Component]]),1,0)</f>
        <v>1</v>
      </c>
      <c r="CC68" s="2">
        <f>IF(OR(Cases[[#This Row],[Is Reopened]]="X",Cases[[#This Row],[No. of Reopenings]]&gt;0),1,0)</f>
        <v>0</v>
      </c>
      <c r="CD68" s="2">
        <f>IF(Cases[[#This Row],[Confirmation Type]]="Automatic",1,0)</f>
        <v>1</v>
      </c>
      <c r="CE68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69" spans="1:83" x14ac:dyDescent="0.2">
      <c r="A69" s="1" t="s">
        <v>615</v>
      </c>
      <c r="B69" s="2" t="s">
        <v>616</v>
      </c>
      <c r="C69" s="2" t="s">
        <v>617</v>
      </c>
      <c r="D69" s="2" t="s">
        <v>238</v>
      </c>
      <c r="E69" s="3">
        <v>0.72</v>
      </c>
      <c r="F69" s="3">
        <v>21.61</v>
      </c>
      <c r="G69" s="2" t="s">
        <v>79</v>
      </c>
      <c r="H69" s="2" t="s">
        <v>155</v>
      </c>
      <c r="I69" s="3" t="s">
        <v>114</v>
      </c>
      <c r="J69" s="3">
        <v>43</v>
      </c>
      <c r="K69" s="2" t="s">
        <v>618</v>
      </c>
      <c r="L69" s="4">
        <v>46110</v>
      </c>
      <c r="M69" s="4">
        <v>46107</v>
      </c>
      <c r="N69" s="2" t="s">
        <v>180</v>
      </c>
      <c r="O69" s="2" t="s">
        <v>181</v>
      </c>
      <c r="P69" s="2" t="s">
        <v>195</v>
      </c>
      <c r="Q69" s="2" t="s">
        <v>86</v>
      </c>
      <c r="R69" s="2" t="s">
        <v>619</v>
      </c>
      <c r="S69" s="4">
        <v>46084</v>
      </c>
      <c r="T69" s="2" t="s">
        <v>180</v>
      </c>
      <c r="U69" s="2" t="s">
        <v>181</v>
      </c>
      <c r="V69" s="2" t="s">
        <v>526</v>
      </c>
      <c r="W69" s="2" t="s">
        <v>86</v>
      </c>
      <c r="X69" s="2" t="s">
        <v>117</v>
      </c>
      <c r="Y69" s="3" t="s">
        <v>118</v>
      </c>
      <c r="Z69" s="3">
        <v>22.33</v>
      </c>
      <c r="AA69" s="2" t="s">
        <v>90</v>
      </c>
      <c r="AB69" s="2" t="s">
        <v>619</v>
      </c>
      <c r="AC69" s="2" t="s">
        <v>617</v>
      </c>
      <c r="AD69" t="str" cm="1">
        <f t="array" ref="AD6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OTC</v>
      </c>
      <c r="AE69" s="2" t="s">
        <v>139</v>
      </c>
      <c r="AF69" s="2" t="s">
        <v>92</v>
      </c>
      <c r="AG69" s="2" t="s">
        <v>119</v>
      </c>
      <c r="AH69" s="2" t="s">
        <v>120</v>
      </c>
      <c r="AK69" s="2" t="s">
        <v>620</v>
      </c>
      <c r="AN69" s="3">
        <v>1</v>
      </c>
      <c r="AO69" s="3">
        <v>1</v>
      </c>
      <c r="AP69" s="3">
        <v>1</v>
      </c>
      <c r="AQ69" s="3">
        <v>1</v>
      </c>
      <c r="AR69" s="3">
        <v>0</v>
      </c>
      <c r="AS69" s="3">
        <v>0</v>
      </c>
      <c r="AT69" s="3">
        <v>1</v>
      </c>
      <c r="AU69" s="3">
        <v>0</v>
      </c>
      <c r="AV69" s="3">
        <v>1</v>
      </c>
      <c r="AW69" s="3">
        <v>0</v>
      </c>
      <c r="AX69" s="3">
        <v>0</v>
      </c>
      <c r="AY69" s="3">
        <v>0</v>
      </c>
      <c r="AZ69" s="3">
        <v>1</v>
      </c>
      <c r="BA69" s="3">
        <v>0</v>
      </c>
      <c r="BB69" s="3">
        <v>0</v>
      </c>
      <c r="BC69" s="3">
        <v>1</v>
      </c>
      <c r="BD69" s="3">
        <v>0</v>
      </c>
      <c r="BE69" s="3">
        <v>0</v>
      </c>
      <c r="BG69" s="2" t="s">
        <v>139</v>
      </c>
      <c r="BH69" s="3">
        <v>2</v>
      </c>
      <c r="BJ69" s="2" t="s">
        <v>96</v>
      </c>
      <c r="BL69" s="2" t="s">
        <v>123</v>
      </c>
      <c r="BM69" s="2" t="s">
        <v>123</v>
      </c>
      <c r="BN69" s="2" t="s">
        <v>124</v>
      </c>
      <c r="BO69" s="2" t="s">
        <v>125</v>
      </c>
      <c r="BP69" s="2" t="s">
        <v>242</v>
      </c>
      <c r="BQ69" s="2" t="s">
        <v>124</v>
      </c>
      <c r="BR69" s="2" t="s">
        <v>126</v>
      </c>
      <c r="BS69" s="2" t="s">
        <v>127</v>
      </c>
      <c r="BT69" s="2" t="s">
        <v>207</v>
      </c>
      <c r="BU69" s="2" t="s">
        <v>208</v>
      </c>
      <c r="BV69" s="2" t="s">
        <v>150</v>
      </c>
      <c r="BW69" s="2" t="s">
        <v>151</v>
      </c>
      <c r="BX69" s="2" t="s">
        <v>139</v>
      </c>
      <c r="BY6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9" s="2">
        <f>IF(AND(Cases[[#This Row],[Priority Level]]&gt;=3,Cases[[#This Row],[System Role]]&lt;&gt;"Productive"),1,0)</f>
        <v>0</v>
      </c>
      <c r="CA69" s="2">
        <f>IFERROR(IF(Cases[[#This Row],[Days at Customer]]&gt;MAX(1,Cases[[#This Row],[Days at SAP]]*2),1,0),0)</f>
        <v>1</v>
      </c>
      <c r="CB69" s="2">
        <f>IF(AND(Cases[[#This Row],[Initial Component]]&lt;&gt;"",Cases[[#This Row],[Component]]&lt;&gt;"",Cases[[#This Row],[Initial Component]]&lt;&gt;Cases[[#This Row],[Component]]),1,0)</f>
        <v>0</v>
      </c>
      <c r="CC69" s="2">
        <f>IF(OR(Cases[[#This Row],[Is Reopened]]="X",Cases[[#This Row],[No. of Reopenings]]&gt;0),1,0)</f>
        <v>0</v>
      </c>
      <c r="CD69" s="2">
        <f>IF(Cases[[#This Row],[Confirmation Type]]="Automatic",1,0)</f>
        <v>1</v>
      </c>
      <c r="CE69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70" spans="1:83" x14ac:dyDescent="0.2">
      <c r="A70" s="1" t="s">
        <v>621</v>
      </c>
      <c r="B70" s="2" t="s">
        <v>622</v>
      </c>
      <c r="C70" s="2" t="s">
        <v>623</v>
      </c>
      <c r="D70" s="2" t="s">
        <v>238</v>
      </c>
      <c r="E70" s="3">
        <v>0.36</v>
      </c>
      <c r="F70" s="3">
        <v>29.43</v>
      </c>
      <c r="G70" s="2" t="s">
        <v>79</v>
      </c>
      <c r="H70" s="2" t="s">
        <v>178</v>
      </c>
      <c r="I70" s="3" t="s">
        <v>114</v>
      </c>
      <c r="J70" s="3">
        <v>44</v>
      </c>
      <c r="K70" s="2" t="s">
        <v>624</v>
      </c>
      <c r="L70" s="4">
        <v>46117</v>
      </c>
      <c r="M70" s="4">
        <v>46113</v>
      </c>
      <c r="N70" s="2" t="s">
        <v>83</v>
      </c>
      <c r="O70" s="2" t="s">
        <v>84</v>
      </c>
      <c r="P70" s="2" t="s">
        <v>136</v>
      </c>
      <c r="Q70" s="2" t="s">
        <v>86</v>
      </c>
      <c r="R70" s="2" t="s">
        <v>625</v>
      </c>
      <c r="S70" s="4">
        <v>46083</v>
      </c>
      <c r="T70" s="2" t="s">
        <v>180</v>
      </c>
      <c r="U70" s="2" t="s">
        <v>181</v>
      </c>
      <c r="V70" s="2" t="s">
        <v>526</v>
      </c>
      <c r="W70" s="2" t="s">
        <v>86</v>
      </c>
      <c r="X70" s="2" t="s">
        <v>117</v>
      </c>
      <c r="Y70" s="3" t="s">
        <v>118</v>
      </c>
      <c r="Z70" s="3">
        <v>29.79</v>
      </c>
      <c r="AA70" s="2" t="s">
        <v>90</v>
      </c>
      <c r="AB70" s="2" t="s">
        <v>625</v>
      </c>
      <c r="AC70" s="2" t="s">
        <v>623</v>
      </c>
      <c r="AD70" t="str" cm="1">
        <f t="array" ref="AD7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70" s="2" t="s">
        <v>91</v>
      </c>
      <c r="AF70" s="2" t="s">
        <v>92</v>
      </c>
      <c r="AG70" s="2" t="s">
        <v>119</v>
      </c>
      <c r="AH70" s="2" t="s">
        <v>120</v>
      </c>
      <c r="AK70" s="2" t="s">
        <v>626</v>
      </c>
      <c r="AN70" s="3">
        <v>1</v>
      </c>
      <c r="AO70" s="3">
        <v>1</v>
      </c>
      <c r="AP70" s="3">
        <v>1</v>
      </c>
      <c r="AQ70" s="3">
        <v>1</v>
      </c>
      <c r="AR70" s="3">
        <v>1</v>
      </c>
      <c r="AS70" s="3">
        <v>0</v>
      </c>
      <c r="AT70" s="3">
        <v>0</v>
      </c>
      <c r="AU70" s="3">
        <v>0</v>
      </c>
      <c r="AV70" s="3">
        <v>1</v>
      </c>
      <c r="AW70" s="3">
        <v>0</v>
      </c>
      <c r="AX70" s="3">
        <v>1</v>
      </c>
      <c r="AY70" s="3">
        <v>0</v>
      </c>
      <c r="AZ70" s="3">
        <v>0</v>
      </c>
      <c r="BA70" s="3">
        <v>0</v>
      </c>
      <c r="BB70" s="3">
        <v>0</v>
      </c>
      <c r="BC70" s="3">
        <v>1</v>
      </c>
      <c r="BD70" s="3">
        <v>0</v>
      </c>
      <c r="BE70" s="3">
        <v>0</v>
      </c>
      <c r="BG70" s="2" t="s">
        <v>91</v>
      </c>
      <c r="BH70" s="3">
        <v>3</v>
      </c>
      <c r="BJ70" s="2" t="s">
        <v>96</v>
      </c>
      <c r="BL70" s="2" t="s">
        <v>123</v>
      </c>
      <c r="BM70" s="2" t="s">
        <v>123</v>
      </c>
      <c r="BN70" s="2" t="s">
        <v>124</v>
      </c>
      <c r="BO70" s="2" t="s">
        <v>125</v>
      </c>
      <c r="BP70" s="2" t="s">
        <v>242</v>
      </c>
      <c r="BQ70" s="2" t="s">
        <v>124</v>
      </c>
      <c r="BR70" s="2" t="s">
        <v>126</v>
      </c>
      <c r="BS70" s="2" t="s">
        <v>127</v>
      </c>
      <c r="BT70" s="2" t="s">
        <v>207</v>
      </c>
      <c r="BU70" s="2" t="s">
        <v>208</v>
      </c>
      <c r="BV70" s="2" t="s">
        <v>150</v>
      </c>
      <c r="BW70" s="2" t="s">
        <v>151</v>
      </c>
      <c r="BX70" s="2" t="s">
        <v>91</v>
      </c>
      <c r="BY7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70" s="2">
        <f>IF(AND(Cases[[#This Row],[Priority Level]]&gt;=3,Cases[[#This Row],[System Role]]&lt;&gt;"Productive"),1,0)</f>
        <v>0</v>
      </c>
      <c r="CA70" s="2">
        <f>IFERROR(IF(Cases[[#This Row],[Days at Customer]]&gt;MAX(1,Cases[[#This Row],[Days at SAP]]*2),1,0),0)</f>
        <v>1</v>
      </c>
      <c r="CB70" s="2">
        <f>IF(AND(Cases[[#This Row],[Initial Component]]&lt;&gt;"",Cases[[#This Row],[Component]]&lt;&gt;"",Cases[[#This Row],[Initial Component]]&lt;&gt;Cases[[#This Row],[Component]]),1,0)</f>
        <v>0</v>
      </c>
      <c r="CC70" s="2">
        <f>IF(OR(Cases[[#This Row],[Is Reopened]]="X",Cases[[#This Row],[No. of Reopenings]]&gt;0),1,0)</f>
        <v>0</v>
      </c>
      <c r="CD70" s="2">
        <f>IF(Cases[[#This Row],[Confirmation Type]]="Automatic",1,0)</f>
        <v>1</v>
      </c>
      <c r="CE7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71" spans="1:83" x14ac:dyDescent="0.2">
      <c r="A71" s="1" t="s">
        <v>2982</v>
      </c>
      <c r="B71" s="2" t="s">
        <v>2983</v>
      </c>
      <c r="C71" s="2" t="s">
        <v>203</v>
      </c>
      <c r="D71" s="2" t="s">
        <v>238</v>
      </c>
      <c r="E71" s="3">
        <v>0</v>
      </c>
      <c r="F71" s="3">
        <v>46.87</v>
      </c>
      <c r="G71" s="2" t="s">
        <v>112</v>
      </c>
      <c r="H71" s="2" t="s">
        <v>113</v>
      </c>
      <c r="I71" s="3" t="s">
        <v>114</v>
      </c>
      <c r="J71" s="3">
        <v>181</v>
      </c>
      <c r="K71" s="2" t="s">
        <v>2984</v>
      </c>
      <c r="L71" s="4">
        <v>46009</v>
      </c>
      <c r="M71" s="4">
        <v>45997</v>
      </c>
      <c r="N71" s="2" t="s">
        <v>1804</v>
      </c>
      <c r="O71" s="2" t="s">
        <v>1805</v>
      </c>
      <c r="P71" s="2" t="s">
        <v>2169</v>
      </c>
      <c r="Q71" s="2" t="s">
        <v>1806</v>
      </c>
      <c r="R71" s="2" t="s">
        <v>205</v>
      </c>
      <c r="S71" s="4">
        <v>45946</v>
      </c>
      <c r="T71" s="2" t="s">
        <v>2727</v>
      </c>
      <c r="U71" s="2" t="s">
        <v>1805</v>
      </c>
      <c r="V71" s="2" t="s">
        <v>2936</v>
      </c>
      <c r="W71" s="2" t="s">
        <v>1806</v>
      </c>
      <c r="X71" s="2" t="s">
        <v>117</v>
      </c>
      <c r="Y71" s="3" t="s">
        <v>118</v>
      </c>
      <c r="Z71" s="3">
        <v>46.87</v>
      </c>
      <c r="AA71" s="2" t="s">
        <v>90</v>
      </c>
      <c r="AB71" s="2" t="s">
        <v>205</v>
      </c>
      <c r="AC71" s="2" t="s">
        <v>203</v>
      </c>
      <c r="AD71" t="str" cm="1">
        <f t="array" ref="AD7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71" s="2" t="s">
        <v>91</v>
      </c>
      <c r="AF71" s="2" t="s">
        <v>92</v>
      </c>
      <c r="AG71" s="2" t="s">
        <v>119</v>
      </c>
      <c r="AH71" s="2" t="s">
        <v>120</v>
      </c>
      <c r="AK71" s="2" t="s">
        <v>2985</v>
      </c>
      <c r="AN71" s="3">
        <v>1</v>
      </c>
      <c r="AO71" s="3">
        <v>1</v>
      </c>
      <c r="AP71" s="3">
        <v>1</v>
      </c>
      <c r="AQ71" s="3">
        <v>1</v>
      </c>
      <c r="AR71" s="3">
        <v>1</v>
      </c>
      <c r="AS71" s="3">
        <v>0</v>
      </c>
      <c r="AT71" s="3">
        <v>0</v>
      </c>
      <c r="AU71" s="3">
        <v>0</v>
      </c>
      <c r="AV71" s="3">
        <v>1</v>
      </c>
      <c r="AW71" s="3">
        <v>0</v>
      </c>
      <c r="AX71" s="3">
        <v>1</v>
      </c>
      <c r="AY71" s="3">
        <v>0</v>
      </c>
      <c r="AZ71" s="3">
        <v>0</v>
      </c>
      <c r="BA71" s="3">
        <v>0</v>
      </c>
      <c r="BB71" s="3">
        <v>0</v>
      </c>
      <c r="BC71" s="3">
        <v>1</v>
      </c>
      <c r="BD71" s="3">
        <v>0</v>
      </c>
      <c r="BE71" s="3">
        <v>0</v>
      </c>
      <c r="BG71" s="2" t="s">
        <v>91</v>
      </c>
      <c r="BH71" s="3">
        <v>3</v>
      </c>
      <c r="BI71" s="2" t="s">
        <v>122</v>
      </c>
      <c r="BJ71" s="2" t="s">
        <v>96</v>
      </c>
      <c r="BL71" s="2" t="s">
        <v>123</v>
      </c>
      <c r="BM71" s="2" t="s">
        <v>123</v>
      </c>
      <c r="BN71" s="2" t="s">
        <v>124</v>
      </c>
      <c r="BO71" s="2" t="s">
        <v>125</v>
      </c>
      <c r="BP71" s="2" t="s">
        <v>242</v>
      </c>
      <c r="BQ71" s="2" t="s">
        <v>124</v>
      </c>
      <c r="BR71" s="2" t="s">
        <v>126</v>
      </c>
      <c r="BS71" s="2" t="s">
        <v>127</v>
      </c>
      <c r="BT71" s="2" t="s">
        <v>207</v>
      </c>
      <c r="BU71" s="2" t="s">
        <v>208</v>
      </c>
      <c r="BV71" s="2" t="s">
        <v>150</v>
      </c>
      <c r="BW71" s="2" t="s">
        <v>151</v>
      </c>
      <c r="BX71" s="2" t="s">
        <v>91</v>
      </c>
      <c r="BY7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71" s="2">
        <f>IF(AND(Cases[[#This Row],[Priority Level]]&gt;=3,Cases[[#This Row],[System Role]]&lt;&gt;"Productive"),1,0)</f>
        <v>0</v>
      </c>
      <c r="CA71" s="2">
        <f>IFERROR(IF(Cases[[#This Row],[Days at Customer]]&gt;MAX(1,Cases[[#This Row],[Days at SAP]]*2),1,0),0)</f>
        <v>1</v>
      </c>
      <c r="CB71" s="2">
        <f>IF(AND(Cases[[#This Row],[Initial Component]]&lt;&gt;"",Cases[[#This Row],[Component]]&lt;&gt;"",Cases[[#This Row],[Initial Component]]&lt;&gt;Cases[[#This Row],[Component]]),1,0)</f>
        <v>0</v>
      </c>
      <c r="CC71" s="2">
        <f>IF(OR(Cases[[#This Row],[Is Reopened]]="X",Cases[[#This Row],[No. of Reopenings]]&gt;0),1,0)</f>
        <v>0</v>
      </c>
      <c r="CD71" s="2">
        <f>IF(Cases[[#This Row],[Confirmation Type]]="Automatic",1,0)</f>
        <v>1</v>
      </c>
      <c r="CE71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72" spans="1:83" x14ac:dyDescent="0.2">
      <c r="A72" s="1" t="s">
        <v>631</v>
      </c>
      <c r="B72" s="2" t="s">
        <v>632</v>
      </c>
      <c r="C72" s="2" t="s">
        <v>633</v>
      </c>
      <c r="D72" s="2" t="s">
        <v>238</v>
      </c>
      <c r="E72" s="3">
        <v>0.17</v>
      </c>
      <c r="F72" s="3">
        <v>21.32</v>
      </c>
      <c r="G72" s="2" t="s">
        <v>190</v>
      </c>
      <c r="H72" s="2" t="s">
        <v>308</v>
      </c>
      <c r="I72" s="3" t="s">
        <v>114</v>
      </c>
      <c r="J72" s="3">
        <v>44</v>
      </c>
      <c r="K72" s="2" t="s">
        <v>634</v>
      </c>
      <c r="L72" s="4">
        <v>46110</v>
      </c>
      <c r="M72" s="4">
        <v>46104</v>
      </c>
      <c r="N72" s="2" t="s">
        <v>180</v>
      </c>
      <c r="O72" s="2" t="s">
        <v>181</v>
      </c>
      <c r="P72" s="2" t="s">
        <v>195</v>
      </c>
      <c r="Q72" s="2" t="s">
        <v>86</v>
      </c>
      <c r="R72" s="2" t="s">
        <v>635</v>
      </c>
      <c r="S72" s="4">
        <v>46083</v>
      </c>
      <c r="T72" s="2" t="s">
        <v>180</v>
      </c>
      <c r="U72" s="2" t="s">
        <v>181</v>
      </c>
      <c r="V72" s="2" t="s">
        <v>526</v>
      </c>
      <c r="W72" s="2" t="s">
        <v>86</v>
      </c>
      <c r="X72" s="2" t="s">
        <v>117</v>
      </c>
      <c r="Y72" s="3" t="s">
        <v>118</v>
      </c>
      <c r="Z72" s="3">
        <v>21.48</v>
      </c>
      <c r="AA72" s="2" t="s">
        <v>90</v>
      </c>
      <c r="AB72" s="2" t="s">
        <v>635</v>
      </c>
      <c r="AC72" s="2" t="s">
        <v>633</v>
      </c>
      <c r="AD72" t="str" cm="1">
        <f t="array" ref="AD7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72" s="2" t="s">
        <v>91</v>
      </c>
      <c r="AF72" s="2" t="s">
        <v>92</v>
      </c>
      <c r="AG72" s="2" t="s">
        <v>119</v>
      </c>
      <c r="AH72" s="2" t="s">
        <v>120</v>
      </c>
      <c r="AK72" s="2" t="s">
        <v>636</v>
      </c>
      <c r="AN72" s="3">
        <v>1</v>
      </c>
      <c r="AO72" s="3">
        <v>1</v>
      </c>
      <c r="AP72" s="3">
        <v>1</v>
      </c>
      <c r="AQ72" s="3">
        <v>1</v>
      </c>
      <c r="AR72" s="3">
        <v>1</v>
      </c>
      <c r="AS72" s="3">
        <v>0</v>
      </c>
      <c r="AT72" s="3">
        <v>0</v>
      </c>
      <c r="AU72" s="3">
        <v>0</v>
      </c>
      <c r="AV72" s="3">
        <v>1</v>
      </c>
      <c r="AW72" s="3">
        <v>0</v>
      </c>
      <c r="AX72" s="3">
        <v>1</v>
      </c>
      <c r="AY72" s="3">
        <v>0</v>
      </c>
      <c r="AZ72" s="3">
        <v>0</v>
      </c>
      <c r="BA72" s="3">
        <v>0</v>
      </c>
      <c r="BB72" s="3">
        <v>0</v>
      </c>
      <c r="BC72" s="3">
        <v>1</v>
      </c>
      <c r="BD72" s="3">
        <v>0</v>
      </c>
      <c r="BE72" s="3">
        <v>0</v>
      </c>
      <c r="BG72" s="2" t="s">
        <v>91</v>
      </c>
      <c r="BH72" s="3">
        <v>3</v>
      </c>
      <c r="BJ72" s="2" t="s">
        <v>96</v>
      </c>
      <c r="BL72" s="2" t="s">
        <v>123</v>
      </c>
      <c r="BM72" s="2" t="s">
        <v>123</v>
      </c>
      <c r="BN72" s="2" t="s">
        <v>124</v>
      </c>
      <c r="BO72" s="2" t="s">
        <v>125</v>
      </c>
      <c r="BP72" s="2" t="s">
        <v>242</v>
      </c>
      <c r="BQ72" s="2" t="s">
        <v>124</v>
      </c>
      <c r="BR72" s="2" t="s">
        <v>126</v>
      </c>
      <c r="BS72" s="2" t="s">
        <v>127</v>
      </c>
      <c r="BT72" s="2" t="s">
        <v>207</v>
      </c>
      <c r="BU72" s="2" t="s">
        <v>208</v>
      </c>
      <c r="BV72" s="2" t="s">
        <v>150</v>
      </c>
      <c r="BW72" s="2" t="s">
        <v>151</v>
      </c>
      <c r="BX72" s="2" t="s">
        <v>182</v>
      </c>
      <c r="BY7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72" s="2">
        <f>IF(AND(Cases[[#This Row],[Priority Level]]&gt;=3,Cases[[#This Row],[System Role]]&lt;&gt;"Productive"),1,0)</f>
        <v>0</v>
      </c>
      <c r="CA72" s="2">
        <f>IFERROR(IF(Cases[[#This Row],[Days at Customer]]&gt;MAX(1,Cases[[#This Row],[Days at SAP]]*2),1,0),0)</f>
        <v>1</v>
      </c>
      <c r="CB72" s="2">
        <f>IF(AND(Cases[[#This Row],[Initial Component]]&lt;&gt;"",Cases[[#This Row],[Component]]&lt;&gt;"",Cases[[#This Row],[Initial Component]]&lt;&gt;Cases[[#This Row],[Component]]),1,0)</f>
        <v>0</v>
      </c>
      <c r="CC72" s="2">
        <f>IF(OR(Cases[[#This Row],[Is Reopened]]="X",Cases[[#This Row],[No. of Reopenings]]&gt;0),1,0)</f>
        <v>0</v>
      </c>
      <c r="CD72" s="2">
        <f>IF(Cases[[#This Row],[Confirmation Type]]="Automatic",1,0)</f>
        <v>1</v>
      </c>
      <c r="CE72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73" spans="1:83" x14ac:dyDescent="0.2">
      <c r="A73" s="1" t="s">
        <v>3107</v>
      </c>
      <c r="B73" s="2" t="s">
        <v>3108</v>
      </c>
      <c r="C73" s="2" t="s">
        <v>3109</v>
      </c>
      <c r="D73" s="2" t="s">
        <v>238</v>
      </c>
      <c r="E73" s="3">
        <v>14.15</v>
      </c>
      <c r="F73" s="3">
        <v>39.04</v>
      </c>
      <c r="G73" s="2" t="s">
        <v>79</v>
      </c>
      <c r="H73" s="2" t="s">
        <v>155</v>
      </c>
      <c r="I73" s="3" t="s">
        <v>114</v>
      </c>
      <c r="J73" s="3">
        <v>184</v>
      </c>
      <c r="K73" s="2" t="s">
        <v>3110</v>
      </c>
      <c r="L73" s="4">
        <v>46009</v>
      </c>
      <c r="M73" s="4">
        <v>45997</v>
      </c>
      <c r="N73" s="2" t="s">
        <v>1804</v>
      </c>
      <c r="O73" s="2" t="s">
        <v>1805</v>
      </c>
      <c r="P73" s="2" t="s">
        <v>2169</v>
      </c>
      <c r="Q73" s="2" t="s">
        <v>1806</v>
      </c>
      <c r="R73" s="2" t="s">
        <v>3111</v>
      </c>
      <c r="S73" s="4">
        <v>45943</v>
      </c>
      <c r="T73" s="2" t="s">
        <v>2727</v>
      </c>
      <c r="U73" s="2" t="s">
        <v>1805</v>
      </c>
      <c r="V73" s="2" t="s">
        <v>2936</v>
      </c>
      <c r="W73" s="2" t="s">
        <v>1806</v>
      </c>
      <c r="X73" s="2" t="s">
        <v>117</v>
      </c>
      <c r="Y73" s="3" t="s">
        <v>118</v>
      </c>
      <c r="Z73" s="3">
        <v>53.2</v>
      </c>
      <c r="AA73" s="2" t="s">
        <v>90</v>
      </c>
      <c r="AB73" s="2" t="s">
        <v>310</v>
      </c>
      <c r="AC73" s="2" t="s">
        <v>311</v>
      </c>
      <c r="AD73" t="str" cm="1">
        <f t="array" ref="AD7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73" s="2" t="s">
        <v>139</v>
      </c>
      <c r="AF73" s="2" t="s">
        <v>92</v>
      </c>
      <c r="AG73" s="2" t="s">
        <v>119</v>
      </c>
      <c r="AH73" s="2" t="s">
        <v>120</v>
      </c>
      <c r="AJ73" s="2" t="s">
        <v>122</v>
      </c>
      <c r="AK73" s="2" t="s">
        <v>3112</v>
      </c>
      <c r="AN73" s="3">
        <v>1</v>
      </c>
      <c r="AO73" s="3">
        <v>1</v>
      </c>
      <c r="AP73" s="3">
        <v>1</v>
      </c>
      <c r="AQ73" s="3">
        <v>1</v>
      </c>
      <c r="AR73" s="3">
        <v>0</v>
      </c>
      <c r="AS73" s="3">
        <v>0</v>
      </c>
      <c r="AT73" s="3">
        <v>1</v>
      </c>
      <c r="AU73" s="3">
        <v>0</v>
      </c>
      <c r="AV73" s="3">
        <v>1</v>
      </c>
      <c r="AW73" s="3">
        <v>0</v>
      </c>
      <c r="AX73" s="3">
        <v>0</v>
      </c>
      <c r="AY73" s="3">
        <v>0</v>
      </c>
      <c r="AZ73" s="3">
        <v>1</v>
      </c>
      <c r="BA73" s="3">
        <v>0</v>
      </c>
      <c r="BB73" s="3">
        <v>0</v>
      </c>
      <c r="BC73" s="3">
        <v>1</v>
      </c>
      <c r="BD73" s="3">
        <v>3</v>
      </c>
      <c r="BE73" s="3">
        <v>0</v>
      </c>
      <c r="BG73" s="2" t="s">
        <v>139</v>
      </c>
      <c r="BH73" s="3">
        <v>2</v>
      </c>
      <c r="BJ73" s="2" t="s">
        <v>96</v>
      </c>
      <c r="BL73" s="2" t="s">
        <v>123</v>
      </c>
      <c r="BM73" s="2" t="s">
        <v>123</v>
      </c>
      <c r="BN73" s="2" t="s">
        <v>124</v>
      </c>
      <c r="BO73" s="2" t="s">
        <v>125</v>
      </c>
      <c r="BP73" s="2" t="s">
        <v>242</v>
      </c>
      <c r="BQ73" s="2" t="s">
        <v>124</v>
      </c>
      <c r="BR73" s="2" t="s">
        <v>126</v>
      </c>
      <c r="BS73" s="2" t="s">
        <v>127</v>
      </c>
      <c r="BT73" s="2" t="s">
        <v>207</v>
      </c>
      <c r="BU73" s="2" t="s">
        <v>208</v>
      </c>
      <c r="BV73" s="2" t="s">
        <v>150</v>
      </c>
      <c r="BW73" s="2" t="s">
        <v>151</v>
      </c>
      <c r="BX73" s="2" t="s">
        <v>139</v>
      </c>
      <c r="BY7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73" s="2">
        <f>IF(AND(Cases[[#This Row],[Priority Level]]&gt;=3,Cases[[#This Row],[System Role]]&lt;&gt;"Productive"),1,0)</f>
        <v>0</v>
      </c>
      <c r="CA73" s="2">
        <f>IFERROR(IF(Cases[[#This Row],[Days at Customer]]&gt;MAX(1,Cases[[#This Row],[Days at SAP]]*2),1,0),0)</f>
        <v>1</v>
      </c>
      <c r="CB73" s="2">
        <f>IF(AND(Cases[[#This Row],[Initial Component]]&lt;&gt;"",Cases[[#This Row],[Component]]&lt;&gt;"",Cases[[#This Row],[Initial Component]]&lt;&gt;Cases[[#This Row],[Component]]),1,0)</f>
        <v>1</v>
      </c>
      <c r="CC73" s="2">
        <f>IF(OR(Cases[[#This Row],[Is Reopened]]="X",Cases[[#This Row],[No. of Reopenings]]&gt;0),1,0)</f>
        <v>1</v>
      </c>
      <c r="CD73" s="2">
        <f>IF(Cases[[#This Row],[Confirmation Type]]="Automatic",1,0)</f>
        <v>1</v>
      </c>
      <c r="CE73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74" spans="1:83" x14ac:dyDescent="0.2">
      <c r="A74" s="1" t="s">
        <v>647</v>
      </c>
      <c r="B74" s="2" t="s">
        <v>648</v>
      </c>
      <c r="C74" s="2" t="s">
        <v>649</v>
      </c>
      <c r="D74" s="2" t="s">
        <v>238</v>
      </c>
      <c r="E74" s="3">
        <v>3.12</v>
      </c>
      <c r="F74" s="3">
        <v>22.32</v>
      </c>
      <c r="G74" s="2" t="s">
        <v>79</v>
      </c>
      <c r="H74" s="2" t="s">
        <v>80</v>
      </c>
      <c r="I74" s="3" t="s">
        <v>114</v>
      </c>
      <c r="J74" s="3">
        <v>44</v>
      </c>
      <c r="K74" s="2" t="s">
        <v>650</v>
      </c>
      <c r="L74" s="4">
        <v>46110</v>
      </c>
      <c r="M74" s="4">
        <v>46108</v>
      </c>
      <c r="N74" s="2" t="s">
        <v>180</v>
      </c>
      <c r="O74" s="2" t="s">
        <v>181</v>
      </c>
      <c r="P74" s="2" t="s">
        <v>195</v>
      </c>
      <c r="Q74" s="2" t="s">
        <v>86</v>
      </c>
      <c r="R74" s="2" t="s">
        <v>651</v>
      </c>
      <c r="S74" s="4">
        <v>46083</v>
      </c>
      <c r="T74" s="2" t="s">
        <v>180</v>
      </c>
      <c r="U74" s="2" t="s">
        <v>181</v>
      </c>
      <c r="V74" s="2" t="s">
        <v>526</v>
      </c>
      <c r="W74" s="2" t="s">
        <v>86</v>
      </c>
      <c r="X74" s="2" t="s">
        <v>117</v>
      </c>
      <c r="Y74" s="3" t="s">
        <v>118</v>
      </c>
      <c r="Z74" s="3">
        <v>25.43</v>
      </c>
      <c r="AA74" s="2" t="s">
        <v>90</v>
      </c>
      <c r="AB74" s="2" t="s">
        <v>651</v>
      </c>
      <c r="AC74" s="2" t="s">
        <v>649</v>
      </c>
      <c r="AD74" t="str" cm="1">
        <f t="array" ref="AD7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74" s="2" t="s">
        <v>91</v>
      </c>
      <c r="AF74" s="2" t="s">
        <v>92</v>
      </c>
      <c r="AG74" s="2" t="s">
        <v>119</v>
      </c>
      <c r="AH74" s="2" t="s">
        <v>120</v>
      </c>
      <c r="AK74" s="2" t="s">
        <v>652</v>
      </c>
      <c r="AN74" s="3">
        <v>1</v>
      </c>
      <c r="AO74" s="3">
        <v>1</v>
      </c>
      <c r="AP74" s="3">
        <v>1</v>
      </c>
      <c r="AQ74" s="3">
        <v>1</v>
      </c>
      <c r="AR74" s="3">
        <v>1</v>
      </c>
      <c r="AS74" s="3">
        <v>0</v>
      </c>
      <c r="AT74" s="3">
        <v>0</v>
      </c>
      <c r="AU74" s="3">
        <v>0</v>
      </c>
      <c r="AV74" s="3">
        <v>1</v>
      </c>
      <c r="AW74" s="3">
        <v>0</v>
      </c>
      <c r="AX74" s="3">
        <v>1</v>
      </c>
      <c r="AY74" s="3">
        <v>0</v>
      </c>
      <c r="AZ74" s="3">
        <v>0</v>
      </c>
      <c r="BA74" s="3">
        <v>0</v>
      </c>
      <c r="BB74" s="3">
        <v>0</v>
      </c>
      <c r="BC74" s="3">
        <v>1</v>
      </c>
      <c r="BD74" s="3">
        <v>0</v>
      </c>
      <c r="BE74" s="3">
        <v>0</v>
      </c>
      <c r="BG74" s="2" t="s">
        <v>91</v>
      </c>
      <c r="BH74" s="3">
        <v>3</v>
      </c>
      <c r="BJ74" s="2" t="s">
        <v>96</v>
      </c>
      <c r="BL74" s="2" t="s">
        <v>123</v>
      </c>
      <c r="BM74" s="2" t="s">
        <v>123</v>
      </c>
      <c r="BN74" s="2" t="s">
        <v>124</v>
      </c>
      <c r="BO74" s="2" t="s">
        <v>125</v>
      </c>
      <c r="BP74" s="2" t="s">
        <v>242</v>
      </c>
      <c r="BQ74" s="2" t="s">
        <v>124</v>
      </c>
      <c r="BR74" s="2" t="s">
        <v>126</v>
      </c>
      <c r="BS74" s="2" t="s">
        <v>127</v>
      </c>
      <c r="BT74" s="2" t="s">
        <v>207</v>
      </c>
      <c r="BU74" s="2" t="s">
        <v>208</v>
      </c>
      <c r="BV74" s="2" t="s">
        <v>150</v>
      </c>
      <c r="BW74" s="2" t="s">
        <v>151</v>
      </c>
      <c r="BX74" s="2" t="s">
        <v>91</v>
      </c>
      <c r="BY7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74" s="2">
        <f>IF(AND(Cases[[#This Row],[Priority Level]]&gt;=3,Cases[[#This Row],[System Role]]&lt;&gt;"Productive"),1,0)</f>
        <v>0</v>
      </c>
      <c r="CA74" s="2">
        <f>IFERROR(IF(Cases[[#This Row],[Days at Customer]]&gt;MAX(1,Cases[[#This Row],[Days at SAP]]*2),1,0),0)</f>
        <v>1</v>
      </c>
      <c r="CB74" s="2">
        <f>IF(AND(Cases[[#This Row],[Initial Component]]&lt;&gt;"",Cases[[#This Row],[Component]]&lt;&gt;"",Cases[[#This Row],[Initial Component]]&lt;&gt;Cases[[#This Row],[Component]]),1,0)</f>
        <v>0</v>
      </c>
      <c r="CC74" s="2">
        <f>IF(OR(Cases[[#This Row],[Is Reopened]]="X",Cases[[#This Row],[No. of Reopenings]]&gt;0),1,0)</f>
        <v>0</v>
      </c>
      <c r="CD74" s="2">
        <f>IF(Cases[[#This Row],[Confirmation Type]]="Automatic",1,0)</f>
        <v>1</v>
      </c>
      <c r="CE7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75" spans="1:83" x14ac:dyDescent="0.2">
      <c r="A75" s="1" t="s">
        <v>653</v>
      </c>
      <c r="B75" s="2" t="s">
        <v>654</v>
      </c>
      <c r="C75" s="2" t="s">
        <v>655</v>
      </c>
      <c r="D75" s="2" t="s">
        <v>238</v>
      </c>
      <c r="E75" s="3">
        <v>7.03</v>
      </c>
      <c r="F75" s="3">
        <v>36.82</v>
      </c>
      <c r="G75" s="2" t="s">
        <v>112</v>
      </c>
      <c r="H75" s="2" t="s">
        <v>113</v>
      </c>
      <c r="I75" s="3" t="s">
        <v>114</v>
      </c>
      <c r="J75" s="3">
        <v>44</v>
      </c>
      <c r="K75" s="2" t="s">
        <v>656</v>
      </c>
      <c r="L75" s="4">
        <v>46127</v>
      </c>
      <c r="M75" s="4">
        <v>46127</v>
      </c>
      <c r="N75" s="2" t="s">
        <v>83</v>
      </c>
      <c r="O75" s="2" t="s">
        <v>84</v>
      </c>
      <c r="P75" s="2" t="s">
        <v>193</v>
      </c>
      <c r="Q75" s="2" t="s">
        <v>86</v>
      </c>
      <c r="R75" s="2" t="s">
        <v>657</v>
      </c>
      <c r="S75" s="4">
        <v>46083</v>
      </c>
      <c r="T75" s="2" t="s">
        <v>180</v>
      </c>
      <c r="U75" s="2" t="s">
        <v>181</v>
      </c>
      <c r="V75" s="2" t="s">
        <v>526</v>
      </c>
      <c r="W75" s="2" t="s">
        <v>86</v>
      </c>
      <c r="X75" s="2" t="s">
        <v>117</v>
      </c>
      <c r="Y75" s="3" t="s">
        <v>118</v>
      </c>
      <c r="Z75" s="3">
        <v>43.85</v>
      </c>
      <c r="AA75" s="2" t="s">
        <v>90</v>
      </c>
      <c r="AB75" s="2" t="s">
        <v>658</v>
      </c>
      <c r="AC75" s="2" t="s">
        <v>659</v>
      </c>
      <c r="AD75" t="str" cm="1">
        <f t="array" ref="AD7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75" s="2" t="s">
        <v>182</v>
      </c>
      <c r="AF75" s="2" t="s">
        <v>92</v>
      </c>
      <c r="AG75" s="2" t="s">
        <v>159</v>
      </c>
      <c r="AH75" s="2" t="s">
        <v>160</v>
      </c>
      <c r="AJ75" s="2" t="s">
        <v>122</v>
      </c>
      <c r="AK75" s="2" t="s">
        <v>660</v>
      </c>
      <c r="AN75" s="3">
        <v>1</v>
      </c>
      <c r="AO75" s="3">
        <v>1</v>
      </c>
      <c r="AP75" s="3">
        <v>1</v>
      </c>
      <c r="AQ75" s="3">
        <v>1</v>
      </c>
      <c r="AR75" s="3">
        <v>1</v>
      </c>
      <c r="AS75" s="3">
        <v>0</v>
      </c>
      <c r="AT75" s="3">
        <v>0</v>
      </c>
      <c r="AU75" s="3">
        <v>0</v>
      </c>
      <c r="AV75" s="3">
        <v>1</v>
      </c>
      <c r="AW75" s="3">
        <v>0</v>
      </c>
      <c r="AX75" s="3">
        <v>1</v>
      </c>
      <c r="AY75" s="3">
        <v>0</v>
      </c>
      <c r="AZ75" s="3">
        <v>0</v>
      </c>
      <c r="BA75" s="3">
        <v>0</v>
      </c>
      <c r="BB75" s="3">
        <v>0</v>
      </c>
      <c r="BC75" s="3">
        <v>1</v>
      </c>
      <c r="BD75" s="3">
        <v>4</v>
      </c>
      <c r="BE75" s="3">
        <v>0</v>
      </c>
      <c r="BG75" s="2" t="s">
        <v>91</v>
      </c>
      <c r="BH75" s="3">
        <v>3</v>
      </c>
      <c r="BJ75" s="2" t="s">
        <v>96</v>
      </c>
      <c r="BL75" s="2" t="s">
        <v>97</v>
      </c>
      <c r="BM75" s="2" t="s">
        <v>98</v>
      </c>
      <c r="BN75" s="2" t="s">
        <v>99</v>
      </c>
      <c r="BO75" s="2" t="s">
        <v>100</v>
      </c>
      <c r="BP75" s="2" t="s">
        <v>242</v>
      </c>
      <c r="BQ75" s="2" t="s">
        <v>102</v>
      </c>
      <c r="BR75" s="2" t="s">
        <v>103</v>
      </c>
      <c r="BS75" s="2" t="s">
        <v>127</v>
      </c>
      <c r="BT75" s="2" t="s">
        <v>661</v>
      </c>
      <c r="BU75" s="2" t="s">
        <v>662</v>
      </c>
      <c r="BV75" s="2" t="s">
        <v>150</v>
      </c>
      <c r="BW75" s="2" t="s">
        <v>151</v>
      </c>
      <c r="BX75" s="2" t="s">
        <v>182</v>
      </c>
      <c r="BY7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75" s="2">
        <f>IF(AND(Cases[[#This Row],[Priority Level]]&gt;=3,Cases[[#This Row],[System Role]]&lt;&gt;"Productive"),1,0)</f>
        <v>0</v>
      </c>
      <c r="CA75" s="2">
        <f>IFERROR(IF(Cases[[#This Row],[Days at Customer]]&gt;MAX(1,Cases[[#This Row],[Days at SAP]]*2),1,0),0)</f>
        <v>1</v>
      </c>
      <c r="CB75" s="2">
        <f>IF(AND(Cases[[#This Row],[Initial Component]]&lt;&gt;"",Cases[[#This Row],[Component]]&lt;&gt;"",Cases[[#This Row],[Initial Component]]&lt;&gt;Cases[[#This Row],[Component]]),1,0)</f>
        <v>1</v>
      </c>
      <c r="CC75" s="2">
        <f>IF(OR(Cases[[#This Row],[Is Reopened]]="X",Cases[[#This Row],[No. of Reopenings]]&gt;0),1,0)</f>
        <v>1</v>
      </c>
      <c r="CD75" s="2">
        <f>IF(Cases[[#This Row],[Confirmation Type]]="Automatic",1,0)</f>
        <v>1</v>
      </c>
      <c r="CE75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76" spans="1:83" x14ac:dyDescent="0.2">
      <c r="A76" s="1" t="s">
        <v>663</v>
      </c>
      <c r="B76" s="2" t="s">
        <v>664</v>
      </c>
      <c r="C76" s="2" t="s">
        <v>665</v>
      </c>
      <c r="D76" s="2" t="s">
        <v>238</v>
      </c>
      <c r="E76" s="3">
        <v>0.22</v>
      </c>
      <c r="F76" s="3">
        <v>23.29</v>
      </c>
      <c r="G76" s="2" t="s">
        <v>190</v>
      </c>
      <c r="H76" s="2" t="s">
        <v>666</v>
      </c>
      <c r="I76" s="3" t="s">
        <v>114</v>
      </c>
      <c r="J76" s="3">
        <v>44</v>
      </c>
      <c r="K76" s="2" t="s">
        <v>667</v>
      </c>
      <c r="L76" s="4">
        <v>46110</v>
      </c>
      <c r="M76" s="4">
        <v>46107</v>
      </c>
      <c r="N76" s="2" t="s">
        <v>180</v>
      </c>
      <c r="O76" s="2" t="s">
        <v>181</v>
      </c>
      <c r="P76" s="2" t="s">
        <v>195</v>
      </c>
      <c r="Q76" s="2" t="s">
        <v>86</v>
      </c>
      <c r="R76" s="2" t="s">
        <v>668</v>
      </c>
      <c r="S76" s="4">
        <v>46083</v>
      </c>
      <c r="T76" s="2" t="s">
        <v>180</v>
      </c>
      <c r="U76" s="2" t="s">
        <v>181</v>
      </c>
      <c r="V76" s="2" t="s">
        <v>526</v>
      </c>
      <c r="W76" s="2" t="s">
        <v>86</v>
      </c>
      <c r="X76" s="2" t="s">
        <v>117</v>
      </c>
      <c r="Y76" s="3" t="s">
        <v>118</v>
      </c>
      <c r="Z76" s="3">
        <v>23.51</v>
      </c>
      <c r="AA76" s="2" t="s">
        <v>90</v>
      </c>
      <c r="AB76" s="2" t="s">
        <v>669</v>
      </c>
      <c r="AC76" s="2" t="s">
        <v>670</v>
      </c>
      <c r="AD76" t="str" cm="1">
        <f t="array" ref="AD7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76" s="2" t="s">
        <v>91</v>
      </c>
      <c r="AF76" s="2" t="s">
        <v>92</v>
      </c>
      <c r="AG76" s="2" t="s">
        <v>119</v>
      </c>
      <c r="AH76" s="2" t="s">
        <v>120</v>
      </c>
      <c r="AJ76" s="2" t="s">
        <v>122</v>
      </c>
      <c r="AK76" s="2" t="s">
        <v>671</v>
      </c>
      <c r="AN76" s="3">
        <v>1</v>
      </c>
      <c r="AO76" s="3">
        <v>1</v>
      </c>
      <c r="AP76" s="3">
        <v>1</v>
      </c>
      <c r="AQ76" s="3">
        <v>1</v>
      </c>
      <c r="AR76" s="3">
        <v>1</v>
      </c>
      <c r="AS76" s="3">
        <v>0</v>
      </c>
      <c r="AT76" s="3">
        <v>0</v>
      </c>
      <c r="AU76" s="3">
        <v>0</v>
      </c>
      <c r="AV76" s="3">
        <v>1</v>
      </c>
      <c r="AW76" s="3">
        <v>0</v>
      </c>
      <c r="AX76" s="3">
        <v>1</v>
      </c>
      <c r="AY76" s="3">
        <v>0</v>
      </c>
      <c r="AZ76" s="3">
        <v>0</v>
      </c>
      <c r="BA76" s="3">
        <v>0</v>
      </c>
      <c r="BB76" s="3">
        <v>0</v>
      </c>
      <c r="BC76" s="3">
        <v>1</v>
      </c>
      <c r="BD76" s="3">
        <v>1</v>
      </c>
      <c r="BE76" s="3">
        <v>0</v>
      </c>
      <c r="BG76" s="2" t="s">
        <v>91</v>
      </c>
      <c r="BH76" s="3">
        <v>3</v>
      </c>
      <c r="BJ76" s="2" t="s">
        <v>96</v>
      </c>
      <c r="BL76" s="2" t="s">
        <v>123</v>
      </c>
      <c r="BM76" s="2" t="s">
        <v>123</v>
      </c>
      <c r="BN76" s="2" t="s">
        <v>124</v>
      </c>
      <c r="BO76" s="2" t="s">
        <v>125</v>
      </c>
      <c r="BP76" s="2" t="s">
        <v>242</v>
      </c>
      <c r="BQ76" s="2" t="s">
        <v>124</v>
      </c>
      <c r="BR76" s="2" t="s">
        <v>126</v>
      </c>
      <c r="BS76" s="2" t="s">
        <v>127</v>
      </c>
      <c r="BT76" s="2" t="s">
        <v>174</v>
      </c>
      <c r="BU76" s="2" t="s">
        <v>175</v>
      </c>
      <c r="BV76" s="2" t="s">
        <v>150</v>
      </c>
      <c r="BW76" s="2" t="s">
        <v>151</v>
      </c>
      <c r="BX76" s="2" t="s">
        <v>91</v>
      </c>
      <c r="BY7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76" s="2">
        <f>IF(AND(Cases[[#This Row],[Priority Level]]&gt;=3,Cases[[#This Row],[System Role]]&lt;&gt;"Productive"),1,0)</f>
        <v>0</v>
      </c>
      <c r="CA76" s="2">
        <f>IFERROR(IF(Cases[[#This Row],[Days at Customer]]&gt;MAX(1,Cases[[#This Row],[Days at SAP]]*2),1,0),0)</f>
        <v>1</v>
      </c>
      <c r="CB76" s="2">
        <f>IF(AND(Cases[[#This Row],[Initial Component]]&lt;&gt;"",Cases[[#This Row],[Component]]&lt;&gt;"",Cases[[#This Row],[Initial Component]]&lt;&gt;Cases[[#This Row],[Component]]),1,0)</f>
        <v>1</v>
      </c>
      <c r="CC76" s="2">
        <f>IF(OR(Cases[[#This Row],[Is Reopened]]="X",Cases[[#This Row],[No. of Reopenings]]&gt;0),1,0)</f>
        <v>1</v>
      </c>
      <c r="CD76" s="2">
        <f>IF(Cases[[#This Row],[Confirmation Type]]="Automatic",1,0)</f>
        <v>1</v>
      </c>
      <c r="CE76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77" spans="1:83" x14ac:dyDescent="0.2">
      <c r="A77" s="1" t="s">
        <v>672</v>
      </c>
      <c r="B77" s="2" t="s">
        <v>673</v>
      </c>
      <c r="C77" s="2" t="s">
        <v>674</v>
      </c>
      <c r="D77" s="2" t="s">
        <v>238</v>
      </c>
      <c r="E77" s="3">
        <v>3.2</v>
      </c>
      <c r="F77" s="3">
        <v>21.59</v>
      </c>
      <c r="G77" s="2" t="s">
        <v>79</v>
      </c>
      <c r="H77" s="2" t="s">
        <v>155</v>
      </c>
      <c r="I77" s="3" t="s">
        <v>114</v>
      </c>
      <c r="J77" s="3">
        <v>47</v>
      </c>
      <c r="K77" s="2" t="s">
        <v>675</v>
      </c>
      <c r="L77" s="4">
        <v>46110</v>
      </c>
      <c r="M77" s="4">
        <v>46105</v>
      </c>
      <c r="N77" s="2" t="s">
        <v>180</v>
      </c>
      <c r="O77" s="2" t="s">
        <v>181</v>
      </c>
      <c r="P77" s="2" t="s">
        <v>195</v>
      </c>
      <c r="Q77" s="2" t="s">
        <v>86</v>
      </c>
      <c r="R77" s="2" t="s">
        <v>676</v>
      </c>
      <c r="S77" s="4">
        <v>46080</v>
      </c>
      <c r="T77" s="2" t="s">
        <v>677</v>
      </c>
      <c r="U77" s="2" t="s">
        <v>181</v>
      </c>
      <c r="V77" s="2" t="s">
        <v>678</v>
      </c>
      <c r="W77" s="2" t="s">
        <v>86</v>
      </c>
      <c r="X77" s="2" t="s">
        <v>117</v>
      </c>
      <c r="Y77" s="3" t="s">
        <v>118</v>
      </c>
      <c r="Z77" s="3">
        <v>24.8</v>
      </c>
      <c r="AA77" s="2" t="s">
        <v>90</v>
      </c>
      <c r="AB77" s="2" t="s">
        <v>292</v>
      </c>
      <c r="AC77" s="2" t="s">
        <v>289</v>
      </c>
      <c r="AD77" t="str" cm="1">
        <f t="array" ref="AD7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77" s="2" t="s">
        <v>91</v>
      </c>
      <c r="AF77" s="2" t="s">
        <v>92</v>
      </c>
      <c r="AG77" s="2" t="s">
        <v>119</v>
      </c>
      <c r="AH77" s="2" t="s">
        <v>120</v>
      </c>
      <c r="AK77" s="2" t="s">
        <v>679</v>
      </c>
      <c r="AN77" s="3">
        <v>1</v>
      </c>
      <c r="AO77" s="3">
        <v>1</v>
      </c>
      <c r="AP77" s="3">
        <v>1</v>
      </c>
      <c r="AQ77" s="3">
        <v>1</v>
      </c>
      <c r="AR77" s="3">
        <v>1</v>
      </c>
      <c r="AS77" s="3">
        <v>0</v>
      </c>
      <c r="AT77" s="3">
        <v>0</v>
      </c>
      <c r="AU77" s="3">
        <v>0</v>
      </c>
      <c r="AV77" s="3">
        <v>1</v>
      </c>
      <c r="AW77" s="3">
        <v>0</v>
      </c>
      <c r="AX77" s="3">
        <v>1</v>
      </c>
      <c r="AY77" s="3">
        <v>0</v>
      </c>
      <c r="AZ77" s="3">
        <v>0</v>
      </c>
      <c r="BA77" s="3">
        <v>0</v>
      </c>
      <c r="BB77" s="3">
        <v>0</v>
      </c>
      <c r="BC77" s="3">
        <v>1</v>
      </c>
      <c r="BD77" s="3">
        <v>0</v>
      </c>
      <c r="BE77" s="3">
        <v>0</v>
      </c>
      <c r="BG77" s="2" t="s">
        <v>91</v>
      </c>
      <c r="BH77" s="3">
        <v>3</v>
      </c>
      <c r="BJ77" s="2" t="s">
        <v>96</v>
      </c>
      <c r="BL77" s="2" t="s">
        <v>123</v>
      </c>
      <c r="BM77" s="2" t="s">
        <v>123</v>
      </c>
      <c r="BN77" s="2" t="s">
        <v>124</v>
      </c>
      <c r="BO77" s="2" t="s">
        <v>125</v>
      </c>
      <c r="BP77" s="2" t="s">
        <v>242</v>
      </c>
      <c r="BQ77" s="2" t="s">
        <v>124</v>
      </c>
      <c r="BR77" s="2" t="s">
        <v>126</v>
      </c>
      <c r="BS77" s="2" t="s">
        <v>127</v>
      </c>
      <c r="BT77" s="2" t="s">
        <v>207</v>
      </c>
      <c r="BU77" s="2" t="s">
        <v>208</v>
      </c>
      <c r="BV77" s="2" t="s">
        <v>150</v>
      </c>
      <c r="BW77" s="2" t="s">
        <v>151</v>
      </c>
      <c r="BX77" s="2" t="s">
        <v>91</v>
      </c>
      <c r="BY7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77" s="2">
        <f>IF(AND(Cases[[#This Row],[Priority Level]]&gt;=3,Cases[[#This Row],[System Role]]&lt;&gt;"Productive"),1,0)</f>
        <v>0</v>
      </c>
      <c r="CA77" s="2">
        <f>IFERROR(IF(Cases[[#This Row],[Days at Customer]]&gt;MAX(1,Cases[[#This Row],[Days at SAP]]*2),1,0),0)</f>
        <v>1</v>
      </c>
      <c r="CB77" s="2">
        <f>IF(AND(Cases[[#This Row],[Initial Component]]&lt;&gt;"",Cases[[#This Row],[Component]]&lt;&gt;"",Cases[[#This Row],[Initial Component]]&lt;&gt;Cases[[#This Row],[Component]]),1,0)</f>
        <v>1</v>
      </c>
      <c r="CC77" s="2">
        <f>IF(OR(Cases[[#This Row],[Is Reopened]]="X",Cases[[#This Row],[No. of Reopenings]]&gt;0),1,0)</f>
        <v>0</v>
      </c>
      <c r="CD77" s="2">
        <f>IF(Cases[[#This Row],[Confirmation Type]]="Automatic",1,0)</f>
        <v>1</v>
      </c>
      <c r="CE77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78" spans="1:83" x14ac:dyDescent="0.2">
      <c r="A78" s="1" t="s">
        <v>680</v>
      </c>
      <c r="B78" s="2" t="s">
        <v>681</v>
      </c>
      <c r="C78" s="2" t="s">
        <v>682</v>
      </c>
      <c r="D78" s="2" t="s">
        <v>238</v>
      </c>
      <c r="E78" s="3">
        <v>3.51</v>
      </c>
      <c r="F78" s="3">
        <v>21.16</v>
      </c>
      <c r="G78" s="2" t="s">
        <v>190</v>
      </c>
      <c r="H78" s="2" t="s">
        <v>191</v>
      </c>
      <c r="I78" s="3" t="s">
        <v>114</v>
      </c>
      <c r="J78" s="3">
        <v>47</v>
      </c>
      <c r="K78" s="2" t="s">
        <v>683</v>
      </c>
      <c r="L78" s="4">
        <v>46110</v>
      </c>
      <c r="M78" s="4">
        <v>46104</v>
      </c>
      <c r="N78" s="2" t="s">
        <v>180</v>
      </c>
      <c r="O78" s="2" t="s">
        <v>181</v>
      </c>
      <c r="P78" s="2" t="s">
        <v>195</v>
      </c>
      <c r="Q78" s="2" t="s">
        <v>86</v>
      </c>
      <c r="R78" s="2" t="s">
        <v>684</v>
      </c>
      <c r="S78" s="4">
        <v>46080</v>
      </c>
      <c r="T78" s="2" t="s">
        <v>677</v>
      </c>
      <c r="U78" s="2" t="s">
        <v>181</v>
      </c>
      <c r="V78" s="2" t="s">
        <v>678</v>
      </c>
      <c r="W78" s="2" t="s">
        <v>86</v>
      </c>
      <c r="X78" s="2" t="s">
        <v>117</v>
      </c>
      <c r="Y78" s="3" t="s">
        <v>118</v>
      </c>
      <c r="Z78" s="3">
        <v>24.67</v>
      </c>
      <c r="AA78" s="2" t="s">
        <v>90</v>
      </c>
      <c r="AB78" s="2" t="s">
        <v>685</v>
      </c>
      <c r="AC78" s="2" t="s">
        <v>686</v>
      </c>
      <c r="AD78" t="str" cm="1">
        <f t="array" ref="AD7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EAM</v>
      </c>
      <c r="AE78" s="2" t="s">
        <v>139</v>
      </c>
      <c r="AF78" s="2" t="s">
        <v>92</v>
      </c>
      <c r="AG78" s="2" t="s">
        <v>119</v>
      </c>
      <c r="AH78" s="2" t="s">
        <v>120</v>
      </c>
      <c r="AK78" s="2" t="s">
        <v>687</v>
      </c>
      <c r="AN78" s="3">
        <v>1</v>
      </c>
      <c r="AO78" s="3">
        <v>1</v>
      </c>
      <c r="AP78" s="3">
        <v>1</v>
      </c>
      <c r="AQ78" s="3">
        <v>1</v>
      </c>
      <c r="AR78" s="3">
        <v>0</v>
      </c>
      <c r="AS78" s="3">
        <v>0</v>
      </c>
      <c r="AT78" s="3">
        <v>1</v>
      </c>
      <c r="AU78" s="3">
        <v>0</v>
      </c>
      <c r="AV78" s="3">
        <v>1</v>
      </c>
      <c r="AW78" s="3">
        <v>0</v>
      </c>
      <c r="AX78" s="3">
        <v>0</v>
      </c>
      <c r="AY78" s="3">
        <v>0</v>
      </c>
      <c r="AZ78" s="3">
        <v>1</v>
      </c>
      <c r="BA78" s="3">
        <v>0</v>
      </c>
      <c r="BB78" s="3">
        <v>0</v>
      </c>
      <c r="BC78" s="3">
        <v>1</v>
      </c>
      <c r="BD78" s="3">
        <v>0</v>
      </c>
      <c r="BE78" s="3">
        <v>0</v>
      </c>
      <c r="BG78" s="2" t="s">
        <v>139</v>
      </c>
      <c r="BH78" s="3">
        <v>2</v>
      </c>
      <c r="BJ78" s="2" t="s">
        <v>96</v>
      </c>
      <c r="BL78" s="2" t="s">
        <v>123</v>
      </c>
      <c r="BM78" s="2" t="s">
        <v>123</v>
      </c>
      <c r="BN78" s="2" t="s">
        <v>124</v>
      </c>
      <c r="BO78" s="2" t="s">
        <v>125</v>
      </c>
      <c r="BP78" s="2" t="s">
        <v>242</v>
      </c>
      <c r="BQ78" s="2" t="s">
        <v>124</v>
      </c>
      <c r="BR78" s="2" t="s">
        <v>126</v>
      </c>
      <c r="BS78" s="2" t="s">
        <v>127</v>
      </c>
      <c r="BT78" s="2" t="s">
        <v>207</v>
      </c>
      <c r="BU78" s="2" t="s">
        <v>208</v>
      </c>
      <c r="BV78" s="2" t="s">
        <v>150</v>
      </c>
      <c r="BW78" s="2" t="s">
        <v>151</v>
      </c>
      <c r="BX78" s="2" t="s">
        <v>139</v>
      </c>
      <c r="BY7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78" s="2">
        <f>IF(AND(Cases[[#This Row],[Priority Level]]&gt;=3,Cases[[#This Row],[System Role]]&lt;&gt;"Productive"),1,0)</f>
        <v>0</v>
      </c>
      <c r="CA78" s="2">
        <f>IFERROR(IF(Cases[[#This Row],[Days at Customer]]&gt;MAX(1,Cases[[#This Row],[Days at SAP]]*2),1,0),0)</f>
        <v>1</v>
      </c>
      <c r="CB78" s="2">
        <f>IF(AND(Cases[[#This Row],[Initial Component]]&lt;&gt;"",Cases[[#This Row],[Component]]&lt;&gt;"",Cases[[#This Row],[Initial Component]]&lt;&gt;Cases[[#This Row],[Component]]),1,0)</f>
        <v>1</v>
      </c>
      <c r="CC78" s="2">
        <f>IF(OR(Cases[[#This Row],[Is Reopened]]="X",Cases[[#This Row],[No. of Reopenings]]&gt;0),1,0)</f>
        <v>0</v>
      </c>
      <c r="CD78" s="2">
        <f>IF(Cases[[#This Row],[Confirmation Type]]="Automatic",1,0)</f>
        <v>1</v>
      </c>
      <c r="CE78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79" spans="1:83" x14ac:dyDescent="0.2">
      <c r="A79" s="1" t="s">
        <v>688</v>
      </c>
      <c r="B79" s="2" t="s">
        <v>689</v>
      </c>
      <c r="C79" s="2" t="s">
        <v>323</v>
      </c>
      <c r="D79" s="2" t="s">
        <v>78</v>
      </c>
      <c r="E79" s="3">
        <v>9.4499999999999993</v>
      </c>
      <c r="F79" s="3">
        <v>9.3800000000000008</v>
      </c>
      <c r="G79" s="2" t="s">
        <v>79</v>
      </c>
      <c r="H79" s="2" t="s">
        <v>178</v>
      </c>
      <c r="I79" s="3" t="s">
        <v>114</v>
      </c>
      <c r="J79" s="3">
        <v>47</v>
      </c>
      <c r="K79" s="2" t="s">
        <v>690</v>
      </c>
      <c r="L79" s="4">
        <v>46103</v>
      </c>
      <c r="M79" s="4">
        <v>46099</v>
      </c>
      <c r="N79" s="2" t="s">
        <v>180</v>
      </c>
      <c r="O79" s="2" t="s">
        <v>181</v>
      </c>
      <c r="P79" s="2" t="s">
        <v>260</v>
      </c>
      <c r="Q79" s="2" t="s">
        <v>86</v>
      </c>
      <c r="R79" s="2" t="s">
        <v>326</v>
      </c>
      <c r="S79" s="4">
        <v>46080</v>
      </c>
      <c r="T79" s="2" t="s">
        <v>677</v>
      </c>
      <c r="U79" s="2" t="s">
        <v>181</v>
      </c>
      <c r="V79" s="2" t="s">
        <v>678</v>
      </c>
      <c r="W79" s="2" t="s">
        <v>86</v>
      </c>
      <c r="X79" s="2" t="s">
        <v>117</v>
      </c>
      <c r="Y79" s="3" t="s">
        <v>118</v>
      </c>
      <c r="Z79" s="3">
        <v>18.829999999999998</v>
      </c>
      <c r="AA79" s="2" t="s">
        <v>90</v>
      </c>
      <c r="AB79" s="2" t="s">
        <v>326</v>
      </c>
      <c r="AC79" s="2" t="s">
        <v>323</v>
      </c>
      <c r="AD79" t="str" cm="1">
        <f t="array" ref="AD7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79" s="2" t="s">
        <v>139</v>
      </c>
      <c r="AF79" s="2" t="s">
        <v>92</v>
      </c>
      <c r="AG79" s="2" t="s">
        <v>119</v>
      </c>
      <c r="AH79" s="2" t="s">
        <v>120</v>
      </c>
      <c r="AK79" s="2" t="s">
        <v>691</v>
      </c>
      <c r="AN79" s="3">
        <v>1</v>
      </c>
      <c r="AO79" s="3">
        <v>1</v>
      </c>
      <c r="AP79" s="3">
        <v>1</v>
      </c>
      <c r="AQ79" s="3">
        <v>1</v>
      </c>
      <c r="AR79" s="3">
        <v>0</v>
      </c>
      <c r="AS79" s="3">
        <v>0</v>
      </c>
      <c r="AT79" s="3">
        <v>1</v>
      </c>
      <c r="AU79" s="3">
        <v>0</v>
      </c>
      <c r="AV79" s="3">
        <v>0</v>
      </c>
      <c r="AW79" s="3">
        <v>1</v>
      </c>
      <c r="AX79" s="3">
        <v>0</v>
      </c>
      <c r="AY79" s="3">
        <v>0</v>
      </c>
      <c r="AZ79" s="3">
        <v>1</v>
      </c>
      <c r="BA79" s="3">
        <v>1</v>
      </c>
      <c r="BB79" s="3">
        <v>0</v>
      </c>
      <c r="BC79" s="3">
        <v>0</v>
      </c>
      <c r="BD79" s="3">
        <v>0</v>
      </c>
      <c r="BE79" s="3">
        <v>0</v>
      </c>
      <c r="BG79" s="2" t="s">
        <v>139</v>
      </c>
      <c r="BH79" s="3">
        <v>2</v>
      </c>
      <c r="BJ79" s="2" t="s">
        <v>96</v>
      </c>
      <c r="BL79" s="2" t="s">
        <v>123</v>
      </c>
      <c r="BM79" s="2" t="s">
        <v>123</v>
      </c>
      <c r="BN79" s="2" t="s">
        <v>124</v>
      </c>
      <c r="BO79" s="2" t="s">
        <v>125</v>
      </c>
      <c r="BP79" s="2" t="s">
        <v>101</v>
      </c>
      <c r="BQ79" s="2" t="s">
        <v>124</v>
      </c>
      <c r="BR79" s="2" t="s">
        <v>126</v>
      </c>
      <c r="BS79" s="2" t="s">
        <v>127</v>
      </c>
      <c r="BT79" s="2" t="s">
        <v>199</v>
      </c>
      <c r="BU79" s="2" t="s">
        <v>200</v>
      </c>
      <c r="BV79" s="2" t="s">
        <v>166</v>
      </c>
      <c r="BW79" s="2" t="s">
        <v>167</v>
      </c>
      <c r="BX79" s="2" t="s">
        <v>139</v>
      </c>
      <c r="BY7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79" s="2">
        <f>IF(AND(Cases[[#This Row],[Priority Level]]&gt;=3,Cases[[#This Row],[System Role]]&lt;&gt;"Productive"),1,0)</f>
        <v>0</v>
      </c>
      <c r="CA79" s="2">
        <f>IFERROR(IF(Cases[[#This Row],[Days at Customer]]&gt;MAX(1,Cases[[#This Row],[Days at SAP]]*2),1,0),0)</f>
        <v>0</v>
      </c>
      <c r="CB79" s="2">
        <f>IF(AND(Cases[[#This Row],[Initial Component]]&lt;&gt;"",Cases[[#This Row],[Component]]&lt;&gt;"",Cases[[#This Row],[Initial Component]]&lt;&gt;Cases[[#This Row],[Component]]),1,0)</f>
        <v>0</v>
      </c>
      <c r="CC79" s="2">
        <f>IF(OR(Cases[[#This Row],[Is Reopened]]="X",Cases[[#This Row],[No. of Reopenings]]&gt;0),1,0)</f>
        <v>0</v>
      </c>
      <c r="CD79" s="2">
        <f>IF(Cases[[#This Row],[Confirmation Type]]="Automatic",1,0)</f>
        <v>0</v>
      </c>
      <c r="CE79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80" spans="1:83" x14ac:dyDescent="0.2">
      <c r="A80" s="1" t="s">
        <v>692</v>
      </c>
      <c r="B80" s="2" t="s">
        <v>693</v>
      </c>
      <c r="C80" s="2" t="s">
        <v>245</v>
      </c>
      <c r="D80" s="2" t="s">
        <v>238</v>
      </c>
      <c r="E80" s="3">
        <v>9.74</v>
      </c>
      <c r="F80" s="3">
        <v>21.64</v>
      </c>
      <c r="G80" s="2" t="s">
        <v>79</v>
      </c>
      <c r="H80" s="2" t="s">
        <v>178</v>
      </c>
      <c r="I80" s="3" t="s">
        <v>114</v>
      </c>
      <c r="J80" s="3">
        <v>47</v>
      </c>
      <c r="K80" s="2" t="s">
        <v>694</v>
      </c>
      <c r="L80" s="4">
        <v>46117</v>
      </c>
      <c r="M80" s="4">
        <v>46112</v>
      </c>
      <c r="N80" s="2" t="s">
        <v>180</v>
      </c>
      <c r="O80" s="2" t="s">
        <v>181</v>
      </c>
      <c r="P80" s="2" t="s">
        <v>136</v>
      </c>
      <c r="Q80" s="2" t="s">
        <v>86</v>
      </c>
      <c r="R80" s="2" t="s">
        <v>247</v>
      </c>
      <c r="S80" s="4">
        <v>46080</v>
      </c>
      <c r="T80" s="2" t="s">
        <v>677</v>
      </c>
      <c r="U80" s="2" t="s">
        <v>181</v>
      </c>
      <c r="V80" s="2" t="s">
        <v>678</v>
      </c>
      <c r="W80" s="2" t="s">
        <v>86</v>
      </c>
      <c r="X80" s="2" t="s">
        <v>117</v>
      </c>
      <c r="Y80" s="3" t="s">
        <v>118</v>
      </c>
      <c r="Z80" s="3">
        <v>31.37</v>
      </c>
      <c r="AA80" s="2" t="s">
        <v>90</v>
      </c>
      <c r="AB80" s="2" t="s">
        <v>247</v>
      </c>
      <c r="AC80" s="2" t="s">
        <v>245</v>
      </c>
      <c r="AD80" t="str" cm="1">
        <f t="array" ref="AD8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80" s="2" t="s">
        <v>139</v>
      </c>
      <c r="AF80" s="2" t="s">
        <v>92</v>
      </c>
      <c r="AG80" s="2" t="s">
        <v>119</v>
      </c>
      <c r="AH80" s="2" t="s">
        <v>120</v>
      </c>
      <c r="AK80" s="2" t="s">
        <v>695</v>
      </c>
      <c r="AN80" s="3">
        <v>1</v>
      </c>
      <c r="AO80" s="3">
        <v>1</v>
      </c>
      <c r="AP80" s="3">
        <v>1</v>
      </c>
      <c r="AQ80" s="3">
        <v>1</v>
      </c>
      <c r="AR80" s="3">
        <v>1</v>
      </c>
      <c r="AS80" s="3">
        <v>0</v>
      </c>
      <c r="AT80" s="3">
        <v>0</v>
      </c>
      <c r="AU80" s="3">
        <v>0</v>
      </c>
      <c r="AV80" s="3">
        <v>1</v>
      </c>
      <c r="AW80" s="3">
        <v>0</v>
      </c>
      <c r="AX80" s="3">
        <v>1</v>
      </c>
      <c r="AY80" s="3">
        <v>0</v>
      </c>
      <c r="AZ80" s="3">
        <v>0</v>
      </c>
      <c r="BA80" s="3">
        <v>1</v>
      </c>
      <c r="BB80" s="3">
        <v>0</v>
      </c>
      <c r="BC80" s="3">
        <v>0</v>
      </c>
      <c r="BD80" s="3">
        <v>0</v>
      </c>
      <c r="BE80" s="3">
        <v>0</v>
      </c>
      <c r="BG80" s="2" t="s">
        <v>91</v>
      </c>
      <c r="BH80" s="3">
        <v>3</v>
      </c>
      <c r="BJ80" s="2" t="s">
        <v>96</v>
      </c>
      <c r="BL80" s="2" t="s">
        <v>123</v>
      </c>
      <c r="BM80" s="2" t="s">
        <v>123</v>
      </c>
      <c r="BN80" s="2" t="s">
        <v>124</v>
      </c>
      <c r="BO80" s="2" t="s">
        <v>125</v>
      </c>
      <c r="BP80" s="2" t="s">
        <v>242</v>
      </c>
      <c r="BQ80" s="2" t="s">
        <v>124</v>
      </c>
      <c r="BR80" s="2" t="s">
        <v>126</v>
      </c>
      <c r="BS80" s="2" t="s">
        <v>127</v>
      </c>
      <c r="BT80" s="2" t="s">
        <v>199</v>
      </c>
      <c r="BU80" s="2" t="s">
        <v>200</v>
      </c>
      <c r="BV80" s="2" t="s">
        <v>166</v>
      </c>
      <c r="BW80" s="2" t="s">
        <v>167</v>
      </c>
      <c r="BX80" s="2" t="s">
        <v>91</v>
      </c>
      <c r="BY8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80" s="2">
        <f>IF(AND(Cases[[#This Row],[Priority Level]]&gt;=3,Cases[[#This Row],[System Role]]&lt;&gt;"Productive"),1,0)</f>
        <v>1</v>
      </c>
      <c r="CA80" s="2">
        <f>IFERROR(IF(Cases[[#This Row],[Days at Customer]]&gt;MAX(1,Cases[[#This Row],[Days at SAP]]*2),1,0),0)</f>
        <v>1</v>
      </c>
      <c r="CB80" s="2">
        <f>IF(AND(Cases[[#This Row],[Initial Component]]&lt;&gt;"",Cases[[#This Row],[Component]]&lt;&gt;"",Cases[[#This Row],[Initial Component]]&lt;&gt;Cases[[#This Row],[Component]]),1,0)</f>
        <v>0</v>
      </c>
      <c r="CC80" s="2">
        <f>IF(OR(Cases[[#This Row],[Is Reopened]]="X",Cases[[#This Row],[No. of Reopenings]]&gt;0),1,0)</f>
        <v>0</v>
      </c>
      <c r="CD80" s="2">
        <f>IF(Cases[[#This Row],[Confirmation Type]]="Automatic",1,0)</f>
        <v>1</v>
      </c>
      <c r="CE80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81" spans="1:83" x14ac:dyDescent="0.2">
      <c r="A81" s="1" t="s">
        <v>3195</v>
      </c>
      <c r="B81" s="2" t="s">
        <v>3196</v>
      </c>
      <c r="C81" s="2" t="s">
        <v>1893</v>
      </c>
      <c r="D81" s="2" t="s">
        <v>238</v>
      </c>
      <c r="E81" s="3">
        <v>19.55</v>
      </c>
      <c r="F81" s="3">
        <v>24.85</v>
      </c>
      <c r="G81" s="2" t="s">
        <v>79</v>
      </c>
      <c r="H81" s="2" t="s">
        <v>80</v>
      </c>
      <c r="I81" s="3" t="s">
        <v>114</v>
      </c>
      <c r="J81" s="3">
        <v>189</v>
      </c>
      <c r="K81" s="2" t="s">
        <v>3197</v>
      </c>
      <c r="L81" s="4">
        <v>46009</v>
      </c>
      <c r="M81" s="4">
        <v>45982</v>
      </c>
      <c r="N81" s="2" t="s">
        <v>2274</v>
      </c>
      <c r="O81" s="2" t="s">
        <v>1805</v>
      </c>
      <c r="P81" s="2" t="s">
        <v>2404</v>
      </c>
      <c r="Q81" s="2" t="s">
        <v>1806</v>
      </c>
      <c r="R81" s="2" t="s">
        <v>1895</v>
      </c>
      <c r="S81" s="4">
        <v>45938</v>
      </c>
      <c r="T81" s="2" t="s">
        <v>2727</v>
      </c>
      <c r="U81" s="2" t="s">
        <v>1805</v>
      </c>
      <c r="V81" s="2" t="s">
        <v>3126</v>
      </c>
      <c r="W81" s="2" t="s">
        <v>1806</v>
      </c>
      <c r="X81" s="2" t="s">
        <v>117</v>
      </c>
      <c r="Y81" s="3" t="s">
        <v>118</v>
      </c>
      <c r="Z81" s="3">
        <v>44.4</v>
      </c>
      <c r="AA81" s="2" t="s">
        <v>90</v>
      </c>
      <c r="AB81" s="2" t="s">
        <v>1895</v>
      </c>
      <c r="AC81" s="2" t="s">
        <v>1893</v>
      </c>
      <c r="AD81" t="str" cm="1">
        <f t="array" ref="AD8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81" s="2" t="s">
        <v>91</v>
      </c>
      <c r="AF81" s="2" t="s">
        <v>92</v>
      </c>
      <c r="AG81" s="2" t="s">
        <v>119</v>
      </c>
      <c r="AH81" s="2" t="s">
        <v>120</v>
      </c>
      <c r="AK81" s="2" t="s">
        <v>3198</v>
      </c>
      <c r="AN81" s="3">
        <v>1</v>
      </c>
      <c r="AO81" s="3">
        <v>1</v>
      </c>
      <c r="AP81" s="3">
        <v>1</v>
      </c>
      <c r="AQ81" s="3">
        <v>1</v>
      </c>
      <c r="AR81" s="3">
        <v>1</v>
      </c>
      <c r="AS81" s="3">
        <v>0</v>
      </c>
      <c r="AT81" s="3">
        <v>0</v>
      </c>
      <c r="AU81" s="3">
        <v>0</v>
      </c>
      <c r="AV81" s="3">
        <v>1</v>
      </c>
      <c r="AW81" s="3">
        <v>0</v>
      </c>
      <c r="AX81" s="3">
        <v>1</v>
      </c>
      <c r="AY81" s="3">
        <v>0</v>
      </c>
      <c r="AZ81" s="3">
        <v>0</v>
      </c>
      <c r="BA81" s="3">
        <v>0</v>
      </c>
      <c r="BB81" s="3">
        <v>0</v>
      </c>
      <c r="BC81" s="3">
        <v>1</v>
      </c>
      <c r="BD81" s="3">
        <v>0</v>
      </c>
      <c r="BE81" s="3">
        <v>0</v>
      </c>
      <c r="BG81" s="2" t="s">
        <v>91</v>
      </c>
      <c r="BH81" s="3">
        <v>3</v>
      </c>
      <c r="BJ81" s="2" t="s">
        <v>96</v>
      </c>
      <c r="BL81" s="2" t="s">
        <v>123</v>
      </c>
      <c r="BM81" s="2" t="s">
        <v>123</v>
      </c>
      <c r="BN81" s="2" t="s">
        <v>124</v>
      </c>
      <c r="BO81" s="2" t="s">
        <v>125</v>
      </c>
      <c r="BP81" s="2" t="s">
        <v>242</v>
      </c>
      <c r="BQ81" s="2" t="s">
        <v>124</v>
      </c>
      <c r="BR81" s="2" t="s">
        <v>126</v>
      </c>
      <c r="BS81" s="2" t="s">
        <v>127</v>
      </c>
      <c r="BT81" s="2" t="s">
        <v>207</v>
      </c>
      <c r="BU81" s="2" t="s">
        <v>208</v>
      </c>
      <c r="BV81" s="2" t="s">
        <v>150</v>
      </c>
      <c r="BW81" s="2" t="s">
        <v>151</v>
      </c>
      <c r="BX81" s="2" t="s">
        <v>91</v>
      </c>
      <c r="BY8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81" s="2">
        <f>IF(AND(Cases[[#This Row],[Priority Level]]&gt;=3,Cases[[#This Row],[System Role]]&lt;&gt;"Productive"),1,0)</f>
        <v>0</v>
      </c>
      <c r="CA81" s="2">
        <f>IFERROR(IF(Cases[[#This Row],[Days at Customer]]&gt;MAX(1,Cases[[#This Row],[Days at SAP]]*2),1,0),0)</f>
        <v>0</v>
      </c>
      <c r="CB81" s="2">
        <f>IF(AND(Cases[[#This Row],[Initial Component]]&lt;&gt;"",Cases[[#This Row],[Component]]&lt;&gt;"",Cases[[#This Row],[Initial Component]]&lt;&gt;Cases[[#This Row],[Component]]),1,0)</f>
        <v>0</v>
      </c>
      <c r="CC81" s="2">
        <f>IF(OR(Cases[[#This Row],[Is Reopened]]="X",Cases[[#This Row],[No. of Reopenings]]&gt;0),1,0)</f>
        <v>0</v>
      </c>
      <c r="CD81" s="2">
        <f>IF(Cases[[#This Row],[Confirmation Type]]="Automatic",1,0)</f>
        <v>1</v>
      </c>
      <c r="CE81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82" spans="1:83" x14ac:dyDescent="0.2">
      <c r="A82" s="1" t="s">
        <v>699</v>
      </c>
      <c r="B82" s="2" t="s">
        <v>700</v>
      </c>
      <c r="C82" s="2" t="s">
        <v>674</v>
      </c>
      <c r="D82" s="2" t="s">
        <v>78</v>
      </c>
      <c r="E82" s="3">
        <v>11.04</v>
      </c>
      <c r="F82" s="3">
        <v>7.76</v>
      </c>
      <c r="G82" s="2" t="s">
        <v>79</v>
      </c>
      <c r="H82" s="2" t="s">
        <v>178</v>
      </c>
      <c r="I82" s="3" t="s">
        <v>81</v>
      </c>
      <c r="J82" s="3">
        <v>47</v>
      </c>
      <c r="K82" s="2" t="s">
        <v>701</v>
      </c>
      <c r="L82" s="4">
        <v>46103</v>
      </c>
      <c r="M82" s="4">
        <v>46099</v>
      </c>
      <c r="N82" s="2" t="s">
        <v>180</v>
      </c>
      <c r="O82" s="2" t="s">
        <v>181</v>
      </c>
      <c r="P82" s="2" t="s">
        <v>260</v>
      </c>
      <c r="Q82" s="2" t="s">
        <v>86</v>
      </c>
      <c r="R82" s="2" t="s">
        <v>676</v>
      </c>
      <c r="S82" s="4">
        <v>46080</v>
      </c>
      <c r="T82" s="2" t="s">
        <v>677</v>
      </c>
      <c r="U82" s="2" t="s">
        <v>181</v>
      </c>
      <c r="V82" s="2" t="s">
        <v>678</v>
      </c>
      <c r="W82" s="2" t="s">
        <v>86</v>
      </c>
      <c r="X82" s="2" t="s">
        <v>88</v>
      </c>
      <c r="Y82" s="3" t="s">
        <v>89</v>
      </c>
      <c r="Z82" s="3">
        <v>18.809999999999999</v>
      </c>
      <c r="AA82" s="2" t="s">
        <v>90</v>
      </c>
      <c r="AB82" s="2" t="s">
        <v>676</v>
      </c>
      <c r="AC82" s="2" t="s">
        <v>674</v>
      </c>
      <c r="AD82" t="str" cm="1">
        <f t="array" ref="AD8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82" s="2" t="s">
        <v>139</v>
      </c>
      <c r="AF82" s="2" t="s">
        <v>92</v>
      </c>
      <c r="AG82" s="2" t="s">
        <v>93</v>
      </c>
      <c r="AH82" s="2" t="s">
        <v>94</v>
      </c>
      <c r="AK82" s="2" t="s">
        <v>702</v>
      </c>
      <c r="AN82" s="3">
        <v>1</v>
      </c>
      <c r="AO82" s="3">
        <v>1</v>
      </c>
      <c r="AP82" s="3">
        <v>1</v>
      </c>
      <c r="AQ82" s="3">
        <v>1</v>
      </c>
      <c r="AR82" s="3">
        <v>0</v>
      </c>
      <c r="AS82" s="3">
        <v>0</v>
      </c>
      <c r="AT82" s="3">
        <v>1</v>
      </c>
      <c r="AU82" s="3">
        <v>0</v>
      </c>
      <c r="AV82" s="3">
        <v>0</v>
      </c>
      <c r="AW82" s="3">
        <v>1</v>
      </c>
      <c r="AX82" s="3">
        <v>0</v>
      </c>
      <c r="AY82" s="3">
        <v>0</v>
      </c>
      <c r="AZ82" s="3">
        <v>1</v>
      </c>
      <c r="BA82" s="3">
        <v>0</v>
      </c>
      <c r="BB82" s="3">
        <v>0</v>
      </c>
      <c r="BC82" s="3">
        <v>1</v>
      </c>
      <c r="BD82" s="3">
        <v>0</v>
      </c>
      <c r="BE82" s="3">
        <v>0</v>
      </c>
      <c r="BG82" s="2" t="s">
        <v>139</v>
      </c>
      <c r="BH82" s="3">
        <v>2</v>
      </c>
      <c r="BJ82" s="2" t="s">
        <v>96</v>
      </c>
      <c r="BL82" s="2" t="s">
        <v>184</v>
      </c>
      <c r="BM82" s="2" t="s">
        <v>184</v>
      </c>
      <c r="BN82" s="2" t="s">
        <v>124</v>
      </c>
      <c r="BO82" s="2" t="s">
        <v>125</v>
      </c>
      <c r="BP82" s="2" t="s">
        <v>101</v>
      </c>
      <c r="BQ82" s="2" t="s">
        <v>124</v>
      </c>
      <c r="BR82" s="2" t="s">
        <v>126</v>
      </c>
      <c r="BS82" s="2" t="s">
        <v>127</v>
      </c>
      <c r="BT82" s="2" t="s">
        <v>185</v>
      </c>
      <c r="BU82" s="2" t="s">
        <v>186</v>
      </c>
      <c r="BV82" s="2" t="s">
        <v>150</v>
      </c>
      <c r="BW82" s="2" t="s">
        <v>151</v>
      </c>
      <c r="BX82" s="2" t="s">
        <v>139</v>
      </c>
      <c r="BY8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82" s="2">
        <f>IF(AND(Cases[[#This Row],[Priority Level]]&gt;=3,Cases[[#This Row],[System Role]]&lt;&gt;"Productive"),1,0)</f>
        <v>0</v>
      </c>
      <c r="CA82" s="2">
        <f>IFERROR(IF(Cases[[#This Row],[Days at Customer]]&gt;MAX(1,Cases[[#This Row],[Days at SAP]]*2),1,0),0)</f>
        <v>0</v>
      </c>
      <c r="CB82" s="2">
        <f>IF(AND(Cases[[#This Row],[Initial Component]]&lt;&gt;"",Cases[[#This Row],[Component]]&lt;&gt;"",Cases[[#This Row],[Initial Component]]&lt;&gt;Cases[[#This Row],[Component]]),1,0)</f>
        <v>0</v>
      </c>
      <c r="CC82" s="2">
        <f>IF(OR(Cases[[#This Row],[Is Reopened]]="X",Cases[[#This Row],[No. of Reopenings]]&gt;0),1,0)</f>
        <v>0</v>
      </c>
      <c r="CD82" s="2">
        <f>IF(Cases[[#This Row],[Confirmation Type]]="Automatic",1,0)</f>
        <v>0</v>
      </c>
      <c r="CE82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83" spans="1:83" x14ac:dyDescent="0.2">
      <c r="A83" s="1" t="s">
        <v>703</v>
      </c>
      <c r="B83" s="2" t="s">
        <v>704</v>
      </c>
      <c r="C83" s="2" t="s">
        <v>705</v>
      </c>
      <c r="D83" s="2" t="s">
        <v>238</v>
      </c>
      <c r="E83" s="3">
        <v>10.33</v>
      </c>
      <c r="F83" s="3">
        <v>21.37</v>
      </c>
      <c r="G83" s="2" t="s">
        <v>79</v>
      </c>
      <c r="H83" s="2" t="s">
        <v>155</v>
      </c>
      <c r="I83" s="3" t="s">
        <v>114</v>
      </c>
      <c r="J83" s="3">
        <v>47</v>
      </c>
      <c r="K83" s="2" t="s">
        <v>706</v>
      </c>
      <c r="L83" s="4">
        <v>46117</v>
      </c>
      <c r="M83" s="4">
        <v>46112</v>
      </c>
      <c r="N83" s="2" t="s">
        <v>180</v>
      </c>
      <c r="O83" s="2" t="s">
        <v>181</v>
      </c>
      <c r="P83" s="2" t="s">
        <v>136</v>
      </c>
      <c r="Q83" s="2" t="s">
        <v>86</v>
      </c>
      <c r="R83" s="2" t="s">
        <v>707</v>
      </c>
      <c r="S83" s="4">
        <v>46080</v>
      </c>
      <c r="T83" s="2" t="s">
        <v>677</v>
      </c>
      <c r="U83" s="2" t="s">
        <v>181</v>
      </c>
      <c r="V83" s="2" t="s">
        <v>678</v>
      </c>
      <c r="W83" s="2" t="s">
        <v>86</v>
      </c>
      <c r="X83" s="2" t="s">
        <v>117</v>
      </c>
      <c r="Y83" s="3" t="s">
        <v>118</v>
      </c>
      <c r="Z83" s="3">
        <v>31.7</v>
      </c>
      <c r="AA83" s="2" t="s">
        <v>90</v>
      </c>
      <c r="AB83" s="2" t="s">
        <v>707</v>
      </c>
      <c r="AC83" s="2" t="s">
        <v>705</v>
      </c>
      <c r="AD83" t="str" cm="1">
        <f t="array" ref="AD8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83" s="2" t="s">
        <v>91</v>
      </c>
      <c r="AF83" s="2" t="s">
        <v>92</v>
      </c>
      <c r="AG83" s="2" t="s">
        <v>119</v>
      </c>
      <c r="AH83" s="2" t="s">
        <v>120</v>
      </c>
      <c r="AK83" s="2" t="s">
        <v>708</v>
      </c>
      <c r="AN83" s="3">
        <v>1</v>
      </c>
      <c r="AO83" s="3">
        <v>1</v>
      </c>
      <c r="AP83" s="3">
        <v>1</v>
      </c>
      <c r="AQ83" s="3">
        <v>1</v>
      </c>
      <c r="AR83" s="3">
        <v>1</v>
      </c>
      <c r="AS83" s="3">
        <v>0</v>
      </c>
      <c r="AT83" s="3">
        <v>0</v>
      </c>
      <c r="AU83" s="3">
        <v>0</v>
      </c>
      <c r="AV83" s="3">
        <v>1</v>
      </c>
      <c r="AW83" s="3">
        <v>0</v>
      </c>
      <c r="AX83" s="3">
        <v>1</v>
      </c>
      <c r="AY83" s="3">
        <v>0</v>
      </c>
      <c r="AZ83" s="3">
        <v>0</v>
      </c>
      <c r="BA83" s="3">
        <v>0</v>
      </c>
      <c r="BB83" s="3">
        <v>0</v>
      </c>
      <c r="BC83" s="3">
        <v>1</v>
      </c>
      <c r="BD83" s="3">
        <v>0</v>
      </c>
      <c r="BE83" s="3">
        <v>0</v>
      </c>
      <c r="BG83" s="2" t="s">
        <v>91</v>
      </c>
      <c r="BH83" s="3">
        <v>3</v>
      </c>
      <c r="BJ83" s="2" t="s">
        <v>96</v>
      </c>
      <c r="BL83" s="2" t="s">
        <v>123</v>
      </c>
      <c r="BM83" s="2" t="s">
        <v>123</v>
      </c>
      <c r="BN83" s="2" t="s">
        <v>124</v>
      </c>
      <c r="BO83" s="2" t="s">
        <v>125</v>
      </c>
      <c r="BP83" s="2" t="s">
        <v>242</v>
      </c>
      <c r="BQ83" s="2" t="s">
        <v>124</v>
      </c>
      <c r="BR83" s="2" t="s">
        <v>126</v>
      </c>
      <c r="BS83" s="2" t="s">
        <v>127</v>
      </c>
      <c r="BT83" s="2" t="s">
        <v>174</v>
      </c>
      <c r="BU83" s="2" t="s">
        <v>175</v>
      </c>
      <c r="BV83" s="2" t="s">
        <v>150</v>
      </c>
      <c r="BW83" s="2" t="s">
        <v>151</v>
      </c>
      <c r="BX83" s="2" t="s">
        <v>91</v>
      </c>
      <c r="BY8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83" s="2">
        <f>IF(AND(Cases[[#This Row],[Priority Level]]&gt;=3,Cases[[#This Row],[System Role]]&lt;&gt;"Productive"),1,0)</f>
        <v>0</v>
      </c>
      <c r="CA83" s="2">
        <f>IFERROR(IF(Cases[[#This Row],[Days at Customer]]&gt;MAX(1,Cases[[#This Row],[Days at SAP]]*2),1,0),0)</f>
        <v>1</v>
      </c>
      <c r="CB83" s="2">
        <f>IF(AND(Cases[[#This Row],[Initial Component]]&lt;&gt;"",Cases[[#This Row],[Component]]&lt;&gt;"",Cases[[#This Row],[Initial Component]]&lt;&gt;Cases[[#This Row],[Component]]),1,0)</f>
        <v>0</v>
      </c>
      <c r="CC83" s="2">
        <f>IF(OR(Cases[[#This Row],[Is Reopened]]="X",Cases[[#This Row],[No. of Reopenings]]&gt;0),1,0)</f>
        <v>0</v>
      </c>
      <c r="CD83" s="2">
        <f>IF(Cases[[#This Row],[Confirmation Type]]="Automatic",1,0)</f>
        <v>1</v>
      </c>
      <c r="CE83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84" spans="1:83" x14ac:dyDescent="0.2">
      <c r="A84" s="1" t="s">
        <v>709</v>
      </c>
      <c r="B84" s="2" t="s">
        <v>710</v>
      </c>
      <c r="C84" s="2" t="s">
        <v>245</v>
      </c>
      <c r="D84" s="2" t="s">
        <v>238</v>
      </c>
      <c r="E84" s="3">
        <v>11.8</v>
      </c>
      <c r="F84" s="3">
        <v>29.48</v>
      </c>
      <c r="G84" s="2" t="s">
        <v>79</v>
      </c>
      <c r="H84" s="2" t="s">
        <v>80</v>
      </c>
      <c r="I84" s="3" t="s">
        <v>114</v>
      </c>
      <c r="J84" s="3">
        <v>47</v>
      </c>
      <c r="K84" s="2" t="s">
        <v>711</v>
      </c>
      <c r="L84" s="4">
        <v>46124</v>
      </c>
      <c r="M84" s="4">
        <v>46122</v>
      </c>
      <c r="N84" s="2" t="s">
        <v>83</v>
      </c>
      <c r="O84" s="2" t="s">
        <v>84</v>
      </c>
      <c r="P84" s="2" t="s">
        <v>85</v>
      </c>
      <c r="Q84" s="2" t="s">
        <v>86</v>
      </c>
      <c r="R84" s="2" t="s">
        <v>247</v>
      </c>
      <c r="S84" s="4">
        <v>46080</v>
      </c>
      <c r="T84" s="2" t="s">
        <v>677</v>
      </c>
      <c r="U84" s="2" t="s">
        <v>181</v>
      </c>
      <c r="V84" s="2" t="s">
        <v>678</v>
      </c>
      <c r="W84" s="2" t="s">
        <v>86</v>
      </c>
      <c r="X84" s="2" t="s">
        <v>117</v>
      </c>
      <c r="Y84" s="3" t="s">
        <v>118</v>
      </c>
      <c r="Z84" s="3">
        <v>41.28</v>
      </c>
      <c r="AA84" s="2" t="s">
        <v>90</v>
      </c>
      <c r="AB84" s="2" t="s">
        <v>247</v>
      </c>
      <c r="AC84" s="2" t="s">
        <v>245</v>
      </c>
      <c r="AD84" t="str" cm="1">
        <f t="array" ref="AD8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84" s="2" t="s">
        <v>139</v>
      </c>
      <c r="AF84" s="2" t="s">
        <v>92</v>
      </c>
      <c r="AG84" s="2" t="s">
        <v>527</v>
      </c>
      <c r="AH84" s="2" t="s">
        <v>528</v>
      </c>
      <c r="AK84" s="2" t="s">
        <v>712</v>
      </c>
      <c r="AN84" s="3">
        <v>1</v>
      </c>
      <c r="AO84" s="3">
        <v>1</v>
      </c>
      <c r="AP84" s="3">
        <v>1</v>
      </c>
      <c r="AQ84" s="3">
        <v>1</v>
      </c>
      <c r="AR84" s="3">
        <v>0</v>
      </c>
      <c r="AS84" s="3">
        <v>0</v>
      </c>
      <c r="AT84" s="3">
        <v>1</v>
      </c>
      <c r="AU84" s="3">
        <v>0</v>
      </c>
      <c r="AV84" s="3">
        <v>1</v>
      </c>
      <c r="AW84" s="3">
        <v>0</v>
      </c>
      <c r="AX84" s="3">
        <v>0</v>
      </c>
      <c r="AY84" s="3">
        <v>0</v>
      </c>
      <c r="AZ84" s="3">
        <v>1</v>
      </c>
      <c r="BA84" s="3">
        <v>1</v>
      </c>
      <c r="BB84" s="3">
        <v>0</v>
      </c>
      <c r="BC84" s="3">
        <v>0</v>
      </c>
      <c r="BD84" s="3">
        <v>0</v>
      </c>
      <c r="BE84" s="3">
        <v>0</v>
      </c>
      <c r="BG84" s="2" t="s">
        <v>139</v>
      </c>
      <c r="BH84" s="3">
        <v>2</v>
      </c>
      <c r="BJ84" s="2" t="s">
        <v>96</v>
      </c>
      <c r="BL84" s="2" t="s">
        <v>184</v>
      </c>
      <c r="BM84" s="2" t="s">
        <v>184</v>
      </c>
      <c r="BN84" s="2" t="s">
        <v>124</v>
      </c>
      <c r="BO84" s="2" t="s">
        <v>125</v>
      </c>
      <c r="BP84" s="2" t="s">
        <v>242</v>
      </c>
      <c r="BQ84" s="2" t="s">
        <v>124</v>
      </c>
      <c r="BR84" s="2" t="s">
        <v>126</v>
      </c>
      <c r="BS84" s="2" t="s">
        <v>713</v>
      </c>
      <c r="BT84" s="2" t="s">
        <v>343</v>
      </c>
      <c r="BU84" s="2" t="s">
        <v>714</v>
      </c>
      <c r="BV84" s="2" t="s">
        <v>166</v>
      </c>
      <c r="BW84" s="2" t="s">
        <v>167</v>
      </c>
      <c r="BX84" s="2" t="s">
        <v>139</v>
      </c>
      <c r="BY8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84" s="2">
        <f>IF(AND(Cases[[#This Row],[Priority Level]]&gt;=3,Cases[[#This Row],[System Role]]&lt;&gt;"Productive"),1,0)</f>
        <v>0</v>
      </c>
      <c r="CA84" s="2">
        <f>IFERROR(IF(Cases[[#This Row],[Days at Customer]]&gt;MAX(1,Cases[[#This Row],[Days at SAP]]*2),1,0),0)</f>
        <v>1</v>
      </c>
      <c r="CB84" s="2">
        <f>IF(AND(Cases[[#This Row],[Initial Component]]&lt;&gt;"",Cases[[#This Row],[Component]]&lt;&gt;"",Cases[[#This Row],[Initial Component]]&lt;&gt;Cases[[#This Row],[Component]]),1,0)</f>
        <v>0</v>
      </c>
      <c r="CC84" s="2">
        <f>IF(OR(Cases[[#This Row],[Is Reopened]]="X",Cases[[#This Row],[No. of Reopenings]]&gt;0),1,0)</f>
        <v>0</v>
      </c>
      <c r="CD84" s="2">
        <f>IF(Cases[[#This Row],[Confirmation Type]]="Automatic",1,0)</f>
        <v>1</v>
      </c>
      <c r="CE8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85" spans="1:83" x14ac:dyDescent="0.2">
      <c r="A85" s="1" t="s">
        <v>3445</v>
      </c>
      <c r="B85" s="2" t="s">
        <v>3446</v>
      </c>
      <c r="C85" s="2" t="s">
        <v>311</v>
      </c>
      <c r="D85" s="2" t="s">
        <v>238</v>
      </c>
      <c r="E85" s="3">
        <v>18.2</v>
      </c>
      <c r="F85" s="3">
        <v>50.51</v>
      </c>
      <c r="G85" s="2" t="s">
        <v>79</v>
      </c>
      <c r="H85" s="2" t="s">
        <v>178</v>
      </c>
      <c r="I85" s="3" t="s">
        <v>114</v>
      </c>
      <c r="J85" s="3">
        <v>209</v>
      </c>
      <c r="K85" s="2" t="s">
        <v>3447</v>
      </c>
      <c r="L85" s="4">
        <v>46009</v>
      </c>
      <c r="M85" s="4">
        <v>45986</v>
      </c>
      <c r="N85" s="2" t="s">
        <v>2274</v>
      </c>
      <c r="O85" s="2" t="s">
        <v>1805</v>
      </c>
      <c r="P85" s="2" t="s">
        <v>2275</v>
      </c>
      <c r="Q85" s="2" t="s">
        <v>1806</v>
      </c>
      <c r="R85" s="2" t="s">
        <v>310</v>
      </c>
      <c r="S85" s="4">
        <v>45918</v>
      </c>
      <c r="T85" s="2" t="s">
        <v>3264</v>
      </c>
      <c r="U85" s="2" t="s">
        <v>3265</v>
      </c>
      <c r="V85" s="2" t="s">
        <v>3423</v>
      </c>
      <c r="W85" s="2" t="s">
        <v>1806</v>
      </c>
      <c r="X85" s="2" t="s">
        <v>117</v>
      </c>
      <c r="Y85" s="3" t="s">
        <v>118</v>
      </c>
      <c r="Z85" s="3">
        <v>68.72</v>
      </c>
      <c r="AA85" s="2" t="s">
        <v>90</v>
      </c>
      <c r="AB85" s="2" t="s">
        <v>3448</v>
      </c>
      <c r="AC85" s="2" t="s">
        <v>3449</v>
      </c>
      <c r="AD85" t="str" cm="1">
        <f t="array" ref="AD8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85" s="2" t="s">
        <v>91</v>
      </c>
      <c r="AF85" s="2" t="s">
        <v>92</v>
      </c>
      <c r="AG85" s="2" t="s">
        <v>119</v>
      </c>
      <c r="AH85" s="2" t="s">
        <v>120</v>
      </c>
      <c r="AJ85" s="2" t="s">
        <v>122</v>
      </c>
      <c r="AK85" s="2" t="s">
        <v>3450</v>
      </c>
      <c r="AN85" s="3">
        <v>1</v>
      </c>
      <c r="AO85" s="3">
        <v>0</v>
      </c>
      <c r="AP85" s="3">
        <v>1</v>
      </c>
      <c r="AQ85" s="3">
        <v>1</v>
      </c>
      <c r="AR85" s="3">
        <v>1</v>
      </c>
      <c r="AS85" s="3">
        <v>0</v>
      </c>
      <c r="AT85" s="3">
        <v>0</v>
      </c>
      <c r="AU85" s="3">
        <v>0</v>
      </c>
      <c r="AV85" s="3">
        <v>1</v>
      </c>
      <c r="AW85" s="3">
        <v>0</v>
      </c>
      <c r="AX85" s="3">
        <v>1</v>
      </c>
      <c r="AY85" s="3">
        <v>0</v>
      </c>
      <c r="AZ85" s="3">
        <v>0</v>
      </c>
      <c r="BA85" s="3">
        <v>1</v>
      </c>
      <c r="BB85" s="3">
        <v>0</v>
      </c>
      <c r="BC85" s="3">
        <v>0</v>
      </c>
      <c r="BD85" s="3">
        <v>3</v>
      </c>
      <c r="BE85" s="3">
        <v>0</v>
      </c>
      <c r="BG85" s="2" t="s">
        <v>91</v>
      </c>
      <c r="BH85" s="3">
        <v>3</v>
      </c>
      <c r="BJ85" s="2" t="s">
        <v>96</v>
      </c>
      <c r="BL85" s="2" t="s">
        <v>123</v>
      </c>
      <c r="BM85" s="2" t="s">
        <v>123</v>
      </c>
      <c r="BN85" s="2" t="s">
        <v>124</v>
      </c>
      <c r="BO85" s="2" t="s">
        <v>125</v>
      </c>
      <c r="BP85" s="2" t="s">
        <v>242</v>
      </c>
      <c r="BQ85" s="2" t="s">
        <v>124</v>
      </c>
      <c r="BR85" s="2" t="s">
        <v>126</v>
      </c>
      <c r="BS85" s="2" t="s">
        <v>713</v>
      </c>
      <c r="BT85" s="2" t="s">
        <v>1550</v>
      </c>
      <c r="BU85" s="2" t="s">
        <v>3322</v>
      </c>
      <c r="BV85" s="2" t="s">
        <v>107</v>
      </c>
      <c r="BW85" s="2" t="s">
        <v>108</v>
      </c>
      <c r="BX85" s="2" t="s">
        <v>91</v>
      </c>
      <c r="BY8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85" s="2">
        <f>IF(AND(Cases[[#This Row],[Priority Level]]&gt;=3,Cases[[#This Row],[System Role]]&lt;&gt;"Productive"),1,0)</f>
        <v>1</v>
      </c>
      <c r="CA85" s="2">
        <f>IFERROR(IF(Cases[[#This Row],[Days at Customer]]&gt;MAX(1,Cases[[#This Row],[Days at SAP]]*2),1,0),0)</f>
        <v>1</v>
      </c>
      <c r="CB85" s="2">
        <f>IF(AND(Cases[[#This Row],[Initial Component]]&lt;&gt;"",Cases[[#This Row],[Component]]&lt;&gt;"",Cases[[#This Row],[Initial Component]]&lt;&gt;Cases[[#This Row],[Component]]),1,0)</f>
        <v>1</v>
      </c>
      <c r="CC85" s="2">
        <f>IF(OR(Cases[[#This Row],[Is Reopened]]="X",Cases[[#This Row],[No. of Reopenings]]&gt;0),1,0)</f>
        <v>1</v>
      </c>
      <c r="CD85" s="2">
        <f>IF(Cases[[#This Row],[Confirmation Type]]="Automatic",1,0)</f>
        <v>1</v>
      </c>
      <c r="CE85" s="2">
        <f>Cases[[#This Row],[Flag_HowToOrConsulting]]+Cases[[#This Row],[Flag_PriorityInflation]]+Cases[[#This Row],[Flag_CustomerDelay]]+Cases[[#This Row],[Flag_ComponentMismatch]]+Cases[[#This Row],[Flag_Reopened]]</f>
        <v>5</v>
      </c>
    </row>
    <row r="86" spans="1:83" x14ac:dyDescent="0.2">
      <c r="A86" s="1" t="s">
        <v>3798</v>
      </c>
      <c r="B86" s="2" t="s">
        <v>3799</v>
      </c>
      <c r="C86" s="2" t="s">
        <v>111</v>
      </c>
      <c r="D86" s="2" t="s">
        <v>238</v>
      </c>
      <c r="E86" s="3">
        <v>0</v>
      </c>
      <c r="F86" s="3">
        <v>81.93</v>
      </c>
      <c r="G86" s="2" t="s">
        <v>112</v>
      </c>
      <c r="H86" s="2" t="s">
        <v>113</v>
      </c>
      <c r="I86" s="3" t="s">
        <v>114</v>
      </c>
      <c r="J86" s="3">
        <v>265</v>
      </c>
      <c r="K86" s="2" t="s">
        <v>3800</v>
      </c>
      <c r="L86" s="4">
        <v>46009</v>
      </c>
      <c r="M86" s="4">
        <v>46000</v>
      </c>
      <c r="N86" s="2" t="s">
        <v>1804</v>
      </c>
      <c r="O86" s="2" t="s">
        <v>1805</v>
      </c>
      <c r="P86" s="2" t="s">
        <v>2037</v>
      </c>
      <c r="Q86" s="2" t="s">
        <v>1806</v>
      </c>
      <c r="R86" s="2" t="s">
        <v>116</v>
      </c>
      <c r="S86" s="4">
        <v>45862</v>
      </c>
      <c r="T86" s="2" t="s">
        <v>3783</v>
      </c>
      <c r="U86" s="2" t="s">
        <v>3265</v>
      </c>
      <c r="V86" s="2" t="s">
        <v>3796</v>
      </c>
      <c r="W86" s="2" t="s">
        <v>1806</v>
      </c>
      <c r="X86" s="2" t="s">
        <v>117</v>
      </c>
      <c r="Y86" s="3" t="s">
        <v>118</v>
      </c>
      <c r="Z86" s="3">
        <v>81.93</v>
      </c>
      <c r="AA86" s="2" t="s">
        <v>90</v>
      </c>
      <c r="AB86" s="2" t="s">
        <v>116</v>
      </c>
      <c r="AC86" s="2" t="s">
        <v>111</v>
      </c>
      <c r="AD86" t="str" cm="1">
        <f t="array" ref="AD8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86" s="2" t="s">
        <v>91</v>
      </c>
      <c r="AF86" s="2" t="s">
        <v>92</v>
      </c>
      <c r="AG86" s="2" t="s">
        <v>119</v>
      </c>
      <c r="AH86" s="2" t="s">
        <v>120</v>
      </c>
      <c r="AK86" s="2" t="s">
        <v>3801</v>
      </c>
      <c r="AN86" s="3">
        <v>1</v>
      </c>
      <c r="AO86" s="3">
        <v>0</v>
      </c>
      <c r="AP86" s="3">
        <v>1</v>
      </c>
      <c r="AQ86" s="3">
        <v>1</v>
      </c>
      <c r="AR86" s="3">
        <v>1</v>
      </c>
      <c r="AS86" s="3">
        <v>0</v>
      </c>
      <c r="AT86" s="3">
        <v>0</v>
      </c>
      <c r="AU86" s="3">
        <v>0</v>
      </c>
      <c r="AV86" s="3">
        <v>1</v>
      </c>
      <c r="AW86" s="3">
        <v>0</v>
      </c>
      <c r="AX86" s="3">
        <v>1</v>
      </c>
      <c r="AY86" s="3">
        <v>0</v>
      </c>
      <c r="AZ86" s="3">
        <v>0</v>
      </c>
      <c r="BA86" s="3">
        <v>0</v>
      </c>
      <c r="BB86" s="3">
        <v>0</v>
      </c>
      <c r="BC86" s="3">
        <v>1</v>
      </c>
      <c r="BD86" s="3">
        <v>0</v>
      </c>
      <c r="BE86" s="3">
        <v>0</v>
      </c>
      <c r="BG86" s="2" t="s">
        <v>91</v>
      </c>
      <c r="BH86" s="3">
        <v>3</v>
      </c>
      <c r="BI86" s="2" t="s">
        <v>122</v>
      </c>
      <c r="BJ86" s="2" t="s">
        <v>96</v>
      </c>
      <c r="BL86" s="2" t="s">
        <v>123</v>
      </c>
      <c r="BM86" s="2" t="s">
        <v>123</v>
      </c>
      <c r="BN86" s="2" t="s">
        <v>124</v>
      </c>
      <c r="BO86" s="2" t="s">
        <v>125</v>
      </c>
      <c r="BP86" s="2" t="s">
        <v>242</v>
      </c>
      <c r="BQ86" s="2" t="s">
        <v>124</v>
      </c>
      <c r="BR86" s="2" t="s">
        <v>126</v>
      </c>
      <c r="BS86" s="2" t="s">
        <v>127</v>
      </c>
      <c r="BT86" s="2" t="s">
        <v>207</v>
      </c>
      <c r="BU86" s="2" t="s">
        <v>208</v>
      </c>
      <c r="BV86" s="2" t="s">
        <v>150</v>
      </c>
      <c r="BW86" s="2" t="s">
        <v>151</v>
      </c>
      <c r="BX86" s="2" t="s">
        <v>91</v>
      </c>
      <c r="BY8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86" s="2">
        <f>IF(AND(Cases[[#This Row],[Priority Level]]&gt;=3,Cases[[#This Row],[System Role]]&lt;&gt;"Productive"),1,0)</f>
        <v>0</v>
      </c>
      <c r="CA86" s="2">
        <f>IFERROR(IF(Cases[[#This Row],[Days at Customer]]&gt;MAX(1,Cases[[#This Row],[Days at SAP]]*2),1,0),0)</f>
        <v>1</v>
      </c>
      <c r="CB86" s="2">
        <f>IF(AND(Cases[[#This Row],[Initial Component]]&lt;&gt;"",Cases[[#This Row],[Component]]&lt;&gt;"",Cases[[#This Row],[Initial Component]]&lt;&gt;Cases[[#This Row],[Component]]),1,0)</f>
        <v>0</v>
      </c>
      <c r="CC86" s="2">
        <f>IF(OR(Cases[[#This Row],[Is Reopened]]="X",Cases[[#This Row],[No. of Reopenings]]&gt;0),1,0)</f>
        <v>0</v>
      </c>
      <c r="CD86" s="2">
        <f>IF(Cases[[#This Row],[Confirmation Type]]="Automatic",1,0)</f>
        <v>1</v>
      </c>
      <c r="CE86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87" spans="1:83" x14ac:dyDescent="0.2">
      <c r="A87" s="1" t="s">
        <v>723</v>
      </c>
      <c r="B87" s="2" t="s">
        <v>724</v>
      </c>
      <c r="C87" s="2" t="s">
        <v>323</v>
      </c>
      <c r="D87" s="2" t="s">
        <v>78</v>
      </c>
      <c r="E87" s="3">
        <v>0.15</v>
      </c>
      <c r="F87" s="3">
        <v>19.579999999999998</v>
      </c>
      <c r="G87" s="2" t="s">
        <v>725</v>
      </c>
      <c r="H87" s="2" t="s">
        <v>726</v>
      </c>
      <c r="I87" s="3" t="s">
        <v>114</v>
      </c>
      <c r="J87" s="3">
        <v>48</v>
      </c>
      <c r="K87" s="2" t="s">
        <v>727</v>
      </c>
      <c r="L87" s="4">
        <v>46103</v>
      </c>
      <c r="M87" s="4">
        <v>46099</v>
      </c>
      <c r="N87" s="2" t="s">
        <v>180</v>
      </c>
      <c r="O87" s="2" t="s">
        <v>181</v>
      </c>
      <c r="P87" s="2" t="s">
        <v>260</v>
      </c>
      <c r="Q87" s="2" t="s">
        <v>86</v>
      </c>
      <c r="R87" s="2" t="s">
        <v>326</v>
      </c>
      <c r="S87" s="4">
        <v>46079</v>
      </c>
      <c r="T87" s="2" t="s">
        <v>677</v>
      </c>
      <c r="U87" s="2" t="s">
        <v>181</v>
      </c>
      <c r="V87" s="2" t="s">
        <v>678</v>
      </c>
      <c r="W87" s="2" t="s">
        <v>86</v>
      </c>
      <c r="X87" s="2" t="s">
        <v>117</v>
      </c>
      <c r="Y87" s="3" t="s">
        <v>118</v>
      </c>
      <c r="Z87" s="3">
        <v>19.73</v>
      </c>
      <c r="AA87" s="2" t="s">
        <v>90</v>
      </c>
      <c r="AB87" s="2" t="s">
        <v>326</v>
      </c>
      <c r="AC87" s="2" t="s">
        <v>323</v>
      </c>
      <c r="AD87" t="str" cm="1">
        <f t="array" ref="AD8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87" s="2" t="s">
        <v>91</v>
      </c>
      <c r="AF87" s="2" t="s">
        <v>92</v>
      </c>
      <c r="AG87" s="2" t="s">
        <v>119</v>
      </c>
      <c r="AH87" s="2" t="s">
        <v>120</v>
      </c>
      <c r="AK87" s="2" t="s">
        <v>728</v>
      </c>
      <c r="AN87" s="3">
        <v>1</v>
      </c>
      <c r="AO87" s="3">
        <v>1</v>
      </c>
      <c r="AP87" s="3">
        <v>1</v>
      </c>
      <c r="AQ87" s="3">
        <v>1</v>
      </c>
      <c r="AR87" s="3">
        <v>1</v>
      </c>
      <c r="AS87" s="3">
        <v>0</v>
      </c>
      <c r="AT87" s="3">
        <v>0</v>
      </c>
      <c r="AU87" s="3">
        <v>0</v>
      </c>
      <c r="AV87" s="3">
        <v>0</v>
      </c>
      <c r="AW87" s="3">
        <v>1</v>
      </c>
      <c r="AX87" s="3">
        <v>1</v>
      </c>
      <c r="AY87" s="3">
        <v>0</v>
      </c>
      <c r="AZ87" s="3">
        <v>0</v>
      </c>
      <c r="BA87" s="3">
        <v>1</v>
      </c>
      <c r="BB87" s="3">
        <v>0</v>
      </c>
      <c r="BC87" s="3">
        <v>0</v>
      </c>
      <c r="BD87" s="3">
        <v>0</v>
      </c>
      <c r="BE87" s="3">
        <v>0</v>
      </c>
      <c r="BG87" s="2" t="s">
        <v>91</v>
      </c>
      <c r="BH87" s="3">
        <v>3</v>
      </c>
      <c r="BJ87" s="2" t="s">
        <v>96</v>
      </c>
      <c r="BL87" s="2" t="s">
        <v>123</v>
      </c>
      <c r="BM87" s="2" t="s">
        <v>123</v>
      </c>
      <c r="BN87" s="2" t="s">
        <v>124</v>
      </c>
      <c r="BO87" s="2" t="s">
        <v>125</v>
      </c>
      <c r="BP87" s="2" t="s">
        <v>101</v>
      </c>
      <c r="BQ87" s="2" t="s">
        <v>124</v>
      </c>
      <c r="BR87" s="2" t="s">
        <v>126</v>
      </c>
      <c r="BS87" s="2" t="s">
        <v>127</v>
      </c>
      <c r="BT87" s="2" t="s">
        <v>199</v>
      </c>
      <c r="BU87" s="2" t="s">
        <v>200</v>
      </c>
      <c r="BV87" s="2" t="s">
        <v>166</v>
      </c>
      <c r="BW87" s="2" t="s">
        <v>167</v>
      </c>
      <c r="BX87" s="2" t="s">
        <v>91</v>
      </c>
      <c r="BY8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87" s="2">
        <f>IF(AND(Cases[[#This Row],[Priority Level]]&gt;=3,Cases[[#This Row],[System Role]]&lt;&gt;"Productive"),1,0)</f>
        <v>1</v>
      </c>
      <c r="CA87" s="2">
        <f>IFERROR(IF(Cases[[#This Row],[Days at Customer]]&gt;MAX(1,Cases[[#This Row],[Days at SAP]]*2),1,0),0)</f>
        <v>1</v>
      </c>
      <c r="CB87" s="2">
        <f>IF(AND(Cases[[#This Row],[Initial Component]]&lt;&gt;"",Cases[[#This Row],[Component]]&lt;&gt;"",Cases[[#This Row],[Initial Component]]&lt;&gt;Cases[[#This Row],[Component]]),1,0)</f>
        <v>0</v>
      </c>
      <c r="CC87" s="2">
        <f>IF(OR(Cases[[#This Row],[Is Reopened]]="X",Cases[[#This Row],[No. of Reopenings]]&gt;0),1,0)</f>
        <v>0</v>
      </c>
      <c r="CD87" s="2">
        <f>IF(Cases[[#This Row],[Confirmation Type]]="Automatic",1,0)</f>
        <v>0</v>
      </c>
      <c r="CE8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88" spans="1:83" x14ac:dyDescent="0.2">
      <c r="A88" s="1" t="s">
        <v>729</v>
      </c>
      <c r="B88" s="2" t="s">
        <v>730</v>
      </c>
      <c r="C88" s="2" t="s">
        <v>731</v>
      </c>
      <c r="D88" s="2" t="s">
        <v>238</v>
      </c>
      <c r="E88" s="3">
        <v>1.05</v>
      </c>
      <c r="F88" s="3">
        <v>24.52</v>
      </c>
      <c r="G88" s="2" t="s">
        <v>79</v>
      </c>
      <c r="H88" s="2" t="s">
        <v>732</v>
      </c>
      <c r="I88" s="3" t="s">
        <v>114</v>
      </c>
      <c r="J88" s="3">
        <v>48</v>
      </c>
      <c r="K88" s="2" t="s">
        <v>733</v>
      </c>
      <c r="L88" s="4">
        <v>46110</v>
      </c>
      <c r="M88" s="4">
        <v>46105</v>
      </c>
      <c r="N88" s="2" t="s">
        <v>180</v>
      </c>
      <c r="O88" s="2" t="s">
        <v>181</v>
      </c>
      <c r="P88" s="2" t="s">
        <v>195</v>
      </c>
      <c r="Q88" s="2" t="s">
        <v>86</v>
      </c>
      <c r="R88" s="2" t="s">
        <v>734</v>
      </c>
      <c r="S88" s="4">
        <v>46079</v>
      </c>
      <c r="T88" s="2" t="s">
        <v>677</v>
      </c>
      <c r="U88" s="2" t="s">
        <v>181</v>
      </c>
      <c r="V88" s="2" t="s">
        <v>678</v>
      </c>
      <c r="W88" s="2" t="s">
        <v>86</v>
      </c>
      <c r="X88" s="2" t="s">
        <v>117</v>
      </c>
      <c r="Y88" s="3" t="s">
        <v>118</v>
      </c>
      <c r="Z88" s="3">
        <v>25.57</v>
      </c>
      <c r="AA88" s="2" t="s">
        <v>90</v>
      </c>
      <c r="AB88" s="2" t="s">
        <v>734</v>
      </c>
      <c r="AC88" s="2" t="s">
        <v>731</v>
      </c>
      <c r="AD88" t="str" cm="1">
        <f t="array" ref="AD8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88" s="2" t="s">
        <v>91</v>
      </c>
      <c r="AF88" s="2" t="s">
        <v>92</v>
      </c>
      <c r="AG88" s="2" t="s">
        <v>119</v>
      </c>
      <c r="AH88" s="2" t="s">
        <v>120</v>
      </c>
      <c r="AK88" s="2" t="s">
        <v>735</v>
      </c>
      <c r="AN88" s="3">
        <v>1</v>
      </c>
      <c r="AO88" s="3">
        <v>1</v>
      </c>
      <c r="AP88" s="3">
        <v>1</v>
      </c>
      <c r="AQ88" s="3">
        <v>1</v>
      </c>
      <c r="AR88" s="3">
        <v>1</v>
      </c>
      <c r="AS88" s="3">
        <v>0</v>
      </c>
      <c r="AT88" s="3">
        <v>0</v>
      </c>
      <c r="AU88" s="3">
        <v>0</v>
      </c>
      <c r="AV88" s="3">
        <v>1</v>
      </c>
      <c r="AW88" s="3">
        <v>0</v>
      </c>
      <c r="AX88" s="3">
        <v>1</v>
      </c>
      <c r="AY88" s="3">
        <v>0</v>
      </c>
      <c r="AZ88" s="3">
        <v>0</v>
      </c>
      <c r="BA88" s="3">
        <v>0</v>
      </c>
      <c r="BB88" s="3">
        <v>0</v>
      </c>
      <c r="BC88" s="3">
        <v>1</v>
      </c>
      <c r="BD88" s="3">
        <v>0</v>
      </c>
      <c r="BE88" s="3">
        <v>0</v>
      </c>
      <c r="BG88" s="2" t="s">
        <v>91</v>
      </c>
      <c r="BH88" s="3">
        <v>3</v>
      </c>
      <c r="BJ88" s="2" t="s">
        <v>96</v>
      </c>
      <c r="BL88" s="2" t="s">
        <v>123</v>
      </c>
      <c r="BM88" s="2" t="s">
        <v>123</v>
      </c>
      <c r="BN88" s="2" t="s">
        <v>124</v>
      </c>
      <c r="BO88" s="2" t="s">
        <v>125</v>
      </c>
      <c r="BP88" s="2" t="s">
        <v>242</v>
      </c>
      <c r="BQ88" s="2" t="s">
        <v>124</v>
      </c>
      <c r="BR88" s="2" t="s">
        <v>126</v>
      </c>
      <c r="BS88" s="2" t="s">
        <v>127</v>
      </c>
      <c r="BT88" s="2" t="s">
        <v>207</v>
      </c>
      <c r="BU88" s="2" t="s">
        <v>208</v>
      </c>
      <c r="BV88" s="2" t="s">
        <v>150</v>
      </c>
      <c r="BW88" s="2" t="s">
        <v>151</v>
      </c>
      <c r="BX88" s="2" t="s">
        <v>91</v>
      </c>
      <c r="BY8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88" s="2">
        <f>IF(AND(Cases[[#This Row],[Priority Level]]&gt;=3,Cases[[#This Row],[System Role]]&lt;&gt;"Productive"),1,0)</f>
        <v>0</v>
      </c>
      <c r="CA88" s="2">
        <f>IFERROR(IF(Cases[[#This Row],[Days at Customer]]&gt;MAX(1,Cases[[#This Row],[Days at SAP]]*2),1,0),0)</f>
        <v>1</v>
      </c>
      <c r="CB88" s="2">
        <f>IF(AND(Cases[[#This Row],[Initial Component]]&lt;&gt;"",Cases[[#This Row],[Component]]&lt;&gt;"",Cases[[#This Row],[Initial Component]]&lt;&gt;Cases[[#This Row],[Component]]),1,0)</f>
        <v>0</v>
      </c>
      <c r="CC88" s="2">
        <f>IF(OR(Cases[[#This Row],[Is Reopened]]="X",Cases[[#This Row],[No. of Reopenings]]&gt;0),1,0)</f>
        <v>0</v>
      </c>
      <c r="CD88" s="2">
        <f>IF(Cases[[#This Row],[Confirmation Type]]="Automatic",1,0)</f>
        <v>1</v>
      </c>
      <c r="CE8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89" spans="1:83" x14ac:dyDescent="0.2">
      <c r="A89" s="1" t="s">
        <v>736</v>
      </c>
      <c r="B89" s="2" t="s">
        <v>737</v>
      </c>
      <c r="C89" s="2" t="s">
        <v>289</v>
      </c>
      <c r="D89" s="2" t="s">
        <v>238</v>
      </c>
      <c r="E89" s="3">
        <v>0.54</v>
      </c>
      <c r="F89" s="3">
        <v>21.78</v>
      </c>
      <c r="G89" s="2" t="s">
        <v>79</v>
      </c>
      <c r="H89" s="2" t="s">
        <v>80</v>
      </c>
      <c r="I89" s="3" t="s">
        <v>114</v>
      </c>
      <c r="J89" s="3">
        <v>48</v>
      </c>
      <c r="K89" s="2" t="s">
        <v>738</v>
      </c>
      <c r="L89" s="4">
        <v>46103</v>
      </c>
      <c r="M89" s="4">
        <v>46102</v>
      </c>
      <c r="N89" s="2" t="s">
        <v>180</v>
      </c>
      <c r="O89" s="2" t="s">
        <v>181</v>
      </c>
      <c r="P89" s="2" t="s">
        <v>260</v>
      </c>
      <c r="Q89" s="2" t="s">
        <v>86</v>
      </c>
      <c r="R89" s="2" t="s">
        <v>292</v>
      </c>
      <c r="S89" s="4">
        <v>46079</v>
      </c>
      <c r="T89" s="2" t="s">
        <v>677</v>
      </c>
      <c r="U89" s="2" t="s">
        <v>181</v>
      </c>
      <c r="V89" s="2" t="s">
        <v>678</v>
      </c>
      <c r="W89" s="2" t="s">
        <v>86</v>
      </c>
      <c r="X89" s="2" t="s">
        <v>117</v>
      </c>
      <c r="Y89" s="3" t="s">
        <v>118</v>
      </c>
      <c r="Z89" s="3">
        <v>22.32</v>
      </c>
      <c r="AA89" s="2" t="s">
        <v>90</v>
      </c>
      <c r="AB89" s="2" t="s">
        <v>292</v>
      </c>
      <c r="AC89" s="2" t="s">
        <v>289</v>
      </c>
      <c r="AD89" t="str" cm="1">
        <f t="array" ref="AD8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89" s="2" t="s">
        <v>91</v>
      </c>
      <c r="AF89" s="2" t="s">
        <v>92</v>
      </c>
      <c r="AG89" s="2" t="s">
        <v>119</v>
      </c>
      <c r="AH89" s="2" t="s">
        <v>120</v>
      </c>
      <c r="AK89" s="2" t="s">
        <v>739</v>
      </c>
      <c r="AN89" s="3">
        <v>1</v>
      </c>
      <c r="AO89" s="3">
        <v>1</v>
      </c>
      <c r="AP89" s="3">
        <v>1</v>
      </c>
      <c r="AQ89" s="3">
        <v>1</v>
      </c>
      <c r="AR89" s="3">
        <v>1</v>
      </c>
      <c r="AS89" s="3">
        <v>0</v>
      </c>
      <c r="AT89" s="3">
        <v>0</v>
      </c>
      <c r="AU89" s="3">
        <v>0</v>
      </c>
      <c r="AV89" s="3">
        <v>1</v>
      </c>
      <c r="AW89" s="3">
        <v>0</v>
      </c>
      <c r="AX89" s="3">
        <v>1</v>
      </c>
      <c r="AY89" s="3">
        <v>0</v>
      </c>
      <c r="AZ89" s="3">
        <v>0</v>
      </c>
      <c r="BA89" s="3">
        <v>0</v>
      </c>
      <c r="BB89" s="3">
        <v>0</v>
      </c>
      <c r="BC89" s="3">
        <v>1</v>
      </c>
      <c r="BD89" s="3">
        <v>0</v>
      </c>
      <c r="BE89" s="3">
        <v>0</v>
      </c>
      <c r="BG89" s="2" t="s">
        <v>91</v>
      </c>
      <c r="BH89" s="3">
        <v>3</v>
      </c>
      <c r="BJ89" s="2" t="s">
        <v>96</v>
      </c>
      <c r="BL89" s="2" t="s">
        <v>123</v>
      </c>
      <c r="BM89" s="2" t="s">
        <v>123</v>
      </c>
      <c r="BN89" s="2" t="s">
        <v>124</v>
      </c>
      <c r="BO89" s="2" t="s">
        <v>125</v>
      </c>
      <c r="BP89" s="2" t="s">
        <v>242</v>
      </c>
      <c r="BQ89" s="2" t="s">
        <v>124</v>
      </c>
      <c r="BR89" s="2" t="s">
        <v>126</v>
      </c>
      <c r="BS89" s="2" t="s">
        <v>127</v>
      </c>
      <c r="BT89" s="2" t="s">
        <v>207</v>
      </c>
      <c r="BU89" s="2" t="s">
        <v>208</v>
      </c>
      <c r="BV89" s="2" t="s">
        <v>150</v>
      </c>
      <c r="BW89" s="2" t="s">
        <v>151</v>
      </c>
      <c r="BX89" s="2" t="s">
        <v>91</v>
      </c>
      <c r="BY8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89" s="2">
        <f>IF(AND(Cases[[#This Row],[Priority Level]]&gt;=3,Cases[[#This Row],[System Role]]&lt;&gt;"Productive"),1,0)</f>
        <v>0</v>
      </c>
      <c r="CA89" s="2">
        <f>IFERROR(IF(Cases[[#This Row],[Days at Customer]]&gt;MAX(1,Cases[[#This Row],[Days at SAP]]*2),1,0),0)</f>
        <v>1</v>
      </c>
      <c r="CB89" s="2">
        <f>IF(AND(Cases[[#This Row],[Initial Component]]&lt;&gt;"",Cases[[#This Row],[Component]]&lt;&gt;"",Cases[[#This Row],[Initial Component]]&lt;&gt;Cases[[#This Row],[Component]]),1,0)</f>
        <v>0</v>
      </c>
      <c r="CC89" s="2">
        <f>IF(OR(Cases[[#This Row],[Is Reopened]]="X",Cases[[#This Row],[No. of Reopenings]]&gt;0),1,0)</f>
        <v>0</v>
      </c>
      <c r="CD89" s="2">
        <f>IF(Cases[[#This Row],[Confirmation Type]]="Automatic",1,0)</f>
        <v>1</v>
      </c>
      <c r="CE89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90" spans="1:83" x14ac:dyDescent="0.2">
      <c r="A90" s="1" t="s">
        <v>740</v>
      </c>
      <c r="B90" s="2" t="s">
        <v>741</v>
      </c>
      <c r="C90" s="2" t="s">
        <v>231</v>
      </c>
      <c r="D90" s="2" t="s">
        <v>238</v>
      </c>
      <c r="E90" s="3">
        <v>0.17</v>
      </c>
      <c r="F90" s="3">
        <v>21.13</v>
      </c>
      <c r="G90" s="2" t="s">
        <v>79</v>
      </c>
      <c r="H90" s="2" t="s">
        <v>155</v>
      </c>
      <c r="I90" s="3" t="s">
        <v>114</v>
      </c>
      <c r="J90" s="3">
        <v>48</v>
      </c>
      <c r="K90" s="2" t="s">
        <v>742</v>
      </c>
      <c r="L90" s="4">
        <v>46103</v>
      </c>
      <c r="M90" s="4">
        <v>46101</v>
      </c>
      <c r="N90" s="2" t="s">
        <v>180</v>
      </c>
      <c r="O90" s="2" t="s">
        <v>181</v>
      </c>
      <c r="P90" s="2" t="s">
        <v>260</v>
      </c>
      <c r="Q90" s="2" t="s">
        <v>86</v>
      </c>
      <c r="R90" s="2" t="s">
        <v>233</v>
      </c>
      <c r="S90" s="4">
        <v>46079</v>
      </c>
      <c r="T90" s="2" t="s">
        <v>677</v>
      </c>
      <c r="U90" s="2" t="s">
        <v>181</v>
      </c>
      <c r="V90" s="2" t="s">
        <v>678</v>
      </c>
      <c r="W90" s="2" t="s">
        <v>86</v>
      </c>
      <c r="X90" s="2" t="s">
        <v>117</v>
      </c>
      <c r="Y90" s="3" t="s">
        <v>118</v>
      </c>
      <c r="Z90" s="3">
        <v>21.3</v>
      </c>
      <c r="AA90" s="2" t="s">
        <v>90</v>
      </c>
      <c r="AB90" s="2" t="s">
        <v>233</v>
      </c>
      <c r="AC90" s="2" t="s">
        <v>231</v>
      </c>
      <c r="AD90" t="str" cm="1">
        <f t="array" ref="AD9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90" s="2" t="s">
        <v>91</v>
      </c>
      <c r="AF90" s="2" t="s">
        <v>92</v>
      </c>
      <c r="AG90" s="2" t="s">
        <v>119</v>
      </c>
      <c r="AH90" s="2" t="s">
        <v>120</v>
      </c>
      <c r="AK90" s="2" t="s">
        <v>743</v>
      </c>
      <c r="AN90" s="3">
        <v>1</v>
      </c>
      <c r="AO90" s="3">
        <v>1</v>
      </c>
      <c r="AP90" s="3">
        <v>1</v>
      </c>
      <c r="AQ90" s="3">
        <v>1</v>
      </c>
      <c r="AR90" s="3">
        <v>1</v>
      </c>
      <c r="AS90" s="3">
        <v>0</v>
      </c>
      <c r="AT90" s="3">
        <v>0</v>
      </c>
      <c r="AU90" s="3">
        <v>0</v>
      </c>
      <c r="AV90" s="3">
        <v>1</v>
      </c>
      <c r="AW90" s="3">
        <v>0</v>
      </c>
      <c r="AX90" s="3">
        <v>1</v>
      </c>
      <c r="AY90" s="3">
        <v>0</v>
      </c>
      <c r="AZ90" s="3">
        <v>0</v>
      </c>
      <c r="BA90" s="3">
        <v>0</v>
      </c>
      <c r="BB90" s="3">
        <v>0</v>
      </c>
      <c r="BC90" s="3">
        <v>1</v>
      </c>
      <c r="BD90" s="3">
        <v>0</v>
      </c>
      <c r="BE90" s="3">
        <v>0</v>
      </c>
      <c r="BG90" s="2" t="s">
        <v>91</v>
      </c>
      <c r="BH90" s="3">
        <v>3</v>
      </c>
      <c r="BJ90" s="2" t="s">
        <v>96</v>
      </c>
      <c r="BL90" s="2" t="s">
        <v>123</v>
      </c>
      <c r="BM90" s="2" t="s">
        <v>123</v>
      </c>
      <c r="BN90" s="2" t="s">
        <v>124</v>
      </c>
      <c r="BO90" s="2" t="s">
        <v>125</v>
      </c>
      <c r="BP90" s="2" t="s">
        <v>242</v>
      </c>
      <c r="BQ90" s="2" t="s">
        <v>124</v>
      </c>
      <c r="BR90" s="2" t="s">
        <v>126</v>
      </c>
      <c r="BS90" s="2" t="s">
        <v>127</v>
      </c>
      <c r="BT90" s="2" t="s">
        <v>207</v>
      </c>
      <c r="BU90" s="2" t="s">
        <v>208</v>
      </c>
      <c r="BV90" s="2" t="s">
        <v>150</v>
      </c>
      <c r="BW90" s="2" t="s">
        <v>151</v>
      </c>
      <c r="BX90" s="2" t="s">
        <v>91</v>
      </c>
      <c r="BY9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90" s="2">
        <f>IF(AND(Cases[[#This Row],[Priority Level]]&gt;=3,Cases[[#This Row],[System Role]]&lt;&gt;"Productive"),1,0)</f>
        <v>0</v>
      </c>
      <c r="CA90" s="2">
        <f>IFERROR(IF(Cases[[#This Row],[Days at Customer]]&gt;MAX(1,Cases[[#This Row],[Days at SAP]]*2),1,0),0)</f>
        <v>1</v>
      </c>
      <c r="CB90" s="2">
        <f>IF(AND(Cases[[#This Row],[Initial Component]]&lt;&gt;"",Cases[[#This Row],[Component]]&lt;&gt;"",Cases[[#This Row],[Initial Component]]&lt;&gt;Cases[[#This Row],[Component]]),1,0)</f>
        <v>0</v>
      </c>
      <c r="CC90" s="2">
        <f>IF(OR(Cases[[#This Row],[Is Reopened]]="X",Cases[[#This Row],[No. of Reopenings]]&gt;0),1,0)</f>
        <v>0</v>
      </c>
      <c r="CD90" s="2">
        <f>IF(Cases[[#This Row],[Confirmation Type]]="Automatic",1,0)</f>
        <v>1</v>
      </c>
      <c r="CE9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91" spans="1:83" x14ac:dyDescent="0.2">
      <c r="A91" s="1" t="s">
        <v>744</v>
      </c>
      <c r="B91" s="2" t="s">
        <v>745</v>
      </c>
      <c r="C91" s="2" t="s">
        <v>746</v>
      </c>
      <c r="D91" s="2" t="s">
        <v>238</v>
      </c>
      <c r="E91" s="3">
        <v>1.19</v>
      </c>
      <c r="F91" s="3">
        <v>25.66</v>
      </c>
      <c r="G91" s="2" t="s">
        <v>79</v>
      </c>
      <c r="H91" s="2" t="s">
        <v>80</v>
      </c>
      <c r="I91" s="3" t="s">
        <v>114</v>
      </c>
      <c r="J91" s="3">
        <v>48</v>
      </c>
      <c r="K91" s="2" t="s">
        <v>747</v>
      </c>
      <c r="L91" s="4">
        <v>46110</v>
      </c>
      <c r="M91" s="4">
        <v>46106</v>
      </c>
      <c r="N91" s="2" t="s">
        <v>180</v>
      </c>
      <c r="O91" s="2" t="s">
        <v>181</v>
      </c>
      <c r="P91" s="2" t="s">
        <v>195</v>
      </c>
      <c r="Q91" s="2" t="s">
        <v>86</v>
      </c>
      <c r="R91" s="2" t="s">
        <v>748</v>
      </c>
      <c r="S91" s="4">
        <v>46079</v>
      </c>
      <c r="T91" s="2" t="s">
        <v>677</v>
      </c>
      <c r="U91" s="2" t="s">
        <v>181</v>
      </c>
      <c r="V91" s="2" t="s">
        <v>678</v>
      </c>
      <c r="W91" s="2" t="s">
        <v>86</v>
      </c>
      <c r="X91" s="2" t="s">
        <v>117</v>
      </c>
      <c r="Y91" s="3" t="s">
        <v>118</v>
      </c>
      <c r="Z91" s="3">
        <v>26.85</v>
      </c>
      <c r="AA91" s="2" t="s">
        <v>90</v>
      </c>
      <c r="AB91" s="2" t="s">
        <v>748</v>
      </c>
      <c r="AC91" s="2" t="s">
        <v>746</v>
      </c>
      <c r="AD91" t="str" cm="1">
        <f t="array" ref="AD9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91" s="2" t="s">
        <v>139</v>
      </c>
      <c r="AF91" s="2" t="s">
        <v>92</v>
      </c>
      <c r="AG91" s="2" t="s">
        <v>159</v>
      </c>
      <c r="AH91" s="2" t="s">
        <v>160</v>
      </c>
      <c r="AK91" s="2" t="s">
        <v>749</v>
      </c>
      <c r="AN91" s="3">
        <v>1</v>
      </c>
      <c r="AO91" s="3">
        <v>1</v>
      </c>
      <c r="AP91" s="3">
        <v>1</v>
      </c>
      <c r="AQ91" s="3">
        <v>1</v>
      </c>
      <c r="AR91" s="3">
        <v>0</v>
      </c>
      <c r="AS91" s="3">
        <v>0</v>
      </c>
      <c r="AT91" s="3">
        <v>1</v>
      </c>
      <c r="AU91" s="3">
        <v>0</v>
      </c>
      <c r="AV91" s="3">
        <v>1</v>
      </c>
      <c r="AW91" s="3">
        <v>0</v>
      </c>
      <c r="AX91" s="3">
        <v>0</v>
      </c>
      <c r="AY91" s="3">
        <v>0</v>
      </c>
      <c r="AZ91" s="3">
        <v>1</v>
      </c>
      <c r="BA91" s="3">
        <v>1</v>
      </c>
      <c r="BB91" s="3">
        <v>0</v>
      </c>
      <c r="BC91" s="3">
        <v>0</v>
      </c>
      <c r="BD91" s="3">
        <v>0</v>
      </c>
      <c r="BE91" s="3">
        <v>0</v>
      </c>
      <c r="BG91" s="2" t="s">
        <v>139</v>
      </c>
      <c r="BH91" s="3">
        <v>2</v>
      </c>
      <c r="BJ91" s="2" t="s">
        <v>96</v>
      </c>
      <c r="BL91" s="2" t="s">
        <v>162</v>
      </c>
      <c r="BM91" s="2" t="s">
        <v>163</v>
      </c>
      <c r="BN91" s="2" t="s">
        <v>99</v>
      </c>
      <c r="BO91" s="2" t="s">
        <v>100</v>
      </c>
      <c r="BP91" s="2" t="s">
        <v>242</v>
      </c>
      <c r="BQ91" s="2" t="s">
        <v>102</v>
      </c>
      <c r="BR91" s="2" t="s">
        <v>103</v>
      </c>
      <c r="BS91" s="2" t="s">
        <v>127</v>
      </c>
      <c r="BT91" s="2" t="s">
        <v>750</v>
      </c>
      <c r="BU91" s="2" t="s">
        <v>751</v>
      </c>
      <c r="BV91" s="2" t="s">
        <v>107</v>
      </c>
      <c r="BW91" s="2" t="s">
        <v>108</v>
      </c>
      <c r="BX91" s="2" t="s">
        <v>139</v>
      </c>
      <c r="BY9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91" s="2">
        <f>IF(AND(Cases[[#This Row],[Priority Level]]&gt;=3,Cases[[#This Row],[System Role]]&lt;&gt;"Productive"),1,0)</f>
        <v>0</v>
      </c>
      <c r="CA91" s="2">
        <f>IFERROR(IF(Cases[[#This Row],[Days at Customer]]&gt;MAX(1,Cases[[#This Row],[Days at SAP]]*2),1,0),0)</f>
        <v>1</v>
      </c>
      <c r="CB91" s="2">
        <f>IF(AND(Cases[[#This Row],[Initial Component]]&lt;&gt;"",Cases[[#This Row],[Component]]&lt;&gt;"",Cases[[#This Row],[Initial Component]]&lt;&gt;Cases[[#This Row],[Component]]),1,0)</f>
        <v>0</v>
      </c>
      <c r="CC91" s="2">
        <f>IF(OR(Cases[[#This Row],[Is Reopened]]="X",Cases[[#This Row],[No. of Reopenings]]&gt;0),1,0)</f>
        <v>0</v>
      </c>
      <c r="CD91" s="2">
        <f>IF(Cases[[#This Row],[Confirmation Type]]="Automatic",1,0)</f>
        <v>1</v>
      </c>
      <c r="CE91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92" spans="1:83" x14ac:dyDescent="0.2">
      <c r="A92" s="1" t="s">
        <v>752</v>
      </c>
      <c r="B92" s="2" t="s">
        <v>753</v>
      </c>
      <c r="C92" s="2" t="s">
        <v>231</v>
      </c>
      <c r="D92" s="2" t="s">
        <v>238</v>
      </c>
      <c r="E92" s="3">
        <v>7.81</v>
      </c>
      <c r="F92" s="3">
        <v>34.700000000000003</v>
      </c>
      <c r="G92" s="2" t="s">
        <v>79</v>
      </c>
      <c r="H92" s="2" t="s">
        <v>178</v>
      </c>
      <c r="I92" s="3" t="s">
        <v>114</v>
      </c>
      <c r="J92" s="3">
        <v>48</v>
      </c>
      <c r="K92" s="2" t="s">
        <v>754</v>
      </c>
      <c r="L92" s="4">
        <v>46124</v>
      </c>
      <c r="M92" s="4">
        <v>46122</v>
      </c>
      <c r="N92" s="2" t="s">
        <v>83</v>
      </c>
      <c r="O92" s="2" t="s">
        <v>84</v>
      </c>
      <c r="P92" s="2" t="s">
        <v>85</v>
      </c>
      <c r="Q92" s="2" t="s">
        <v>86</v>
      </c>
      <c r="R92" s="2" t="s">
        <v>233</v>
      </c>
      <c r="S92" s="4">
        <v>46079</v>
      </c>
      <c r="T92" s="2" t="s">
        <v>677</v>
      </c>
      <c r="U92" s="2" t="s">
        <v>181</v>
      </c>
      <c r="V92" s="2" t="s">
        <v>678</v>
      </c>
      <c r="W92" s="2" t="s">
        <v>86</v>
      </c>
      <c r="X92" s="2" t="s">
        <v>117</v>
      </c>
      <c r="Y92" s="3" t="s">
        <v>118</v>
      </c>
      <c r="Z92" s="3">
        <v>42.51</v>
      </c>
      <c r="AA92" s="2" t="s">
        <v>90</v>
      </c>
      <c r="AB92" s="2" t="s">
        <v>233</v>
      </c>
      <c r="AC92" s="2" t="s">
        <v>231</v>
      </c>
      <c r="AD92" t="str" cm="1">
        <f t="array" ref="AD9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92" s="2" t="s">
        <v>91</v>
      </c>
      <c r="AF92" s="2" t="s">
        <v>92</v>
      </c>
      <c r="AG92" s="2" t="s">
        <v>119</v>
      </c>
      <c r="AH92" s="2" t="s">
        <v>120</v>
      </c>
      <c r="AK92" s="2" t="s">
        <v>755</v>
      </c>
      <c r="AN92" s="3">
        <v>1</v>
      </c>
      <c r="AO92" s="3">
        <v>1</v>
      </c>
      <c r="AP92" s="3">
        <v>1</v>
      </c>
      <c r="AQ92" s="3">
        <v>1</v>
      </c>
      <c r="AR92" s="3">
        <v>1</v>
      </c>
      <c r="AS92" s="3">
        <v>0</v>
      </c>
      <c r="AT92" s="3">
        <v>0</v>
      </c>
      <c r="AU92" s="3">
        <v>0</v>
      </c>
      <c r="AV92" s="3">
        <v>1</v>
      </c>
      <c r="AW92" s="3">
        <v>0</v>
      </c>
      <c r="AX92" s="3">
        <v>1</v>
      </c>
      <c r="AY92" s="3">
        <v>0</v>
      </c>
      <c r="AZ92" s="3">
        <v>0</v>
      </c>
      <c r="BA92" s="3">
        <v>0</v>
      </c>
      <c r="BB92" s="3">
        <v>0</v>
      </c>
      <c r="BC92" s="3">
        <v>1</v>
      </c>
      <c r="BD92" s="3">
        <v>0</v>
      </c>
      <c r="BE92" s="3">
        <v>0</v>
      </c>
      <c r="BG92" s="2" t="s">
        <v>91</v>
      </c>
      <c r="BH92" s="3">
        <v>3</v>
      </c>
      <c r="BJ92" s="2" t="s">
        <v>96</v>
      </c>
      <c r="BL92" s="2" t="s">
        <v>123</v>
      </c>
      <c r="BM92" s="2" t="s">
        <v>123</v>
      </c>
      <c r="BN92" s="2" t="s">
        <v>124</v>
      </c>
      <c r="BO92" s="2" t="s">
        <v>125</v>
      </c>
      <c r="BP92" s="2" t="s">
        <v>242</v>
      </c>
      <c r="BQ92" s="2" t="s">
        <v>124</v>
      </c>
      <c r="BR92" s="2" t="s">
        <v>126</v>
      </c>
      <c r="BS92" s="2" t="s">
        <v>127</v>
      </c>
      <c r="BT92" s="2" t="s">
        <v>174</v>
      </c>
      <c r="BU92" s="2" t="s">
        <v>175</v>
      </c>
      <c r="BV92" s="2" t="s">
        <v>150</v>
      </c>
      <c r="BW92" s="2" t="s">
        <v>151</v>
      </c>
      <c r="BX92" s="2" t="s">
        <v>91</v>
      </c>
      <c r="BY9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92" s="2">
        <f>IF(AND(Cases[[#This Row],[Priority Level]]&gt;=3,Cases[[#This Row],[System Role]]&lt;&gt;"Productive"),1,0)</f>
        <v>0</v>
      </c>
      <c r="CA92" s="2">
        <f>IFERROR(IF(Cases[[#This Row],[Days at Customer]]&gt;MAX(1,Cases[[#This Row],[Days at SAP]]*2),1,0),0)</f>
        <v>1</v>
      </c>
      <c r="CB92" s="2">
        <f>IF(AND(Cases[[#This Row],[Initial Component]]&lt;&gt;"",Cases[[#This Row],[Component]]&lt;&gt;"",Cases[[#This Row],[Initial Component]]&lt;&gt;Cases[[#This Row],[Component]]),1,0)</f>
        <v>0</v>
      </c>
      <c r="CC92" s="2">
        <f>IF(OR(Cases[[#This Row],[Is Reopened]]="X",Cases[[#This Row],[No. of Reopenings]]&gt;0),1,0)</f>
        <v>0</v>
      </c>
      <c r="CD92" s="2">
        <f>IF(Cases[[#This Row],[Confirmation Type]]="Automatic",1,0)</f>
        <v>1</v>
      </c>
      <c r="CE92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93" spans="1:83" x14ac:dyDescent="0.2">
      <c r="A93" s="1" t="s">
        <v>756</v>
      </c>
      <c r="B93" s="2" t="s">
        <v>757</v>
      </c>
      <c r="C93" s="2" t="s">
        <v>758</v>
      </c>
      <c r="D93" s="2" t="s">
        <v>78</v>
      </c>
      <c r="E93" s="3">
        <v>2.14</v>
      </c>
      <c r="F93" s="3">
        <v>8.6</v>
      </c>
      <c r="G93" s="2" t="s">
        <v>79</v>
      </c>
      <c r="H93" s="2" t="s">
        <v>290</v>
      </c>
      <c r="I93" s="3" t="s">
        <v>114</v>
      </c>
      <c r="J93" s="3">
        <v>48</v>
      </c>
      <c r="K93" s="2" t="s">
        <v>759</v>
      </c>
      <c r="L93" s="4">
        <v>46096</v>
      </c>
      <c r="M93" s="4">
        <v>46090</v>
      </c>
      <c r="N93" s="2" t="s">
        <v>180</v>
      </c>
      <c r="O93" s="2" t="s">
        <v>181</v>
      </c>
      <c r="P93" s="2" t="s">
        <v>350</v>
      </c>
      <c r="Q93" s="2" t="s">
        <v>86</v>
      </c>
      <c r="R93" s="2" t="s">
        <v>760</v>
      </c>
      <c r="S93" s="4">
        <v>46079</v>
      </c>
      <c r="T93" s="2" t="s">
        <v>677</v>
      </c>
      <c r="U93" s="2" t="s">
        <v>181</v>
      </c>
      <c r="V93" s="2" t="s">
        <v>678</v>
      </c>
      <c r="W93" s="2" t="s">
        <v>86</v>
      </c>
      <c r="X93" s="2" t="s">
        <v>117</v>
      </c>
      <c r="Y93" s="3" t="s">
        <v>118</v>
      </c>
      <c r="Z93" s="3">
        <v>10.73</v>
      </c>
      <c r="AA93" s="2" t="s">
        <v>90</v>
      </c>
      <c r="AB93" s="2" t="s">
        <v>363</v>
      </c>
      <c r="AC93" s="2" t="s">
        <v>364</v>
      </c>
      <c r="AD93" t="str" cm="1">
        <f t="array" ref="AD9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93" s="2" t="s">
        <v>139</v>
      </c>
      <c r="AF93" s="2" t="s">
        <v>92</v>
      </c>
      <c r="AG93" s="2" t="s">
        <v>119</v>
      </c>
      <c r="AH93" s="2" t="s">
        <v>120</v>
      </c>
      <c r="AK93" s="2" t="s">
        <v>761</v>
      </c>
      <c r="AN93" s="3">
        <v>1</v>
      </c>
      <c r="AO93" s="3">
        <v>1</v>
      </c>
      <c r="AP93" s="3">
        <v>1</v>
      </c>
      <c r="AQ93" s="3">
        <v>1</v>
      </c>
      <c r="AR93" s="3">
        <v>0</v>
      </c>
      <c r="AS93" s="3">
        <v>0</v>
      </c>
      <c r="AT93" s="3">
        <v>1</v>
      </c>
      <c r="AU93" s="3">
        <v>0</v>
      </c>
      <c r="AV93" s="3">
        <v>0</v>
      </c>
      <c r="AW93" s="3">
        <v>1</v>
      </c>
      <c r="AX93" s="3">
        <v>0</v>
      </c>
      <c r="AY93" s="3">
        <v>0</v>
      </c>
      <c r="AZ93" s="3">
        <v>1</v>
      </c>
      <c r="BA93" s="3">
        <v>1</v>
      </c>
      <c r="BB93" s="3">
        <v>0</v>
      </c>
      <c r="BC93" s="3">
        <v>0</v>
      </c>
      <c r="BD93" s="3">
        <v>0</v>
      </c>
      <c r="BE93" s="3">
        <v>0</v>
      </c>
      <c r="BG93" s="2" t="s">
        <v>139</v>
      </c>
      <c r="BH93" s="3">
        <v>2</v>
      </c>
      <c r="BJ93" s="2" t="s">
        <v>96</v>
      </c>
      <c r="BL93" s="2" t="s">
        <v>123</v>
      </c>
      <c r="BM93" s="2" t="s">
        <v>123</v>
      </c>
      <c r="BN93" s="2" t="s">
        <v>124</v>
      </c>
      <c r="BO93" s="2" t="s">
        <v>125</v>
      </c>
      <c r="BP93" s="2" t="s">
        <v>101</v>
      </c>
      <c r="BQ93" s="2" t="s">
        <v>124</v>
      </c>
      <c r="BR93" s="2" t="s">
        <v>126</v>
      </c>
      <c r="BS93" s="2" t="s">
        <v>127</v>
      </c>
      <c r="BT93" s="2" t="s">
        <v>199</v>
      </c>
      <c r="BU93" s="2" t="s">
        <v>200</v>
      </c>
      <c r="BV93" s="2" t="s">
        <v>166</v>
      </c>
      <c r="BW93" s="2" t="s">
        <v>167</v>
      </c>
      <c r="BX93" s="2" t="s">
        <v>139</v>
      </c>
      <c r="BY9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93" s="2">
        <f>IF(AND(Cases[[#This Row],[Priority Level]]&gt;=3,Cases[[#This Row],[System Role]]&lt;&gt;"Productive"),1,0)</f>
        <v>0</v>
      </c>
      <c r="CA93" s="2">
        <f>IFERROR(IF(Cases[[#This Row],[Days at Customer]]&gt;MAX(1,Cases[[#This Row],[Days at SAP]]*2),1,0),0)</f>
        <v>1</v>
      </c>
      <c r="CB93" s="2">
        <f>IF(AND(Cases[[#This Row],[Initial Component]]&lt;&gt;"",Cases[[#This Row],[Component]]&lt;&gt;"",Cases[[#This Row],[Initial Component]]&lt;&gt;Cases[[#This Row],[Component]]),1,0)</f>
        <v>1</v>
      </c>
      <c r="CC93" s="2">
        <f>IF(OR(Cases[[#This Row],[Is Reopened]]="X",Cases[[#This Row],[No. of Reopenings]]&gt;0),1,0)</f>
        <v>0</v>
      </c>
      <c r="CD93" s="2">
        <f>IF(Cases[[#This Row],[Confirmation Type]]="Automatic",1,0)</f>
        <v>0</v>
      </c>
      <c r="CE93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94" spans="1:83" x14ac:dyDescent="0.2">
      <c r="A94" s="1" t="s">
        <v>762</v>
      </c>
      <c r="B94" s="2" t="s">
        <v>704</v>
      </c>
      <c r="C94" s="2" t="s">
        <v>705</v>
      </c>
      <c r="D94" s="2" t="s">
        <v>78</v>
      </c>
      <c r="E94" s="3">
        <v>0.71</v>
      </c>
      <c r="F94" s="3">
        <v>0</v>
      </c>
      <c r="G94" s="2" t="s">
        <v>133</v>
      </c>
      <c r="H94" s="2" t="s">
        <v>134</v>
      </c>
      <c r="I94" s="3" t="s">
        <v>114</v>
      </c>
      <c r="J94" s="3">
        <v>48</v>
      </c>
      <c r="K94" s="2" t="s">
        <v>763</v>
      </c>
      <c r="L94" s="4">
        <v>46089</v>
      </c>
      <c r="M94" s="4">
        <v>46080</v>
      </c>
      <c r="N94" s="2" t="s">
        <v>677</v>
      </c>
      <c r="O94" s="2" t="s">
        <v>181</v>
      </c>
      <c r="P94" s="2" t="s">
        <v>678</v>
      </c>
      <c r="Q94" s="2" t="s">
        <v>86</v>
      </c>
      <c r="R94" s="2" t="s">
        <v>707</v>
      </c>
      <c r="S94" s="4">
        <v>46079</v>
      </c>
      <c r="T94" s="2" t="s">
        <v>677</v>
      </c>
      <c r="U94" s="2" t="s">
        <v>181</v>
      </c>
      <c r="V94" s="2" t="s">
        <v>678</v>
      </c>
      <c r="W94" s="2" t="s">
        <v>86</v>
      </c>
      <c r="X94" s="2" t="s">
        <v>117</v>
      </c>
      <c r="Y94" s="3" t="s">
        <v>118</v>
      </c>
      <c r="Z94" s="3">
        <v>0.71</v>
      </c>
      <c r="AA94" s="2" t="s">
        <v>90</v>
      </c>
      <c r="AB94" s="2" t="s">
        <v>707</v>
      </c>
      <c r="AC94" s="2" t="s">
        <v>705</v>
      </c>
      <c r="AD94" t="str" cm="1">
        <f t="array" ref="AD9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94" s="2" t="s">
        <v>158</v>
      </c>
      <c r="AF94" s="2" t="s">
        <v>92</v>
      </c>
      <c r="AG94" s="2" t="s">
        <v>119</v>
      </c>
      <c r="AH94" s="2" t="s">
        <v>120</v>
      </c>
      <c r="AK94" s="2" t="s">
        <v>764</v>
      </c>
      <c r="AN94" s="3">
        <v>1</v>
      </c>
      <c r="AO94" s="3">
        <v>1</v>
      </c>
      <c r="AP94" s="3">
        <v>1</v>
      </c>
      <c r="AQ94" s="3">
        <v>1</v>
      </c>
      <c r="AR94" s="3">
        <v>0</v>
      </c>
      <c r="AS94" s="3">
        <v>1</v>
      </c>
      <c r="AT94" s="3">
        <v>0</v>
      </c>
      <c r="AU94" s="3">
        <v>0</v>
      </c>
      <c r="AV94" s="3">
        <v>0</v>
      </c>
      <c r="AW94" s="3">
        <v>1</v>
      </c>
      <c r="AX94" s="3">
        <v>0</v>
      </c>
      <c r="AY94" s="3">
        <v>1</v>
      </c>
      <c r="AZ94" s="3">
        <v>0</v>
      </c>
      <c r="BA94" s="3">
        <v>0</v>
      </c>
      <c r="BB94" s="3">
        <v>0</v>
      </c>
      <c r="BC94" s="3">
        <v>1</v>
      </c>
      <c r="BD94" s="3">
        <v>0</v>
      </c>
      <c r="BE94" s="3">
        <v>0</v>
      </c>
      <c r="BG94" s="2" t="s">
        <v>158</v>
      </c>
      <c r="BH94" s="3">
        <v>1</v>
      </c>
      <c r="BJ94" s="2" t="s">
        <v>96</v>
      </c>
      <c r="BL94" s="2" t="s">
        <v>123</v>
      </c>
      <c r="BM94" s="2" t="s">
        <v>123</v>
      </c>
      <c r="BN94" s="2" t="s">
        <v>124</v>
      </c>
      <c r="BO94" s="2" t="s">
        <v>125</v>
      </c>
      <c r="BP94" s="2" t="s">
        <v>101</v>
      </c>
      <c r="BQ94" s="2" t="s">
        <v>124</v>
      </c>
      <c r="BR94" s="2" t="s">
        <v>126</v>
      </c>
      <c r="BS94" s="2" t="s">
        <v>127</v>
      </c>
      <c r="BT94" s="2" t="s">
        <v>174</v>
      </c>
      <c r="BU94" s="2" t="s">
        <v>175</v>
      </c>
      <c r="BV94" s="2" t="s">
        <v>150</v>
      </c>
      <c r="BW94" s="2" t="s">
        <v>151</v>
      </c>
      <c r="BX94" s="2" t="s">
        <v>158</v>
      </c>
      <c r="BY9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94" s="2">
        <f>IF(AND(Cases[[#This Row],[Priority Level]]&gt;=3,Cases[[#This Row],[System Role]]&lt;&gt;"Productive"),1,0)</f>
        <v>0</v>
      </c>
      <c r="CA94" s="2">
        <f>IFERROR(IF(Cases[[#This Row],[Days at Customer]]&gt;MAX(1,Cases[[#This Row],[Days at SAP]]*2),1,0),0)</f>
        <v>0</v>
      </c>
      <c r="CB94" s="2">
        <f>IF(AND(Cases[[#This Row],[Initial Component]]&lt;&gt;"",Cases[[#This Row],[Component]]&lt;&gt;"",Cases[[#This Row],[Initial Component]]&lt;&gt;Cases[[#This Row],[Component]]),1,0)</f>
        <v>0</v>
      </c>
      <c r="CC94" s="2">
        <f>IF(OR(Cases[[#This Row],[Is Reopened]]="X",Cases[[#This Row],[No. of Reopenings]]&gt;0),1,0)</f>
        <v>0</v>
      </c>
      <c r="CD94" s="2">
        <f>IF(Cases[[#This Row],[Confirmation Type]]="Automatic",1,0)</f>
        <v>0</v>
      </c>
      <c r="CE94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95" spans="1:83" x14ac:dyDescent="0.2">
      <c r="A95" s="1" t="s">
        <v>765</v>
      </c>
      <c r="B95" s="2" t="s">
        <v>766</v>
      </c>
      <c r="C95" s="2" t="s">
        <v>237</v>
      </c>
      <c r="D95" s="2" t="s">
        <v>238</v>
      </c>
      <c r="E95" s="3">
        <v>7.9</v>
      </c>
      <c r="F95" s="3">
        <v>35.700000000000003</v>
      </c>
      <c r="G95" s="2" t="s">
        <v>79</v>
      </c>
      <c r="H95" s="2" t="s">
        <v>155</v>
      </c>
      <c r="I95" s="3" t="s">
        <v>114</v>
      </c>
      <c r="J95" s="3">
        <v>49</v>
      </c>
      <c r="K95" s="2" t="s">
        <v>767</v>
      </c>
      <c r="L95" s="4">
        <v>46127</v>
      </c>
      <c r="M95" s="4">
        <v>46121</v>
      </c>
      <c r="N95" s="2" t="s">
        <v>83</v>
      </c>
      <c r="O95" s="2" t="s">
        <v>84</v>
      </c>
      <c r="P95" s="2" t="s">
        <v>85</v>
      </c>
      <c r="Q95" s="2" t="s">
        <v>86</v>
      </c>
      <c r="R95" s="2" t="s">
        <v>240</v>
      </c>
      <c r="S95" s="4">
        <v>46078</v>
      </c>
      <c r="T95" s="2" t="s">
        <v>677</v>
      </c>
      <c r="U95" s="2" t="s">
        <v>181</v>
      </c>
      <c r="V95" s="2" t="s">
        <v>678</v>
      </c>
      <c r="W95" s="2" t="s">
        <v>86</v>
      </c>
      <c r="X95" s="2" t="s">
        <v>117</v>
      </c>
      <c r="Y95" s="3" t="s">
        <v>118</v>
      </c>
      <c r="Z95" s="3">
        <v>43.6</v>
      </c>
      <c r="AA95" s="2" t="s">
        <v>90</v>
      </c>
      <c r="AB95" s="2" t="s">
        <v>240</v>
      </c>
      <c r="AC95" s="2" t="s">
        <v>237</v>
      </c>
      <c r="AD95" t="str" cm="1">
        <f t="array" ref="AD9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95" s="2" t="s">
        <v>139</v>
      </c>
      <c r="AF95" s="2" t="s">
        <v>92</v>
      </c>
      <c r="AG95" s="2" t="s">
        <v>119</v>
      </c>
      <c r="AH95" s="2" t="s">
        <v>120</v>
      </c>
      <c r="AK95" s="2" t="s">
        <v>768</v>
      </c>
      <c r="AN95" s="3">
        <v>1</v>
      </c>
      <c r="AO95" s="3">
        <v>1</v>
      </c>
      <c r="AP95" s="3">
        <v>1</v>
      </c>
      <c r="AQ95" s="3">
        <v>1</v>
      </c>
      <c r="AR95" s="3">
        <v>0</v>
      </c>
      <c r="AS95" s="3">
        <v>0</v>
      </c>
      <c r="AT95" s="3">
        <v>1</v>
      </c>
      <c r="AU95" s="3">
        <v>0</v>
      </c>
      <c r="AV95" s="3">
        <v>1</v>
      </c>
      <c r="AW95" s="3">
        <v>0</v>
      </c>
      <c r="AX95" s="3">
        <v>0</v>
      </c>
      <c r="AY95" s="3">
        <v>0</v>
      </c>
      <c r="AZ95" s="3">
        <v>1</v>
      </c>
      <c r="BA95" s="3">
        <v>1</v>
      </c>
      <c r="BB95" s="3">
        <v>0</v>
      </c>
      <c r="BC95" s="3">
        <v>0</v>
      </c>
      <c r="BD95" s="3">
        <v>0</v>
      </c>
      <c r="BE95" s="3">
        <v>0</v>
      </c>
      <c r="BG95" s="2" t="s">
        <v>139</v>
      </c>
      <c r="BH95" s="3">
        <v>2</v>
      </c>
      <c r="BJ95" s="2" t="s">
        <v>96</v>
      </c>
      <c r="BL95" s="2" t="s">
        <v>123</v>
      </c>
      <c r="BM95" s="2" t="s">
        <v>123</v>
      </c>
      <c r="BN95" s="2" t="s">
        <v>124</v>
      </c>
      <c r="BO95" s="2" t="s">
        <v>125</v>
      </c>
      <c r="BP95" s="2" t="s">
        <v>242</v>
      </c>
      <c r="BQ95" s="2" t="s">
        <v>124</v>
      </c>
      <c r="BR95" s="2" t="s">
        <v>126</v>
      </c>
      <c r="BS95" s="2" t="s">
        <v>713</v>
      </c>
      <c r="BT95" s="2" t="s">
        <v>769</v>
      </c>
      <c r="BU95" s="2" t="s">
        <v>770</v>
      </c>
      <c r="BV95" s="2" t="s">
        <v>771</v>
      </c>
      <c r="BW95" s="2" t="s">
        <v>772</v>
      </c>
      <c r="BX95" s="2" t="s">
        <v>139</v>
      </c>
      <c r="BY9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95" s="2">
        <f>IF(AND(Cases[[#This Row],[Priority Level]]&gt;=3,Cases[[#This Row],[System Role]]&lt;&gt;"Productive"),1,0)</f>
        <v>0</v>
      </c>
      <c r="CA95" s="2">
        <f>IFERROR(IF(Cases[[#This Row],[Days at Customer]]&gt;MAX(1,Cases[[#This Row],[Days at SAP]]*2),1,0),0)</f>
        <v>1</v>
      </c>
      <c r="CB95" s="2">
        <f>IF(AND(Cases[[#This Row],[Initial Component]]&lt;&gt;"",Cases[[#This Row],[Component]]&lt;&gt;"",Cases[[#This Row],[Initial Component]]&lt;&gt;Cases[[#This Row],[Component]]),1,0)</f>
        <v>0</v>
      </c>
      <c r="CC95" s="2">
        <f>IF(OR(Cases[[#This Row],[Is Reopened]]="X",Cases[[#This Row],[No. of Reopenings]]&gt;0),1,0)</f>
        <v>0</v>
      </c>
      <c r="CD95" s="2">
        <f>IF(Cases[[#This Row],[Confirmation Type]]="Automatic",1,0)</f>
        <v>1</v>
      </c>
      <c r="CE95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96" spans="1:83" x14ac:dyDescent="0.2">
      <c r="A96" s="1" t="s">
        <v>773</v>
      </c>
      <c r="B96" s="2" t="s">
        <v>774</v>
      </c>
      <c r="C96" s="2" t="s">
        <v>775</v>
      </c>
      <c r="D96" s="2" t="s">
        <v>238</v>
      </c>
      <c r="E96" s="3">
        <v>0.08</v>
      </c>
      <c r="F96" s="3">
        <v>36.909999999999997</v>
      </c>
      <c r="G96" s="2" t="s">
        <v>79</v>
      </c>
      <c r="H96" s="2" t="s">
        <v>80</v>
      </c>
      <c r="I96" s="3" t="s">
        <v>114</v>
      </c>
      <c r="J96" s="3">
        <v>49</v>
      </c>
      <c r="K96" s="2" t="s">
        <v>776</v>
      </c>
      <c r="L96" s="4">
        <v>46126</v>
      </c>
      <c r="M96" s="4">
        <v>46116</v>
      </c>
      <c r="N96" s="2" t="s">
        <v>83</v>
      </c>
      <c r="O96" s="2" t="s">
        <v>84</v>
      </c>
      <c r="P96" s="2" t="s">
        <v>136</v>
      </c>
      <c r="Q96" s="2" t="s">
        <v>86</v>
      </c>
      <c r="R96" s="2" t="s">
        <v>777</v>
      </c>
      <c r="S96" s="4">
        <v>46078</v>
      </c>
      <c r="T96" s="2" t="s">
        <v>677</v>
      </c>
      <c r="U96" s="2" t="s">
        <v>181</v>
      </c>
      <c r="V96" s="2" t="s">
        <v>678</v>
      </c>
      <c r="W96" s="2" t="s">
        <v>86</v>
      </c>
      <c r="X96" s="2" t="s">
        <v>117</v>
      </c>
      <c r="Y96" s="3" t="s">
        <v>118</v>
      </c>
      <c r="Z96" s="3">
        <v>36.99</v>
      </c>
      <c r="AA96" s="2" t="s">
        <v>90</v>
      </c>
      <c r="AB96" s="2" t="s">
        <v>777</v>
      </c>
      <c r="AC96" s="2" t="s">
        <v>775</v>
      </c>
      <c r="AD96" t="str" cm="1">
        <f t="array" ref="AD9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96" s="2" t="s">
        <v>139</v>
      </c>
      <c r="AF96" s="2" t="s">
        <v>92</v>
      </c>
      <c r="AG96" s="2" t="s">
        <v>119</v>
      </c>
      <c r="AH96" s="2" t="s">
        <v>120</v>
      </c>
      <c r="AK96" s="2" t="s">
        <v>778</v>
      </c>
      <c r="AN96" s="3">
        <v>1</v>
      </c>
      <c r="AO96" s="3">
        <v>1</v>
      </c>
      <c r="AP96" s="3">
        <v>1</v>
      </c>
      <c r="AQ96" s="3">
        <v>1</v>
      </c>
      <c r="AR96" s="3">
        <v>0</v>
      </c>
      <c r="AS96" s="3">
        <v>0</v>
      </c>
      <c r="AT96" s="3">
        <v>1</v>
      </c>
      <c r="AU96" s="3">
        <v>0</v>
      </c>
      <c r="AV96" s="3">
        <v>1</v>
      </c>
      <c r="AW96" s="3">
        <v>0</v>
      </c>
      <c r="AX96" s="3">
        <v>0</v>
      </c>
      <c r="AY96" s="3">
        <v>0</v>
      </c>
      <c r="AZ96" s="3">
        <v>1</v>
      </c>
      <c r="BA96" s="3">
        <v>0</v>
      </c>
      <c r="BB96" s="3">
        <v>0</v>
      </c>
      <c r="BC96" s="3">
        <v>1</v>
      </c>
      <c r="BD96" s="3">
        <v>0</v>
      </c>
      <c r="BE96" s="3">
        <v>0</v>
      </c>
      <c r="BG96" s="2" t="s">
        <v>139</v>
      </c>
      <c r="BH96" s="3">
        <v>2</v>
      </c>
      <c r="BJ96" s="2" t="s">
        <v>96</v>
      </c>
      <c r="BL96" s="2" t="s">
        <v>779</v>
      </c>
      <c r="BM96" s="2" t="s">
        <v>780</v>
      </c>
      <c r="BN96" s="2" t="s">
        <v>99</v>
      </c>
      <c r="BO96" s="2" t="s">
        <v>100</v>
      </c>
      <c r="BP96" s="2" t="s">
        <v>242</v>
      </c>
      <c r="BQ96" s="2" t="s">
        <v>102</v>
      </c>
      <c r="BR96" s="2" t="s">
        <v>103</v>
      </c>
      <c r="BS96" s="2" t="s">
        <v>127</v>
      </c>
      <c r="BT96" s="2" t="s">
        <v>781</v>
      </c>
      <c r="BU96" s="2" t="s">
        <v>782</v>
      </c>
      <c r="BV96" s="2" t="s">
        <v>150</v>
      </c>
      <c r="BW96" s="2" t="s">
        <v>151</v>
      </c>
      <c r="BX96" s="2" t="s">
        <v>139</v>
      </c>
      <c r="BY9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96" s="2">
        <f>IF(AND(Cases[[#This Row],[Priority Level]]&gt;=3,Cases[[#This Row],[System Role]]&lt;&gt;"Productive"),1,0)</f>
        <v>0</v>
      </c>
      <c r="CA96" s="2">
        <f>IFERROR(IF(Cases[[#This Row],[Days at Customer]]&gt;MAX(1,Cases[[#This Row],[Days at SAP]]*2),1,0),0)</f>
        <v>1</v>
      </c>
      <c r="CB96" s="2">
        <f>IF(AND(Cases[[#This Row],[Initial Component]]&lt;&gt;"",Cases[[#This Row],[Component]]&lt;&gt;"",Cases[[#This Row],[Initial Component]]&lt;&gt;Cases[[#This Row],[Component]]),1,0)</f>
        <v>0</v>
      </c>
      <c r="CC96" s="2">
        <f>IF(OR(Cases[[#This Row],[Is Reopened]]="X",Cases[[#This Row],[No. of Reopenings]]&gt;0),1,0)</f>
        <v>0</v>
      </c>
      <c r="CD96" s="2">
        <f>IF(Cases[[#This Row],[Confirmation Type]]="Automatic",1,0)</f>
        <v>1</v>
      </c>
      <c r="CE96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97" spans="1:83" x14ac:dyDescent="0.2">
      <c r="A97" s="1" t="s">
        <v>783</v>
      </c>
      <c r="B97" s="2" t="s">
        <v>784</v>
      </c>
      <c r="C97" s="2" t="s">
        <v>785</v>
      </c>
      <c r="D97" s="2" t="s">
        <v>238</v>
      </c>
      <c r="E97" s="3">
        <v>6.59</v>
      </c>
      <c r="F97" s="3">
        <v>35.200000000000003</v>
      </c>
      <c r="G97" s="2" t="s">
        <v>133</v>
      </c>
      <c r="H97" s="2" t="s">
        <v>324</v>
      </c>
      <c r="I97" s="3" t="s">
        <v>114</v>
      </c>
      <c r="J97" s="3">
        <v>49</v>
      </c>
      <c r="K97" s="2" t="s">
        <v>786</v>
      </c>
      <c r="L97" s="4">
        <v>46124</v>
      </c>
      <c r="M97" s="4">
        <v>46120</v>
      </c>
      <c r="N97" s="2" t="s">
        <v>83</v>
      </c>
      <c r="O97" s="2" t="s">
        <v>84</v>
      </c>
      <c r="P97" s="2" t="s">
        <v>85</v>
      </c>
      <c r="Q97" s="2" t="s">
        <v>86</v>
      </c>
      <c r="R97" s="2" t="s">
        <v>787</v>
      </c>
      <c r="S97" s="4">
        <v>46078</v>
      </c>
      <c r="T97" s="2" t="s">
        <v>677</v>
      </c>
      <c r="U97" s="2" t="s">
        <v>181</v>
      </c>
      <c r="V97" s="2" t="s">
        <v>678</v>
      </c>
      <c r="W97" s="2" t="s">
        <v>86</v>
      </c>
      <c r="X97" s="2" t="s">
        <v>117</v>
      </c>
      <c r="Y97" s="3" t="s">
        <v>118</v>
      </c>
      <c r="Z97" s="3">
        <v>41.8</v>
      </c>
      <c r="AA97" s="2" t="s">
        <v>90</v>
      </c>
      <c r="AB97" s="2" t="s">
        <v>788</v>
      </c>
      <c r="AC97" s="2" t="s">
        <v>789</v>
      </c>
      <c r="AD97" t="str" cm="1">
        <f t="array" ref="AD9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97" s="2" t="s">
        <v>139</v>
      </c>
      <c r="AF97" s="2" t="s">
        <v>92</v>
      </c>
      <c r="AG97" s="2" t="s">
        <v>119</v>
      </c>
      <c r="AH97" s="2" t="s">
        <v>120</v>
      </c>
      <c r="AK97" s="2" t="s">
        <v>790</v>
      </c>
      <c r="AN97" s="3">
        <v>1</v>
      </c>
      <c r="AO97" s="3">
        <v>1</v>
      </c>
      <c r="AP97" s="3">
        <v>1</v>
      </c>
      <c r="AQ97" s="3">
        <v>1</v>
      </c>
      <c r="AR97" s="3">
        <v>0</v>
      </c>
      <c r="AS97" s="3">
        <v>0</v>
      </c>
      <c r="AT97" s="3">
        <v>1</v>
      </c>
      <c r="AU97" s="3">
        <v>0</v>
      </c>
      <c r="AV97" s="3">
        <v>1</v>
      </c>
      <c r="AW97" s="3">
        <v>0</v>
      </c>
      <c r="AX97" s="3">
        <v>0</v>
      </c>
      <c r="AY97" s="3">
        <v>0</v>
      </c>
      <c r="AZ97" s="3">
        <v>1</v>
      </c>
      <c r="BA97" s="3">
        <v>0</v>
      </c>
      <c r="BB97" s="3">
        <v>0</v>
      </c>
      <c r="BC97" s="3">
        <v>1</v>
      </c>
      <c r="BD97" s="3">
        <v>0</v>
      </c>
      <c r="BE97" s="3">
        <v>0</v>
      </c>
      <c r="BG97" s="2" t="s">
        <v>139</v>
      </c>
      <c r="BH97" s="3">
        <v>2</v>
      </c>
      <c r="BJ97" s="2" t="s">
        <v>96</v>
      </c>
      <c r="BL97" s="2" t="s">
        <v>123</v>
      </c>
      <c r="BM97" s="2" t="s">
        <v>123</v>
      </c>
      <c r="BN97" s="2" t="s">
        <v>124</v>
      </c>
      <c r="BO97" s="2" t="s">
        <v>125</v>
      </c>
      <c r="BP97" s="2" t="s">
        <v>242</v>
      </c>
      <c r="BQ97" s="2" t="s">
        <v>124</v>
      </c>
      <c r="BR97" s="2" t="s">
        <v>126</v>
      </c>
      <c r="BS97" s="2" t="s">
        <v>127</v>
      </c>
      <c r="BT97" s="2" t="s">
        <v>174</v>
      </c>
      <c r="BU97" s="2" t="s">
        <v>175</v>
      </c>
      <c r="BV97" s="2" t="s">
        <v>150</v>
      </c>
      <c r="BW97" s="2" t="s">
        <v>151</v>
      </c>
      <c r="BX97" s="2" t="s">
        <v>139</v>
      </c>
      <c r="BY9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97" s="2">
        <f>IF(AND(Cases[[#This Row],[Priority Level]]&gt;=3,Cases[[#This Row],[System Role]]&lt;&gt;"Productive"),1,0)</f>
        <v>0</v>
      </c>
      <c r="CA97" s="2">
        <f>IFERROR(IF(Cases[[#This Row],[Days at Customer]]&gt;MAX(1,Cases[[#This Row],[Days at SAP]]*2),1,0),0)</f>
        <v>1</v>
      </c>
      <c r="CB97" s="2">
        <f>IF(AND(Cases[[#This Row],[Initial Component]]&lt;&gt;"",Cases[[#This Row],[Component]]&lt;&gt;"",Cases[[#This Row],[Initial Component]]&lt;&gt;Cases[[#This Row],[Component]]),1,0)</f>
        <v>1</v>
      </c>
      <c r="CC97" s="2">
        <f>IF(OR(Cases[[#This Row],[Is Reopened]]="X",Cases[[#This Row],[No. of Reopenings]]&gt;0),1,0)</f>
        <v>0</v>
      </c>
      <c r="CD97" s="2">
        <f>IF(Cases[[#This Row],[Confirmation Type]]="Automatic",1,0)</f>
        <v>1</v>
      </c>
      <c r="CE9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98" spans="1:83" x14ac:dyDescent="0.2">
      <c r="A98" s="1" t="s">
        <v>791</v>
      </c>
      <c r="B98" s="2" t="s">
        <v>792</v>
      </c>
      <c r="C98" s="2" t="s">
        <v>793</v>
      </c>
      <c r="D98" s="2" t="s">
        <v>238</v>
      </c>
      <c r="E98" s="3">
        <v>23.23</v>
      </c>
      <c r="F98" s="3">
        <v>25.47</v>
      </c>
      <c r="G98" s="2" t="s">
        <v>190</v>
      </c>
      <c r="H98" s="2" t="s">
        <v>308</v>
      </c>
      <c r="I98" s="3" t="s">
        <v>114</v>
      </c>
      <c r="J98" s="3">
        <v>49</v>
      </c>
      <c r="K98" s="2" t="s">
        <v>794</v>
      </c>
      <c r="L98" s="4">
        <v>46127</v>
      </c>
      <c r="M98" s="4">
        <v>46127</v>
      </c>
      <c r="N98" s="2" t="s">
        <v>83</v>
      </c>
      <c r="O98" s="2" t="s">
        <v>84</v>
      </c>
      <c r="P98" s="2" t="s">
        <v>193</v>
      </c>
      <c r="Q98" s="2" t="s">
        <v>86</v>
      </c>
      <c r="R98" s="2" t="s">
        <v>795</v>
      </c>
      <c r="S98" s="4">
        <v>46078</v>
      </c>
      <c r="T98" s="2" t="s">
        <v>677</v>
      </c>
      <c r="U98" s="2" t="s">
        <v>181</v>
      </c>
      <c r="V98" s="2" t="s">
        <v>678</v>
      </c>
      <c r="W98" s="2" t="s">
        <v>86</v>
      </c>
      <c r="X98" s="2" t="s">
        <v>117</v>
      </c>
      <c r="Y98" s="3" t="s">
        <v>118</v>
      </c>
      <c r="Z98" s="3">
        <v>48.7</v>
      </c>
      <c r="AA98" s="2" t="s">
        <v>138</v>
      </c>
      <c r="AB98" s="2" t="s">
        <v>137</v>
      </c>
      <c r="AC98" s="2" t="s">
        <v>132</v>
      </c>
      <c r="AD98" t="str" cm="1">
        <f t="array" ref="AD9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98" s="2" t="s">
        <v>91</v>
      </c>
      <c r="AF98" s="2" t="s">
        <v>92</v>
      </c>
      <c r="AG98" s="2" t="s">
        <v>140</v>
      </c>
      <c r="AH98" s="2" t="s">
        <v>141</v>
      </c>
      <c r="AK98" s="2" t="s">
        <v>796</v>
      </c>
      <c r="AN98" s="3">
        <v>1</v>
      </c>
      <c r="AO98" s="3">
        <v>1</v>
      </c>
      <c r="AP98" s="3">
        <v>1</v>
      </c>
      <c r="AQ98" s="3">
        <v>1</v>
      </c>
      <c r="AR98" s="3">
        <v>1</v>
      </c>
      <c r="AS98" s="3">
        <v>0</v>
      </c>
      <c r="AT98" s="3">
        <v>0</v>
      </c>
      <c r="AU98" s="3">
        <v>0</v>
      </c>
      <c r="AV98" s="3">
        <v>1</v>
      </c>
      <c r="AW98" s="3">
        <v>0</v>
      </c>
      <c r="AX98" s="3">
        <v>1</v>
      </c>
      <c r="AY98" s="3">
        <v>0</v>
      </c>
      <c r="AZ98" s="3">
        <v>0</v>
      </c>
      <c r="BA98" s="3">
        <v>0</v>
      </c>
      <c r="BB98" s="3">
        <v>0</v>
      </c>
      <c r="BC98" s="3">
        <v>1</v>
      </c>
      <c r="BD98" s="3">
        <v>0</v>
      </c>
      <c r="BE98" s="3">
        <v>0</v>
      </c>
      <c r="BG98" s="2" t="s">
        <v>91</v>
      </c>
      <c r="BH98" s="3">
        <v>3</v>
      </c>
      <c r="BJ98" s="2" t="s">
        <v>96</v>
      </c>
      <c r="BL98" s="2" t="s">
        <v>143</v>
      </c>
      <c r="BM98" s="2" t="s">
        <v>144</v>
      </c>
      <c r="BN98" s="2" t="s">
        <v>99</v>
      </c>
      <c r="BO98" s="2" t="s">
        <v>100</v>
      </c>
      <c r="BP98" s="2" t="s">
        <v>242</v>
      </c>
      <c r="BQ98" s="2" t="s">
        <v>145</v>
      </c>
      <c r="BR98" s="2" t="s">
        <v>146</v>
      </c>
      <c r="BS98" s="2" t="s">
        <v>147</v>
      </c>
      <c r="BT98" s="2" t="s">
        <v>148</v>
      </c>
      <c r="BU98" s="2" t="s">
        <v>149</v>
      </c>
      <c r="BV98" s="2" t="s">
        <v>150</v>
      </c>
      <c r="BW98" s="2" t="s">
        <v>151</v>
      </c>
      <c r="BX98" s="2" t="s">
        <v>91</v>
      </c>
      <c r="BY9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98" s="2">
        <f>IF(AND(Cases[[#This Row],[Priority Level]]&gt;=3,Cases[[#This Row],[System Role]]&lt;&gt;"Productive"),1,0)</f>
        <v>0</v>
      </c>
      <c r="CA98" s="2">
        <f>IFERROR(IF(Cases[[#This Row],[Days at Customer]]&gt;MAX(1,Cases[[#This Row],[Days at SAP]]*2),1,0),0)</f>
        <v>0</v>
      </c>
      <c r="CB98" s="2">
        <f>IF(AND(Cases[[#This Row],[Initial Component]]&lt;&gt;"",Cases[[#This Row],[Component]]&lt;&gt;"",Cases[[#This Row],[Initial Component]]&lt;&gt;Cases[[#This Row],[Component]]),1,0)</f>
        <v>1</v>
      </c>
      <c r="CC98" s="2">
        <f>IF(OR(Cases[[#This Row],[Is Reopened]]="X",Cases[[#This Row],[No. of Reopenings]]&gt;0),1,0)</f>
        <v>0</v>
      </c>
      <c r="CD98" s="2">
        <f>IF(Cases[[#This Row],[Confirmation Type]]="Automatic",1,0)</f>
        <v>1</v>
      </c>
      <c r="CE9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99" spans="1:83" x14ac:dyDescent="0.2">
      <c r="A99" s="1" t="s">
        <v>797</v>
      </c>
      <c r="B99" s="2" t="s">
        <v>798</v>
      </c>
      <c r="C99" s="2" t="s">
        <v>799</v>
      </c>
      <c r="D99" s="2" t="s">
        <v>238</v>
      </c>
      <c r="E99" s="3">
        <v>8.11</v>
      </c>
      <c r="F99" s="3">
        <v>26.56</v>
      </c>
      <c r="G99" s="2" t="s">
        <v>79</v>
      </c>
      <c r="H99" s="2" t="s">
        <v>80</v>
      </c>
      <c r="I99" s="3" t="s">
        <v>81</v>
      </c>
      <c r="J99" s="3">
        <v>49</v>
      </c>
      <c r="K99" s="2" t="s">
        <v>800</v>
      </c>
      <c r="L99" s="4">
        <v>46117</v>
      </c>
      <c r="M99" s="4">
        <v>46113</v>
      </c>
      <c r="N99" s="2" t="s">
        <v>83</v>
      </c>
      <c r="O99" s="2" t="s">
        <v>84</v>
      </c>
      <c r="P99" s="2" t="s">
        <v>136</v>
      </c>
      <c r="Q99" s="2" t="s">
        <v>86</v>
      </c>
      <c r="R99" s="2" t="s">
        <v>801</v>
      </c>
      <c r="S99" s="4">
        <v>46078</v>
      </c>
      <c r="T99" s="2" t="s">
        <v>677</v>
      </c>
      <c r="U99" s="2" t="s">
        <v>181</v>
      </c>
      <c r="V99" s="2" t="s">
        <v>678</v>
      </c>
      <c r="W99" s="2" t="s">
        <v>86</v>
      </c>
      <c r="X99" s="2" t="s">
        <v>88</v>
      </c>
      <c r="Y99" s="3" t="s">
        <v>89</v>
      </c>
      <c r="Z99" s="3">
        <v>34.67</v>
      </c>
      <c r="AA99" s="2" t="s">
        <v>90</v>
      </c>
      <c r="AB99" s="2" t="s">
        <v>801</v>
      </c>
      <c r="AC99" s="2" t="s">
        <v>802</v>
      </c>
      <c r="AD99" t="str" cm="1">
        <f t="array" ref="AD9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99" s="2" t="s">
        <v>139</v>
      </c>
      <c r="AF99" s="2" t="s">
        <v>92</v>
      </c>
      <c r="AG99" s="2" t="s">
        <v>93</v>
      </c>
      <c r="AH99" s="2" t="s">
        <v>94</v>
      </c>
      <c r="AK99" s="2" t="s">
        <v>803</v>
      </c>
      <c r="AN99" s="3">
        <v>1</v>
      </c>
      <c r="AO99" s="3">
        <v>1</v>
      </c>
      <c r="AP99" s="3">
        <v>1</v>
      </c>
      <c r="AQ99" s="3">
        <v>1</v>
      </c>
      <c r="AR99" s="3">
        <v>0</v>
      </c>
      <c r="AS99" s="3">
        <v>0</v>
      </c>
      <c r="AT99" s="3">
        <v>1</v>
      </c>
      <c r="AU99" s="3">
        <v>0</v>
      </c>
      <c r="AV99" s="3">
        <v>1</v>
      </c>
      <c r="AW99" s="3">
        <v>0</v>
      </c>
      <c r="AX99" s="3">
        <v>0</v>
      </c>
      <c r="AY99" s="3">
        <v>0</v>
      </c>
      <c r="AZ99" s="3">
        <v>1</v>
      </c>
      <c r="BA99" s="3">
        <v>0</v>
      </c>
      <c r="BB99" s="3">
        <v>0</v>
      </c>
      <c r="BC99" s="3">
        <v>1</v>
      </c>
      <c r="BD99" s="3">
        <v>0</v>
      </c>
      <c r="BE99" s="3">
        <v>0</v>
      </c>
      <c r="BG99" s="2" t="s">
        <v>139</v>
      </c>
      <c r="BH99" s="3">
        <v>2</v>
      </c>
      <c r="BJ99" s="2" t="s">
        <v>96</v>
      </c>
      <c r="BL99" s="2" t="s">
        <v>184</v>
      </c>
      <c r="BM99" s="2" t="s">
        <v>184</v>
      </c>
      <c r="BN99" s="2" t="s">
        <v>124</v>
      </c>
      <c r="BO99" s="2" t="s">
        <v>125</v>
      </c>
      <c r="BP99" s="2" t="s">
        <v>242</v>
      </c>
      <c r="BQ99" s="2" t="s">
        <v>124</v>
      </c>
      <c r="BR99" s="2" t="s">
        <v>126</v>
      </c>
      <c r="BS99" s="2" t="s">
        <v>127</v>
      </c>
      <c r="BT99" s="2" t="s">
        <v>185</v>
      </c>
      <c r="BU99" s="2" t="s">
        <v>186</v>
      </c>
      <c r="BV99" s="2" t="s">
        <v>150</v>
      </c>
      <c r="BW99" s="2" t="s">
        <v>151</v>
      </c>
      <c r="BX99" s="2" t="s">
        <v>139</v>
      </c>
      <c r="BY9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99" s="2">
        <f>IF(AND(Cases[[#This Row],[Priority Level]]&gt;=3,Cases[[#This Row],[System Role]]&lt;&gt;"Productive"),1,0)</f>
        <v>0</v>
      </c>
      <c r="CA99" s="2">
        <f>IFERROR(IF(Cases[[#This Row],[Days at Customer]]&gt;MAX(1,Cases[[#This Row],[Days at SAP]]*2),1,0),0)</f>
        <v>1</v>
      </c>
      <c r="CB99" s="2">
        <f>IF(AND(Cases[[#This Row],[Initial Component]]&lt;&gt;"",Cases[[#This Row],[Component]]&lt;&gt;"",Cases[[#This Row],[Initial Component]]&lt;&gt;Cases[[#This Row],[Component]]),1,0)</f>
        <v>0</v>
      </c>
      <c r="CC99" s="2">
        <f>IF(OR(Cases[[#This Row],[Is Reopened]]="X",Cases[[#This Row],[No. of Reopenings]]&gt;0),1,0)</f>
        <v>0</v>
      </c>
      <c r="CD99" s="2">
        <f>IF(Cases[[#This Row],[Confirmation Type]]="Automatic",1,0)</f>
        <v>1</v>
      </c>
      <c r="CE99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00" spans="1:83" x14ac:dyDescent="0.2">
      <c r="A100" s="1" t="s">
        <v>804</v>
      </c>
      <c r="B100" s="2" t="s">
        <v>805</v>
      </c>
      <c r="C100" s="2" t="s">
        <v>806</v>
      </c>
      <c r="D100" s="2" t="s">
        <v>78</v>
      </c>
      <c r="E100" s="3">
        <v>0.75</v>
      </c>
      <c r="F100" s="3">
        <v>20.04</v>
      </c>
      <c r="G100" s="2" t="s">
        <v>79</v>
      </c>
      <c r="H100" s="2" t="s">
        <v>80</v>
      </c>
      <c r="I100" s="3" t="s">
        <v>114</v>
      </c>
      <c r="J100" s="3">
        <v>49</v>
      </c>
      <c r="K100" s="2" t="s">
        <v>807</v>
      </c>
      <c r="L100" s="4">
        <v>46103</v>
      </c>
      <c r="M100" s="4">
        <v>46099</v>
      </c>
      <c r="N100" s="2" t="s">
        <v>180</v>
      </c>
      <c r="O100" s="2" t="s">
        <v>181</v>
      </c>
      <c r="P100" s="2" t="s">
        <v>260</v>
      </c>
      <c r="Q100" s="2" t="s">
        <v>86</v>
      </c>
      <c r="R100" s="2" t="s">
        <v>808</v>
      </c>
      <c r="S100" s="4">
        <v>46078</v>
      </c>
      <c r="T100" s="2" t="s">
        <v>677</v>
      </c>
      <c r="U100" s="2" t="s">
        <v>181</v>
      </c>
      <c r="V100" s="2" t="s">
        <v>678</v>
      </c>
      <c r="W100" s="2" t="s">
        <v>86</v>
      </c>
      <c r="X100" s="2" t="s">
        <v>117</v>
      </c>
      <c r="Y100" s="3" t="s">
        <v>118</v>
      </c>
      <c r="Z100" s="3">
        <v>20.79</v>
      </c>
      <c r="AA100" s="2" t="s">
        <v>90</v>
      </c>
      <c r="AB100" s="2" t="s">
        <v>808</v>
      </c>
      <c r="AC100" s="2" t="s">
        <v>806</v>
      </c>
      <c r="AD100" t="str" cm="1">
        <f t="array" ref="AD10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100" s="2" t="s">
        <v>139</v>
      </c>
      <c r="AF100" s="2" t="s">
        <v>92</v>
      </c>
      <c r="AG100" s="2" t="s">
        <v>159</v>
      </c>
      <c r="AH100" s="2" t="s">
        <v>160</v>
      </c>
      <c r="AK100" s="2" t="s">
        <v>809</v>
      </c>
      <c r="AN100" s="3">
        <v>1</v>
      </c>
      <c r="AO100" s="3">
        <v>1</v>
      </c>
      <c r="AP100" s="3">
        <v>1</v>
      </c>
      <c r="AQ100" s="3">
        <v>1</v>
      </c>
      <c r="AR100" s="3">
        <v>0</v>
      </c>
      <c r="AS100" s="3">
        <v>0</v>
      </c>
      <c r="AT100" s="3">
        <v>1</v>
      </c>
      <c r="AU100" s="3">
        <v>0</v>
      </c>
      <c r="AV100" s="3">
        <v>0</v>
      </c>
      <c r="AW100" s="3">
        <v>1</v>
      </c>
      <c r="AX100" s="3">
        <v>0</v>
      </c>
      <c r="AY100" s="3">
        <v>0</v>
      </c>
      <c r="AZ100" s="3">
        <v>1</v>
      </c>
      <c r="BA100" s="3">
        <v>0</v>
      </c>
      <c r="BB100" s="3">
        <v>0</v>
      </c>
      <c r="BC100" s="3">
        <v>1</v>
      </c>
      <c r="BD100" s="3">
        <v>0</v>
      </c>
      <c r="BE100" s="3">
        <v>0</v>
      </c>
      <c r="BG100" s="2" t="s">
        <v>139</v>
      </c>
      <c r="BH100" s="3">
        <v>2</v>
      </c>
      <c r="BJ100" s="2" t="s">
        <v>96</v>
      </c>
      <c r="BL100" s="2" t="s">
        <v>97</v>
      </c>
      <c r="BM100" s="2" t="s">
        <v>98</v>
      </c>
      <c r="BN100" s="2" t="s">
        <v>99</v>
      </c>
      <c r="BO100" s="2" t="s">
        <v>100</v>
      </c>
      <c r="BP100" s="2" t="s">
        <v>101</v>
      </c>
      <c r="BQ100" s="2" t="s">
        <v>102</v>
      </c>
      <c r="BR100" s="2" t="s">
        <v>103</v>
      </c>
      <c r="BS100" s="2" t="s">
        <v>127</v>
      </c>
      <c r="BT100" s="2" t="s">
        <v>661</v>
      </c>
      <c r="BU100" s="2" t="s">
        <v>662</v>
      </c>
      <c r="BV100" s="2" t="s">
        <v>150</v>
      </c>
      <c r="BW100" s="2" t="s">
        <v>151</v>
      </c>
      <c r="BX100" s="2" t="s">
        <v>139</v>
      </c>
      <c r="BY10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00" s="2">
        <f>IF(AND(Cases[[#This Row],[Priority Level]]&gt;=3,Cases[[#This Row],[System Role]]&lt;&gt;"Productive"),1,0)</f>
        <v>0</v>
      </c>
      <c r="CA100" s="2">
        <f>IFERROR(IF(Cases[[#This Row],[Days at Customer]]&gt;MAX(1,Cases[[#This Row],[Days at SAP]]*2),1,0),0)</f>
        <v>1</v>
      </c>
      <c r="CB100" s="2">
        <f>IF(AND(Cases[[#This Row],[Initial Component]]&lt;&gt;"",Cases[[#This Row],[Component]]&lt;&gt;"",Cases[[#This Row],[Initial Component]]&lt;&gt;Cases[[#This Row],[Component]]),1,0)</f>
        <v>0</v>
      </c>
      <c r="CC100" s="2">
        <f>IF(OR(Cases[[#This Row],[Is Reopened]]="X",Cases[[#This Row],[No. of Reopenings]]&gt;0),1,0)</f>
        <v>0</v>
      </c>
      <c r="CD100" s="2">
        <f>IF(Cases[[#This Row],[Confirmation Type]]="Automatic",1,0)</f>
        <v>0</v>
      </c>
      <c r="CE100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01" spans="1:83" x14ac:dyDescent="0.2">
      <c r="A101" s="1" t="s">
        <v>810</v>
      </c>
      <c r="B101" s="2" t="s">
        <v>811</v>
      </c>
      <c r="C101" s="2" t="s">
        <v>812</v>
      </c>
      <c r="D101" s="2" t="s">
        <v>78</v>
      </c>
      <c r="E101" s="3">
        <v>0.73</v>
      </c>
      <c r="F101" s="3">
        <v>0</v>
      </c>
      <c r="G101" s="2" t="s">
        <v>133</v>
      </c>
      <c r="H101" s="2" t="s">
        <v>134</v>
      </c>
      <c r="I101" s="3" t="s">
        <v>114</v>
      </c>
      <c r="J101" s="3">
        <v>50</v>
      </c>
      <c r="K101" s="2" t="s">
        <v>813</v>
      </c>
      <c r="L101" s="4">
        <v>46082</v>
      </c>
      <c r="M101" s="4">
        <v>46078</v>
      </c>
      <c r="N101" s="2" t="s">
        <v>677</v>
      </c>
      <c r="O101" s="2" t="s">
        <v>181</v>
      </c>
      <c r="P101" s="2" t="s">
        <v>678</v>
      </c>
      <c r="Q101" s="2" t="s">
        <v>86</v>
      </c>
      <c r="R101" s="2" t="s">
        <v>814</v>
      </c>
      <c r="S101" s="4">
        <v>46077</v>
      </c>
      <c r="T101" s="2" t="s">
        <v>677</v>
      </c>
      <c r="U101" s="2" t="s">
        <v>181</v>
      </c>
      <c r="V101" s="2" t="s">
        <v>678</v>
      </c>
      <c r="W101" s="2" t="s">
        <v>86</v>
      </c>
      <c r="X101" s="2" t="s">
        <v>117</v>
      </c>
      <c r="Y101" s="3" t="s">
        <v>118</v>
      </c>
      <c r="Z101" s="3">
        <v>0.73</v>
      </c>
      <c r="AA101" s="2" t="s">
        <v>90</v>
      </c>
      <c r="AB101" s="2" t="s">
        <v>292</v>
      </c>
      <c r="AC101" s="2" t="s">
        <v>289</v>
      </c>
      <c r="AD101" t="str" cm="1">
        <f t="array" ref="AD10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101" s="2" t="s">
        <v>139</v>
      </c>
      <c r="AF101" s="2" t="s">
        <v>92</v>
      </c>
      <c r="AG101" s="2" t="s">
        <v>527</v>
      </c>
      <c r="AH101" s="2" t="s">
        <v>528</v>
      </c>
      <c r="AK101" s="2" t="s">
        <v>815</v>
      </c>
      <c r="AN101" s="3">
        <v>1</v>
      </c>
      <c r="AO101" s="3">
        <v>1</v>
      </c>
      <c r="AP101" s="3">
        <v>1</v>
      </c>
      <c r="AQ101" s="3">
        <v>1</v>
      </c>
      <c r="AR101" s="3">
        <v>0</v>
      </c>
      <c r="AS101" s="3">
        <v>0</v>
      </c>
      <c r="AT101" s="3">
        <v>1</v>
      </c>
      <c r="AU101" s="3">
        <v>0</v>
      </c>
      <c r="AV101" s="3">
        <v>0</v>
      </c>
      <c r="AW101" s="3">
        <v>1</v>
      </c>
      <c r="AX101" s="3">
        <v>0</v>
      </c>
      <c r="AY101" s="3">
        <v>0</v>
      </c>
      <c r="AZ101" s="3">
        <v>1</v>
      </c>
      <c r="BA101" s="3">
        <v>0</v>
      </c>
      <c r="BB101" s="3">
        <v>0</v>
      </c>
      <c r="BC101" s="3">
        <v>1</v>
      </c>
      <c r="BD101" s="3">
        <v>0</v>
      </c>
      <c r="BE101" s="3">
        <v>0</v>
      </c>
      <c r="BG101" s="2" t="s">
        <v>139</v>
      </c>
      <c r="BH101" s="3">
        <v>2</v>
      </c>
      <c r="BJ101" s="2" t="s">
        <v>96</v>
      </c>
      <c r="BL101" s="2" t="s">
        <v>184</v>
      </c>
      <c r="BM101" s="2" t="s">
        <v>184</v>
      </c>
      <c r="BN101" s="2" t="s">
        <v>124</v>
      </c>
      <c r="BO101" s="2" t="s">
        <v>125</v>
      </c>
      <c r="BP101" s="2" t="s">
        <v>101</v>
      </c>
      <c r="BQ101" s="2" t="s">
        <v>124</v>
      </c>
      <c r="BR101" s="2" t="s">
        <v>126</v>
      </c>
      <c r="BS101" s="2" t="s">
        <v>127</v>
      </c>
      <c r="BT101" s="2" t="s">
        <v>185</v>
      </c>
      <c r="BU101" s="2" t="s">
        <v>530</v>
      </c>
      <c r="BV101" s="2" t="s">
        <v>150</v>
      </c>
      <c r="BW101" s="2" t="s">
        <v>151</v>
      </c>
      <c r="BX101" s="2" t="s">
        <v>139</v>
      </c>
      <c r="BY10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01" s="2">
        <f>IF(AND(Cases[[#This Row],[Priority Level]]&gt;=3,Cases[[#This Row],[System Role]]&lt;&gt;"Productive"),1,0)</f>
        <v>0</v>
      </c>
      <c r="CA101" s="2">
        <f>IFERROR(IF(Cases[[#This Row],[Days at Customer]]&gt;MAX(1,Cases[[#This Row],[Days at SAP]]*2),1,0),0)</f>
        <v>0</v>
      </c>
      <c r="CB101" s="2">
        <f>IF(AND(Cases[[#This Row],[Initial Component]]&lt;&gt;"",Cases[[#This Row],[Component]]&lt;&gt;"",Cases[[#This Row],[Initial Component]]&lt;&gt;Cases[[#This Row],[Component]]),1,0)</f>
        <v>1</v>
      </c>
      <c r="CC101" s="2">
        <f>IF(OR(Cases[[#This Row],[Is Reopened]]="X",Cases[[#This Row],[No. of Reopenings]]&gt;0),1,0)</f>
        <v>0</v>
      </c>
      <c r="CD101" s="2">
        <f>IF(Cases[[#This Row],[Confirmation Type]]="Automatic",1,0)</f>
        <v>0</v>
      </c>
      <c r="CE101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02" spans="1:83" x14ac:dyDescent="0.2">
      <c r="A102" s="1" t="s">
        <v>816</v>
      </c>
      <c r="B102" s="2" t="s">
        <v>817</v>
      </c>
      <c r="C102" s="2" t="s">
        <v>77</v>
      </c>
      <c r="D102" s="2" t="s">
        <v>238</v>
      </c>
      <c r="E102" s="3">
        <v>0.17</v>
      </c>
      <c r="F102" s="3">
        <v>21.32</v>
      </c>
      <c r="G102" s="2" t="s">
        <v>79</v>
      </c>
      <c r="H102" s="2" t="s">
        <v>80</v>
      </c>
      <c r="I102" s="3" t="s">
        <v>81</v>
      </c>
      <c r="J102" s="3">
        <v>50</v>
      </c>
      <c r="K102" s="2" t="s">
        <v>818</v>
      </c>
      <c r="L102" s="4">
        <v>46103</v>
      </c>
      <c r="M102" s="4">
        <v>46099</v>
      </c>
      <c r="N102" s="2" t="s">
        <v>180</v>
      </c>
      <c r="O102" s="2" t="s">
        <v>181</v>
      </c>
      <c r="P102" s="2" t="s">
        <v>260</v>
      </c>
      <c r="Q102" s="2" t="s">
        <v>86</v>
      </c>
      <c r="R102" s="2" t="s">
        <v>87</v>
      </c>
      <c r="S102" s="4">
        <v>46077</v>
      </c>
      <c r="T102" s="2" t="s">
        <v>677</v>
      </c>
      <c r="U102" s="2" t="s">
        <v>181</v>
      </c>
      <c r="V102" s="2" t="s">
        <v>678</v>
      </c>
      <c r="W102" s="2" t="s">
        <v>86</v>
      </c>
      <c r="X102" s="2" t="s">
        <v>88</v>
      </c>
      <c r="Y102" s="3" t="s">
        <v>89</v>
      </c>
      <c r="Z102" s="3">
        <v>21.49</v>
      </c>
      <c r="AA102" s="2" t="s">
        <v>90</v>
      </c>
      <c r="AB102" s="2" t="s">
        <v>87</v>
      </c>
      <c r="AC102" s="2" t="s">
        <v>77</v>
      </c>
      <c r="AD102" t="str" cm="1">
        <f t="array" ref="AD10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102" s="2" t="s">
        <v>91</v>
      </c>
      <c r="AF102" s="2" t="s">
        <v>92</v>
      </c>
      <c r="AG102" s="2" t="s">
        <v>93</v>
      </c>
      <c r="AH102" s="2" t="s">
        <v>94</v>
      </c>
      <c r="AK102" s="2" t="s">
        <v>819</v>
      </c>
      <c r="AN102" s="3">
        <v>1</v>
      </c>
      <c r="AO102" s="3">
        <v>1</v>
      </c>
      <c r="AP102" s="3">
        <v>1</v>
      </c>
      <c r="AQ102" s="3">
        <v>1</v>
      </c>
      <c r="AR102" s="3">
        <v>1</v>
      </c>
      <c r="AS102" s="3">
        <v>0</v>
      </c>
      <c r="AT102" s="3">
        <v>0</v>
      </c>
      <c r="AU102" s="3">
        <v>0</v>
      </c>
      <c r="AV102" s="3">
        <v>1</v>
      </c>
      <c r="AW102" s="3">
        <v>0</v>
      </c>
      <c r="AX102" s="3">
        <v>1</v>
      </c>
      <c r="AY102" s="3">
        <v>0</v>
      </c>
      <c r="AZ102" s="3">
        <v>0</v>
      </c>
      <c r="BA102" s="3">
        <v>0</v>
      </c>
      <c r="BB102" s="3">
        <v>0</v>
      </c>
      <c r="BC102" s="3">
        <v>1</v>
      </c>
      <c r="BD102" s="3">
        <v>0</v>
      </c>
      <c r="BE102" s="3">
        <v>0</v>
      </c>
      <c r="BG102" s="2" t="s">
        <v>91</v>
      </c>
      <c r="BH102" s="3">
        <v>3</v>
      </c>
      <c r="BJ102" s="2" t="s">
        <v>96</v>
      </c>
      <c r="BL102" s="2" t="s">
        <v>184</v>
      </c>
      <c r="BM102" s="2" t="s">
        <v>184</v>
      </c>
      <c r="BN102" s="2" t="s">
        <v>124</v>
      </c>
      <c r="BO102" s="2" t="s">
        <v>125</v>
      </c>
      <c r="BP102" s="2" t="s">
        <v>242</v>
      </c>
      <c r="BQ102" s="2" t="s">
        <v>124</v>
      </c>
      <c r="BR102" s="2" t="s">
        <v>126</v>
      </c>
      <c r="BS102" s="2" t="s">
        <v>127</v>
      </c>
      <c r="BT102" s="2" t="s">
        <v>185</v>
      </c>
      <c r="BU102" s="2" t="s">
        <v>186</v>
      </c>
      <c r="BV102" s="2" t="s">
        <v>150</v>
      </c>
      <c r="BW102" s="2" t="s">
        <v>151</v>
      </c>
      <c r="BX102" s="2" t="s">
        <v>91</v>
      </c>
      <c r="BY10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02" s="2">
        <f>IF(AND(Cases[[#This Row],[Priority Level]]&gt;=3,Cases[[#This Row],[System Role]]&lt;&gt;"Productive"),1,0)</f>
        <v>0</v>
      </c>
      <c r="CA102" s="2">
        <f>IFERROR(IF(Cases[[#This Row],[Days at Customer]]&gt;MAX(1,Cases[[#This Row],[Days at SAP]]*2),1,0),0)</f>
        <v>1</v>
      </c>
      <c r="CB102" s="2">
        <f>IF(AND(Cases[[#This Row],[Initial Component]]&lt;&gt;"",Cases[[#This Row],[Component]]&lt;&gt;"",Cases[[#This Row],[Initial Component]]&lt;&gt;Cases[[#This Row],[Component]]),1,0)</f>
        <v>0</v>
      </c>
      <c r="CC102" s="2">
        <f>IF(OR(Cases[[#This Row],[Is Reopened]]="X",Cases[[#This Row],[No. of Reopenings]]&gt;0),1,0)</f>
        <v>0</v>
      </c>
      <c r="CD102" s="2">
        <f>IF(Cases[[#This Row],[Confirmation Type]]="Automatic",1,0)</f>
        <v>1</v>
      </c>
      <c r="CE102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03" spans="1:83" x14ac:dyDescent="0.2">
      <c r="A103" s="1" t="s">
        <v>3880</v>
      </c>
      <c r="B103" s="2" t="s">
        <v>3881</v>
      </c>
      <c r="C103" s="2" t="s">
        <v>311</v>
      </c>
      <c r="D103" s="2" t="s">
        <v>238</v>
      </c>
      <c r="E103" s="3">
        <v>21.12</v>
      </c>
      <c r="F103" s="3">
        <v>130.44999999999999</v>
      </c>
      <c r="G103" s="2" t="s">
        <v>79</v>
      </c>
      <c r="H103" s="2" t="s">
        <v>80</v>
      </c>
      <c r="I103" s="3" t="s">
        <v>114</v>
      </c>
      <c r="J103" s="3">
        <v>300</v>
      </c>
      <c r="K103" s="2" t="s">
        <v>3882</v>
      </c>
      <c r="L103" s="4">
        <v>46009</v>
      </c>
      <c r="M103" s="4">
        <v>45979</v>
      </c>
      <c r="N103" s="2" t="s">
        <v>2274</v>
      </c>
      <c r="O103" s="2" t="s">
        <v>1805</v>
      </c>
      <c r="P103" s="2" t="s">
        <v>2404</v>
      </c>
      <c r="Q103" s="2" t="s">
        <v>1806</v>
      </c>
      <c r="R103" s="2" t="s">
        <v>310</v>
      </c>
      <c r="S103" s="4">
        <v>45827</v>
      </c>
      <c r="T103" s="2" t="s">
        <v>3867</v>
      </c>
      <c r="U103" s="2" t="s">
        <v>3868</v>
      </c>
      <c r="V103" s="2" t="s">
        <v>3878</v>
      </c>
      <c r="W103" s="2" t="s">
        <v>1806</v>
      </c>
      <c r="X103" s="2" t="s">
        <v>117</v>
      </c>
      <c r="Y103" s="3" t="s">
        <v>118</v>
      </c>
      <c r="Z103" s="3">
        <v>151.57</v>
      </c>
      <c r="AA103" s="2" t="s">
        <v>90</v>
      </c>
      <c r="AB103" s="2" t="s">
        <v>3448</v>
      </c>
      <c r="AC103" s="2" t="s">
        <v>3449</v>
      </c>
      <c r="AD103" t="str" cm="1">
        <f t="array" ref="AD10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103" s="2" t="s">
        <v>91</v>
      </c>
      <c r="AF103" s="2" t="s">
        <v>92</v>
      </c>
      <c r="AG103" s="2" t="s">
        <v>119</v>
      </c>
      <c r="AH103" s="2" t="s">
        <v>120</v>
      </c>
      <c r="AJ103" s="2" t="s">
        <v>122</v>
      </c>
      <c r="AK103" s="2" t="s">
        <v>3883</v>
      </c>
      <c r="AN103" s="3">
        <v>1</v>
      </c>
      <c r="AO103" s="3">
        <v>0</v>
      </c>
      <c r="AP103" s="3">
        <v>1</v>
      </c>
      <c r="AQ103" s="3">
        <v>1</v>
      </c>
      <c r="AR103" s="3">
        <v>1</v>
      </c>
      <c r="AS103" s="3">
        <v>0</v>
      </c>
      <c r="AT103" s="3">
        <v>0</v>
      </c>
      <c r="AU103" s="3">
        <v>0</v>
      </c>
      <c r="AV103" s="3">
        <v>1</v>
      </c>
      <c r="AW103" s="3">
        <v>0</v>
      </c>
      <c r="AX103" s="3">
        <v>1</v>
      </c>
      <c r="AY103" s="3">
        <v>0</v>
      </c>
      <c r="AZ103" s="3">
        <v>0</v>
      </c>
      <c r="BA103" s="3">
        <v>0</v>
      </c>
      <c r="BB103" s="3">
        <v>0</v>
      </c>
      <c r="BC103" s="3">
        <v>1</v>
      </c>
      <c r="BD103" s="3">
        <v>6</v>
      </c>
      <c r="BE103" s="3">
        <v>0</v>
      </c>
      <c r="BG103" s="2" t="s">
        <v>91</v>
      </c>
      <c r="BH103" s="3">
        <v>3</v>
      </c>
      <c r="BJ103" s="2" t="s">
        <v>96</v>
      </c>
      <c r="BL103" s="2" t="s">
        <v>123</v>
      </c>
      <c r="BM103" s="2" t="s">
        <v>123</v>
      </c>
      <c r="BN103" s="2" t="s">
        <v>124</v>
      </c>
      <c r="BO103" s="2" t="s">
        <v>125</v>
      </c>
      <c r="BP103" s="2" t="s">
        <v>242</v>
      </c>
      <c r="BQ103" s="2" t="s">
        <v>124</v>
      </c>
      <c r="BR103" s="2" t="s">
        <v>126</v>
      </c>
      <c r="BS103" s="2" t="s">
        <v>127</v>
      </c>
      <c r="BT103" s="2" t="s">
        <v>420</v>
      </c>
      <c r="BU103" s="2" t="s">
        <v>421</v>
      </c>
      <c r="BV103" s="2" t="s">
        <v>150</v>
      </c>
      <c r="BW103" s="2" t="s">
        <v>151</v>
      </c>
      <c r="BX103" s="2" t="s">
        <v>91</v>
      </c>
      <c r="BY10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03" s="2">
        <f>IF(AND(Cases[[#This Row],[Priority Level]]&gt;=3,Cases[[#This Row],[System Role]]&lt;&gt;"Productive"),1,0)</f>
        <v>0</v>
      </c>
      <c r="CA103" s="2">
        <f>IFERROR(IF(Cases[[#This Row],[Days at Customer]]&gt;MAX(1,Cases[[#This Row],[Days at SAP]]*2),1,0),0)</f>
        <v>1</v>
      </c>
      <c r="CB103" s="2">
        <f>IF(AND(Cases[[#This Row],[Initial Component]]&lt;&gt;"",Cases[[#This Row],[Component]]&lt;&gt;"",Cases[[#This Row],[Initial Component]]&lt;&gt;Cases[[#This Row],[Component]]),1,0)</f>
        <v>1</v>
      </c>
      <c r="CC103" s="2">
        <f>IF(OR(Cases[[#This Row],[Is Reopened]]="X",Cases[[#This Row],[No. of Reopenings]]&gt;0),1,0)</f>
        <v>1</v>
      </c>
      <c r="CD103" s="2">
        <f>IF(Cases[[#This Row],[Confirmation Type]]="Automatic",1,0)</f>
        <v>1</v>
      </c>
      <c r="CE103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104" spans="1:83" x14ac:dyDescent="0.2">
      <c r="A104" s="1" t="s">
        <v>824</v>
      </c>
      <c r="B104" s="2" t="s">
        <v>825</v>
      </c>
      <c r="C104" s="2" t="s">
        <v>826</v>
      </c>
      <c r="D104" s="2" t="s">
        <v>238</v>
      </c>
      <c r="E104" s="3">
        <v>2.92</v>
      </c>
      <c r="F104" s="3">
        <v>21.54</v>
      </c>
      <c r="G104" s="2" t="s">
        <v>79</v>
      </c>
      <c r="H104" s="2" t="s">
        <v>290</v>
      </c>
      <c r="I104" s="3" t="s">
        <v>114</v>
      </c>
      <c r="J104" s="3">
        <v>51</v>
      </c>
      <c r="K104" s="2" t="s">
        <v>827</v>
      </c>
      <c r="L104" s="4">
        <v>46103</v>
      </c>
      <c r="M104" s="4">
        <v>46101</v>
      </c>
      <c r="N104" s="2" t="s">
        <v>180</v>
      </c>
      <c r="O104" s="2" t="s">
        <v>181</v>
      </c>
      <c r="P104" s="2" t="s">
        <v>260</v>
      </c>
      <c r="Q104" s="2" t="s">
        <v>86</v>
      </c>
      <c r="R104" s="2" t="s">
        <v>828</v>
      </c>
      <c r="S104" s="4">
        <v>46076</v>
      </c>
      <c r="T104" s="2" t="s">
        <v>677</v>
      </c>
      <c r="U104" s="2" t="s">
        <v>181</v>
      </c>
      <c r="V104" s="2" t="s">
        <v>678</v>
      </c>
      <c r="W104" s="2" t="s">
        <v>86</v>
      </c>
      <c r="X104" s="2" t="s">
        <v>117</v>
      </c>
      <c r="Y104" s="3" t="s">
        <v>118</v>
      </c>
      <c r="Z104" s="3">
        <v>24.46</v>
      </c>
      <c r="AA104" s="2" t="s">
        <v>90</v>
      </c>
      <c r="AB104" s="2" t="s">
        <v>828</v>
      </c>
      <c r="AC104" s="2" t="s">
        <v>826</v>
      </c>
      <c r="AD104" t="str" cm="1">
        <f t="array" ref="AD10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104" s="2" t="s">
        <v>139</v>
      </c>
      <c r="AF104" s="2" t="s">
        <v>92</v>
      </c>
      <c r="AG104" s="2" t="s">
        <v>829</v>
      </c>
      <c r="AH104" s="2" t="s">
        <v>830</v>
      </c>
      <c r="AK104" s="2" t="s">
        <v>831</v>
      </c>
      <c r="AN104" s="3">
        <v>1</v>
      </c>
      <c r="AO104" s="3">
        <v>1</v>
      </c>
      <c r="AP104" s="3">
        <v>1</v>
      </c>
      <c r="AQ104" s="3">
        <v>1</v>
      </c>
      <c r="AR104" s="3">
        <v>0</v>
      </c>
      <c r="AS104" s="3">
        <v>0</v>
      </c>
      <c r="AT104" s="3">
        <v>1</v>
      </c>
      <c r="AU104" s="3">
        <v>0</v>
      </c>
      <c r="AV104" s="3">
        <v>1</v>
      </c>
      <c r="AW104" s="3">
        <v>0</v>
      </c>
      <c r="AX104" s="3">
        <v>0</v>
      </c>
      <c r="AY104" s="3">
        <v>0</v>
      </c>
      <c r="AZ104" s="3">
        <v>1</v>
      </c>
      <c r="BA104" s="3">
        <v>1</v>
      </c>
      <c r="BB104" s="3">
        <v>0</v>
      </c>
      <c r="BC104" s="3">
        <v>0</v>
      </c>
      <c r="BD104" s="3">
        <v>0</v>
      </c>
      <c r="BE104" s="3">
        <v>0</v>
      </c>
      <c r="BG104" s="2" t="s">
        <v>139</v>
      </c>
      <c r="BH104" s="3">
        <v>2</v>
      </c>
      <c r="BJ104" s="2" t="s">
        <v>96</v>
      </c>
      <c r="BL104" s="2" t="s">
        <v>832</v>
      </c>
      <c r="BM104" s="2" t="s">
        <v>833</v>
      </c>
      <c r="BN104" s="2" t="s">
        <v>99</v>
      </c>
      <c r="BO104" s="2" t="s">
        <v>100</v>
      </c>
      <c r="BP104" s="2" t="s">
        <v>242</v>
      </c>
      <c r="BQ104" s="2" t="s">
        <v>102</v>
      </c>
      <c r="BR104" s="2" t="s">
        <v>103</v>
      </c>
      <c r="BS104" s="2" t="s">
        <v>713</v>
      </c>
      <c r="BT104" s="2" t="s">
        <v>834</v>
      </c>
      <c r="BU104" s="2" t="s">
        <v>835</v>
      </c>
      <c r="BV104" s="2" t="s">
        <v>166</v>
      </c>
      <c r="BW104" s="2" t="s">
        <v>167</v>
      </c>
      <c r="BX104" s="2" t="s">
        <v>139</v>
      </c>
      <c r="BY10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04" s="2">
        <f>IF(AND(Cases[[#This Row],[Priority Level]]&gt;=3,Cases[[#This Row],[System Role]]&lt;&gt;"Productive"),1,0)</f>
        <v>0</v>
      </c>
      <c r="CA104" s="2">
        <f>IFERROR(IF(Cases[[#This Row],[Days at Customer]]&gt;MAX(1,Cases[[#This Row],[Days at SAP]]*2),1,0),0)</f>
        <v>1</v>
      </c>
      <c r="CB104" s="2">
        <f>IF(AND(Cases[[#This Row],[Initial Component]]&lt;&gt;"",Cases[[#This Row],[Component]]&lt;&gt;"",Cases[[#This Row],[Initial Component]]&lt;&gt;Cases[[#This Row],[Component]]),1,0)</f>
        <v>0</v>
      </c>
      <c r="CC104" s="2">
        <f>IF(OR(Cases[[#This Row],[Is Reopened]]="X",Cases[[#This Row],[No. of Reopenings]]&gt;0),1,0)</f>
        <v>0</v>
      </c>
      <c r="CD104" s="2">
        <f>IF(Cases[[#This Row],[Confirmation Type]]="Automatic",1,0)</f>
        <v>1</v>
      </c>
      <c r="CE104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05" spans="1:83" x14ac:dyDescent="0.2">
      <c r="A105" s="1" t="s">
        <v>836</v>
      </c>
      <c r="B105" s="2" t="s">
        <v>837</v>
      </c>
      <c r="C105" s="2" t="s">
        <v>838</v>
      </c>
      <c r="D105" s="2" t="s">
        <v>238</v>
      </c>
      <c r="E105" s="3">
        <v>6.99</v>
      </c>
      <c r="F105" s="3">
        <v>37.450000000000003</v>
      </c>
      <c r="G105" s="2" t="s">
        <v>190</v>
      </c>
      <c r="H105" s="2" t="s">
        <v>839</v>
      </c>
      <c r="I105" s="3" t="s">
        <v>114</v>
      </c>
      <c r="J105" s="3">
        <v>51</v>
      </c>
      <c r="K105" s="2" t="s">
        <v>840</v>
      </c>
      <c r="L105" s="4">
        <v>46124</v>
      </c>
      <c r="M105" s="4">
        <v>46121</v>
      </c>
      <c r="N105" s="2" t="s">
        <v>83</v>
      </c>
      <c r="O105" s="2" t="s">
        <v>84</v>
      </c>
      <c r="P105" s="2" t="s">
        <v>85</v>
      </c>
      <c r="Q105" s="2" t="s">
        <v>86</v>
      </c>
      <c r="R105" s="2" t="s">
        <v>841</v>
      </c>
      <c r="S105" s="4">
        <v>46076</v>
      </c>
      <c r="T105" s="2" t="s">
        <v>677</v>
      </c>
      <c r="U105" s="2" t="s">
        <v>181</v>
      </c>
      <c r="V105" s="2" t="s">
        <v>678</v>
      </c>
      <c r="W105" s="2" t="s">
        <v>86</v>
      </c>
      <c r="X105" s="2" t="s">
        <v>117</v>
      </c>
      <c r="Y105" s="3" t="s">
        <v>118</v>
      </c>
      <c r="Z105" s="3">
        <v>44.44</v>
      </c>
      <c r="AA105" s="2" t="s">
        <v>138</v>
      </c>
      <c r="AB105" s="2" t="s">
        <v>842</v>
      </c>
      <c r="AC105" s="2" t="s">
        <v>843</v>
      </c>
      <c r="AD105" t="str" cm="1">
        <f t="array" ref="AD10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105" s="2" t="s">
        <v>182</v>
      </c>
      <c r="AF105" s="2" t="s">
        <v>92</v>
      </c>
      <c r="AG105" s="2" t="s">
        <v>274</v>
      </c>
      <c r="AH105" s="2" t="s">
        <v>275</v>
      </c>
      <c r="AJ105" s="2" t="s">
        <v>122</v>
      </c>
      <c r="AK105" s="2" t="s">
        <v>844</v>
      </c>
      <c r="AN105" s="3">
        <v>1</v>
      </c>
      <c r="AO105" s="3">
        <v>1</v>
      </c>
      <c r="AP105" s="3">
        <v>1</v>
      </c>
      <c r="AQ105" s="3">
        <v>1</v>
      </c>
      <c r="AR105" s="3">
        <v>0</v>
      </c>
      <c r="AS105" s="3">
        <v>1</v>
      </c>
      <c r="AT105" s="3">
        <v>0</v>
      </c>
      <c r="AU105" s="3">
        <v>0</v>
      </c>
      <c r="AV105" s="3">
        <v>1</v>
      </c>
      <c r="AW105" s="3">
        <v>0</v>
      </c>
      <c r="AX105" s="3">
        <v>0</v>
      </c>
      <c r="AY105" s="3">
        <v>1</v>
      </c>
      <c r="AZ105" s="3">
        <v>0</v>
      </c>
      <c r="BA105" s="3">
        <v>0</v>
      </c>
      <c r="BB105" s="3">
        <v>0</v>
      </c>
      <c r="BC105" s="3">
        <v>1</v>
      </c>
      <c r="BD105" s="3">
        <v>6</v>
      </c>
      <c r="BE105" s="3">
        <v>0</v>
      </c>
      <c r="BG105" s="2" t="s">
        <v>158</v>
      </c>
      <c r="BH105" s="3">
        <v>1</v>
      </c>
      <c r="BJ105" s="2" t="s">
        <v>96</v>
      </c>
      <c r="BL105" s="2" t="s">
        <v>845</v>
      </c>
      <c r="BM105" s="2" t="s">
        <v>846</v>
      </c>
      <c r="BN105" s="2" t="s">
        <v>279</v>
      </c>
      <c r="BO105" s="2" t="s">
        <v>280</v>
      </c>
      <c r="BP105" s="2" t="s">
        <v>242</v>
      </c>
      <c r="BQ105" s="2" t="s">
        <v>448</v>
      </c>
      <c r="BR105" s="2" t="s">
        <v>449</v>
      </c>
      <c r="BS105" s="2" t="s">
        <v>450</v>
      </c>
      <c r="BT105" s="2" t="s">
        <v>148</v>
      </c>
      <c r="BU105" s="2" t="s">
        <v>847</v>
      </c>
      <c r="BV105" s="2" t="s">
        <v>150</v>
      </c>
      <c r="BW105" s="2" t="s">
        <v>151</v>
      </c>
      <c r="BX105" s="2" t="s">
        <v>182</v>
      </c>
      <c r="BY10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05" s="2">
        <f>IF(AND(Cases[[#This Row],[Priority Level]]&gt;=3,Cases[[#This Row],[System Role]]&lt;&gt;"Productive"),1,0)</f>
        <v>0</v>
      </c>
      <c r="CA105" s="2">
        <f>IFERROR(IF(Cases[[#This Row],[Days at Customer]]&gt;MAX(1,Cases[[#This Row],[Days at SAP]]*2),1,0),0)</f>
        <v>1</v>
      </c>
      <c r="CB105" s="2">
        <f>IF(AND(Cases[[#This Row],[Initial Component]]&lt;&gt;"",Cases[[#This Row],[Component]]&lt;&gt;"",Cases[[#This Row],[Initial Component]]&lt;&gt;Cases[[#This Row],[Component]]),1,0)</f>
        <v>1</v>
      </c>
      <c r="CC105" s="2">
        <f>IF(OR(Cases[[#This Row],[Is Reopened]]="X",Cases[[#This Row],[No. of Reopenings]]&gt;0),1,0)</f>
        <v>1</v>
      </c>
      <c r="CD105" s="2">
        <f>IF(Cases[[#This Row],[Confirmation Type]]="Automatic",1,0)</f>
        <v>1</v>
      </c>
      <c r="CE105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106" spans="1:83" x14ac:dyDescent="0.2">
      <c r="A106" s="1" t="s">
        <v>3935</v>
      </c>
      <c r="B106" s="2" t="s">
        <v>3936</v>
      </c>
      <c r="C106" s="2" t="s">
        <v>3937</v>
      </c>
      <c r="D106" s="2" t="s">
        <v>238</v>
      </c>
      <c r="E106" s="3">
        <v>152.88999999999999</v>
      </c>
      <c r="F106" s="3">
        <v>39.840000000000003</v>
      </c>
      <c r="G106" s="2" t="s">
        <v>190</v>
      </c>
      <c r="H106" s="2" t="s">
        <v>1205</v>
      </c>
      <c r="I106" s="3" t="s">
        <v>114</v>
      </c>
      <c r="J106" s="3">
        <v>338</v>
      </c>
      <c r="K106" s="2" t="s">
        <v>3938</v>
      </c>
      <c r="L106" s="4">
        <v>46009</v>
      </c>
      <c r="M106" s="4">
        <v>45982</v>
      </c>
      <c r="N106" s="2" t="s">
        <v>2274</v>
      </c>
      <c r="O106" s="2" t="s">
        <v>1805</v>
      </c>
      <c r="P106" s="2" t="s">
        <v>2404</v>
      </c>
      <c r="Q106" s="2" t="s">
        <v>1806</v>
      </c>
      <c r="R106" s="2" t="s">
        <v>3939</v>
      </c>
      <c r="S106" s="4">
        <v>45789</v>
      </c>
      <c r="T106" s="2" t="s">
        <v>3902</v>
      </c>
      <c r="U106" s="2" t="s">
        <v>3868</v>
      </c>
      <c r="V106" s="2" t="s">
        <v>3927</v>
      </c>
      <c r="W106" s="2" t="s">
        <v>1806</v>
      </c>
      <c r="X106" s="2" t="s">
        <v>117</v>
      </c>
      <c r="Y106" s="3" t="s">
        <v>118</v>
      </c>
      <c r="Z106" s="3">
        <v>192.73</v>
      </c>
      <c r="AA106" s="2" t="s">
        <v>138</v>
      </c>
      <c r="AB106" s="2" t="s">
        <v>2324</v>
      </c>
      <c r="AC106" s="2" t="s">
        <v>2725</v>
      </c>
      <c r="AD106" t="str" cm="1">
        <f t="array" ref="AD10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106" s="2" t="s">
        <v>91</v>
      </c>
      <c r="AF106" s="2" t="s">
        <v>92</v>
      </c>
      <c r="AG106" s="2" t="s">
        <v>274</v>
      </c>
      <c r="AH106" s="2" t="s">
        <v>275</v>
      </c>
      <c r="AJ106" s="2" t="s">
        <v>122</v>
      </c>
      <c r="AK106" s="2" t="s">
        <v>3940</v>
      </c>
      <c r="AN106" s="3">
        <v>1</v>
      </c>
      <c r="AO106" s="3">
        <v>0</v>
      </c>
      <c r="AP106" s="3">
        <v>1</v>
      </c>
      <c r="AQ106" s="3">
        <v>1</v>
      </c>
      <c r="AR106" s="3">
        <v>1</v>
      </c>
      <c r="AS106" s="3">
        <v>0</v>
      </c>
      <c r="AT106" s="3">
        <v>0</v>
      </c>
      <c r="AU106" s="3">
        <v>0</v>
      </c>
      <c r="AV106" s="3">
        <v>1</v>
      </c>
      <c r="AW106" s="3">
        <v>0</v>
      </c>
      <c r="AX106" s="3">
        <v>1</v>
      </c>
      <c r="AY106" s="3">
        <v>0</v>
      </c>
      <c r="AZ106" s="3">
        <v>0</v>
      </c>
      <c r="BA106" s="3">
        <v>0</v>
      </c>
      <c r="BB106" s="3">
        <v>0</v>
      </c>
      <c r="BC106" s="3">
        <v>1</v>
      </c>
      <c r="BD106" s="3">
        <v>2</v>
      </c>
      <c r="BE106" s="3">
        <v>0</v>
      </c>
      <c r="BG106" s="2" t="s">
        <v>91</v>
      </c>
      <c r="BH106" s="3">
        <v>3</v>
      </c>
      <c r="BJ106" s="2" t="s">
        <v>96</v>
      </c>
      <c r="BL106" s="2" t="s">
        <v>2324</v>
      </c>
      <c r="BM106" s="2" t="s">
        <v>2325</v>
      </c>
      <c r="BN106" s="2" t="s">
        <v>279</v>
      </c>
      <c r="BO106" s="2" t="s">
        <v>280</v>
      </c>
      <c r="BP106" s="2" t="s">
        <v>242</v>
      </c>
      <c r="BQ106" s="2" t="s">
        <v>448</v>
      </c>
      <c r="BR106" s="2" t="s">
        <v>449</v>
      </c>
      <c r="BS106" s="2" t="s">
        <v>147</v>
      </c>
      <c r="BT106" s="2" t="s">
        <v>148</v>
      </c>
      <c r="BU106" s="2" t="s">
        <v>2326</v>
      </c>
      <c r="BV106" s="2" t="s">
        <v>150</v>
      </c>
      <c r="BW106" s="2" t="s">
        <v>151</v>
      </c>
      <c r="BX106" s="2" t="s">
        <v>91</v>
      </c>
      <c r="BY10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06" s="2">
        <f>IF(AND(Cases[[#This Row],[Priority Level]]&gt;=3,Cases[[#This Row],[System Role]]&lt;&gt;"Productive"),1,0)</f>
        <v>0</v>
      </c>
      <c r="CA106" s="2">
        <f>IFERROR(IF(Cases[[#This Row],[Days at Customer]]&gt;MAX(1,Cases[[#This Row],[Days at SAP]]*2),1,0),0)</f>
        <v>0</v>
      </c>
      <c r="CB106" s="2">
        <f>IF(AND(Cases[[#This Row],[Initial Component]]&lt;&gt;"",Cases[[#This Row],[Component]]&lt;&gt;"",Cases[[#This Row],[Initial Component]]&lt;&gt;Cases[[#This Row],[Component]]),1,0)</f>
        <v>1</v>
      </c>
      <c r="CC106" s="2">
        <f>IF(OR(Cases[[#This Row],[Is Reopened]]="X",Cases[[#This Row],[No. of Reopenings]]&gt;0),1,0)</f>
        <v>1</v>
      </c>
      <c r="CD106" s="2">
        <f>IF(Cases[[#This Row],[Confirmation Type]]="Automatic",1,0)</f>
        <v>1</v>
      </c>
      <c r="CE10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07" spans="1:83" x14ac:dyDescent="0.2">
      <c r="A107" s="1" t="s">
        <v>852</v>
      </c>
      <c r="B107" s="2" t="s">
        <v>853</v>
      </c>
      <c r="C107" s="2" t="s">
        <v>323</v>
      </c>
      <c r="D107" s="2" t="s">
        <v>238</v>
      </c>
      <c r="E107" s="3">
        <v>1.4</v>
      </c>
      <c r="F107" s="3">
        <v>21.95</v>
      </c>
      <c r="G107" s="2" t="s">
        <v>725</v>
      </c>
      <c r="H107" s="2" t="s">
        <v>726</v>
      </c>
      <c r="I107" s="3" t="s">
        <v>114</v>
      </c>
      <c r="J107" s="3">
        <v>51</v>
      </c>
      <c r="K107" s="2" t="s">
        <v>854</v>
      </c>
      <c r="L107" s="4">
        <v>46103</v>
      </c>
      <c r="M107" s="4">
        <v>46100</v>
      </c>
      <c r="N107" s="2" t="s">
        <v>180</v>
      </c>
      <c r="O107" s="2" t="s">
        <v>181</v>
      </c>
      <c r="P107" s="2" t="s">
        <v>260</v>
      </c>
      <c r="Q107" s="2" t="s">
        <v>86</v>
      </c>
      <c r="R107" s="2" t="s">
        <v>326</v>
      </c>
      <c r="S107" s="4">
        <v>46076</v>
      </c>
      <c r="T107" s="2" t="s">
        <v>677</v>
      </c>
      <c r="U107" s="2" t="s">
        <v>181</v>
      </c>
      <c r="V107" s="2" t="s">
        <v>678</v>
      </c>
      <c r="W107" s="2" t="s">
        <v>86</v>
      </c>
      <c r="X107" s="2" t="s">
        <v>117</v>
      </c>
      <c r="Y107" s="3" t="s">
        <v>118</v>
      </c>
      <c r="Z107" s="3">
        <v>23.35</v>
      </c>
      <c r="AA107" s="2" t="s">
        <v>90</v>
      </c>
      <c r="AB107" s="2" t="s">
        <v>326</v>
      </c>
      <c r="AC107" s="2" t="s">
        <v>323</v>
      </c>
      <c r="AD107" t="str" cm="1">
        <f t="array" ref="AD10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107" s="2" t="s">
        <v>91</v>
      </c>
      <c r="AF107" s="2" t="s">
        <v>92</v>
      </c>
      <c r="AG107" s="2" t="s">
        <v>119</v>
      </c>
      <c r="AH107" s="2" t="s">
        <v>120</v>
      </c>
      <c r="AK107" s="2" t="s">
        <v>855</v>
      </c>
      <c r="AN107" s="3">
        <v>1</v>
      </c>
      <c r="AO107" s="3">
        <v>1</v>
      </c>
      <c r="AP107" s="3">
        <v>1</v>
      </c>
      <c r="AQ107" s="3">
        <v>1</v>
      </c>
      <c r="AR107" s="3">
        <v>1</v>
      </c>
      <c r="AS107" s="3">
        <v>0</v>
      </c>
      <c r="AT107" s="3">
        <v>0</v>
      </c>
      <c r="AU107" s="3">
        <v>0</v>
      </c>
      <c r="AV107" s="3">
        <v>1</v>
      </c>
      <c r="AW107" s="3">
        <v>0</v>
      </c>
      <c r="AX107" s="3">
        <v>1</v>
      </c>
      <c r="AY107" s="3">
        <v>0</v>
      </c>
      <c r="AZ107" s="3">
        <v>0</v>
      </c>
      <c r="BA107" s="3">
        <v>1</v>
      </c>
      <c r="BB107" s="3">
        <v>0</v>
      </c>
      <c r="BC107" s="3">
        <v>0</v>
      </c>
      <c r="BD107" s="3">
        <v>0</v>
      </c>
      <c r="BE107" s="3">
        <v>0</v>
      </c>
      <c r="BG107" s="2" t="s">
        <v>91</v>
      </c>
      <c r="BH107" s="3">
        <v>3</v>
      </c>
      <c r="BJ107" s="2" t="s">
        <v>96</v>
      </c>
      <c r="BL107" s="2" t="s">
        <v>123</v>
      </c>
      <c r="BM107" s="2" t="s">
        <v>123</v>
      </c>
      <c r="BN107" s="2" t="s">
        <v>124</v>
      </c>
      <c r="BO107" s="2" t="s">
        <v>125</v>
      </c>
      <c r="BP107" s="2" t="s">
        <v>242</v>
      </c>
      <c r="BQ107" s="2" t="s">
        <v>124</v>
      </c>
      <c r="BR107" s="2" t="s">
        <v>126</v>
      </c>
      <c r="BS107" s="2" t="s">
        <v>127</v>
      </c>
      <c r="BT107" s="2" t="s">
        <v>199</v>
      </c>
      <c r="BU107" s="2" t="s">
        <v>200</v>
      </c>
      <c r="BV107" s="2" t="s">
        <v>166</v>
      </c>
      <c r="BW107" s="2" t="s">
        <v>167</v>
      </c>
      <c r="BX107" s="2" t="s">
        <v>91</v>
      </c>
      <c r="BY10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07" s="2">
        <f>IF(AND(Cases[[#This Row],[Priority Level]]&gt;=3,Cases[[#This Row],[System Role]]&lt;&gt;"Productive"),1,0)</f>
        <v>1</v>
      </c>
      <c r="CA107" s="2">
        <f>IFERROR(IF(Cases[[#This Row],[Days at Customer]]&gt;MAX(1,Cases[[#This Row],[Days at SAP]]*2),1,0),0)</f>
        <v>1</v>
      </c>
      <c r="CB107" s="2">
        <f>IF(AND(Cases[[#This Row],[Initial Component]]&lt;&gt;"",Cases[[#This Row],[Component]]&lt;&gt;"",Cases[[#This Row],[Initial Component]]&lt;&gt;Cases[[#This Row],[Component]]),1,0)</f>
        <v>0</v>
      </c>
      <c r="CC107" s="2">
        <f>IF(OR(Cases[[#This Row],[Is Reopened]]="X",Cases[[#This Row],[No. of Reopenings]]&gt;0),1,0)</f>
        <v>0</v>
      </c>
      <c r="CD107" s="2">
        <f>IF(Cases[[#This Row],[Confirmation Type]]="Automatic",1,0)</f>
        <v>1</v>
      </c>
      <c r="CE10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08" spans="1:83" x14ac:dyDescent="0.2">
      <c r="A108" s="1" t="s">
        <v>856</v>
      </c>
      <c r="B108" s="2" t="s">
        <v>857</v>
      </c>
      <c r="C108" s="2" t="s">
        <v>858</v>
      </c>
      <c r="D108" s="2" t="s">
        <v>78</v>
      </c>
      <c r="E108" s="3">
        <v>0.43</v>
      </c>
      <c r="F108" s="3">
        <v>15.26</v>
      </c>
      <c r="G108" s="2" t="s">
        <v>190</v>
      </c>
      <c r="H108" s="2" t="s">
        <v>191</v>
      </c>
      <c r="I108" s="3" t="s">
        <v>114</v>
      </c>
      <c r="J108" s="3">
        <v>51</v>
      </c>
      <c r="K108" s="2" t="s">
        <v>859</v>
      </c>
      <c r="L108" s="4">
        <v>46096</v>
      </c>
      <c r="M108" s="4">
        <v>46092</v>
      </c>
      <c r="N108" s="2" t="s">
        <v>180</v>
      </c>
      <c r="O108" s="2" t="s">
        <v>181</v>
      </c>
      <c r="P108" s="2" t="s">
        <v>350</v>
      </c>
      <c r="Q108" s="2" t="s">
        <v>86</v>
      </c>
      <c r="R108" s="2" t="s">
        <v>860</v>
      </c>
      <c r="S108" s="4">
        <v>46076</v>
      </c>
      <c r="T108" s="2" t="s">
        <v>677</v>
      </c>
      <c r="U108" s="2" t="s">
        <v>181</v>
      </c>
      <c r="V108" s="2" t="s">
        <v>678</v>
      </c>
      <c r="W108" s="2" t="s">
        <v>86</v>
      </c>
      <c r="X108" s="2" t="s">
        <v>117</v>
      </c>
      <c r="Y108" s="3" t="s">
        <v>118</v>
      </c>
      <c r="Z108" s="3">
        <v>15.69</v>
      </c>
      <c r="AA108" s="2" t="s">
        <v>90</v>
      </c>
      <c r="AB108" s="2" t="s">
        <v>861</v>
      </c>
      <c r="AC108" s="2" t="s">
        <v>862</v>
      </c>
      <c r="AD108" t="str" cm="1">
        <f t="array" ref="AD10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108" s="2" t="s">
        <v>91</v>
      </c>
      <c r="AF108" s="2" t="s">
        <v>92</v>
      </c>
      <c r="AG108" s="2" t="s">
        <v>119</v>
      </c>
      <c r="AH108" s="2" t="s">
        <v>120</v>
      </c>
      <c r="AK108" s="2" t="s">
        <v>863</v>
      </c>
      <c r="AN108" s="3">
        <v>1</v>
      </c>
      <c r="AO108" s="3">
        <v>1</v>
      </c>
      <c r="AP108" s="3">
        <v>1</v>
      </c>
      <c r="AQ108" s="3">
        <v>1</v>
      </c>
      <c r="AR108" s="3">
        <v>1</v>
      </c>
      <c r="AS108" s="3">
        <v>0</v>
      </c>
      <c r="AT108" s="3">
        <v>0</v>
      </c>
      <c r="AU108" s="3">
        <v>0</v>
      </c>
      <c r="AV108" s="3">
        <v>0</v>
      </c>
      <c r="AW108" s="3">
        <v>1</v>
      </c>
      <c r="AX108" s="3">
        <v>1</v>
      </c>
      <c r="AY108" s="3">
        <v>0</v>
      </c>
      <c r="AZ108" s="3">
        <v>0</v>
      </c>
      <c r="BA108" s="3">
        <v>0</v>
      </c>
      <c r="BB108" s="3">
        <v>0</v>
      </c>
      <c r="BC108" s="3">
        <v>1</v>
      </c>
      <c r="BD108" s="3">
        <v>0</v>
      </c>
      <c r="BE108" s="3">
        <v>0</v>
      </c>
      <c r="BG108" s="2" t="s">
        <v>91</v>
      </c>
      <c r="BH108" s="3">
        <v>3</v>
      </c>
      <c r="BJ108" s="2" t="s">
        <v>96</v>
      </c>
      <c r="BL108" s="2" t="s">
        <v>123</v>
      </c>
      <c r="BM108" s="2" t="s">
        <v>123</v>
      </c>
      <c r="BN108" s="2" t="s">
        <v>124</v>
      </c>
      <c r="BO108" s="2" t="s">
        <v>125</v>
      </c>
      <c r="BP108" s="2" t="s">
        <v>101</v>
      </c>
      <c r="BQ108" s="2" t="s">
        <v>124</v>
      </c>
      <c r="BR108" s="2" t="s">
        <v>126</v>
      </c>
      <c r="BS108" s="2" t="s">
        <v>127</v>
      </c>
      <c r="BT108" s="2" t="s">
        <v>207</v>
      </c>
      <c r="BU108" s="2" t="s">
        <v>208</v>
      </c>
      <c r="BV108" s="2" t="s">
        <v>150</v>
      </c>
      <c r="BW108" s="2" t="s">
        <v>151</v>
      </c>
      <c r="BX108" s="2" t="s">
        <v>91</v>
      </c>
      <c r="BY10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08" s="2">
        <f>IF(AND(Cases[[#This Row],[Priority Level]]&gt;=3,Cases[[#This Row],[System Role]]&lt;&gt;"Productive"),1,0)</f>
        <v>0</v>
      </c>
      <c r="CA108" s="2">
        <f>IFERROR(IF(Cases[[#This Row],[Days at Customer]]&gt;MAX(1,Cases[[#This Row],[Days at SAP]]*2),1,0),0)</f>
        <v>1</v>
      </c>
      <c r="CB108" s="2">
        <f>IF(AND(Cases[[#This Row],[Initial Component]]&lt;&gt;"",Cases[[#This Row],[Component]]&lt;&gt;"",Cases[[#This Row],[Initial Component]]&lt;&gt;Cases[[#This Row],[Component]]),1,0)</f>
        <v>1</v>
      </c>
      <c r="CC108" s="2">
        <f>IF(OR(Cases[[#This Row],[Is Reopened]]="X",Cases[[#This Row],[No. of Reopenings]]&gt;0),1,0)</f>
        <v>0</v>
      </c>
      <c r="CD108" s="2">
        <f>IF(Cases[[#This Row],[Confirmation Type]]="Automatic",1,0)</f>
        <v>0</v>
      </c>
      <c r="CE108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09" spans="1:83" x14ac:dyDescent="0.2">
      <c r="A109" s="1" t="s">
        <v>864</v>
      </c>
      <c r="B109" s="2" t="s">
        <v>865</v>
      </c>
      <c r="C109" s="2" t="s">
        <v>866</v>
      </c>
      <c r="D109" s="2" t="s">
        <v>78</v>
      </c>
      <c r="E109" s="3">
        <v>13.58</v>
      </c>
      <c r="F109" s="3">
        <v>1.99</v>
      </c>
      <c r="G109" s="2" t="s">
        <v>79</v>
      </c>
      <c r="H109" s="2" t="s">
        <v>178</v>
      </c>
      <c r="I109" s="3" t="s">
        <v>114</v>
      </c>
      <c r="J109" s="3">
        <v>51</v>
      </c>
      <c r="K109" s="2" t="s">
        <v>867</v>
      </c>
      <c r="L109" s="4">
        <v>46096</v>
      </c>
      <c r="M109" s="4">
        <v>46092</v>
      </c>
      <c r="N109" s="2" t="s">
        <v>180</v>
      </c>
      <c r="O109" s="2" t="s">
        <v>181</v>
      </c>
      <c r="P109" s="2" t="s">
        <v>350</v>
      </c>
      <c r="Q109" s="2" t="s">
        <v>86</v>
      </c>
      <c r="R109" s="2" t="s">
        <v>868</v>
      </c>
      <c r="S109" s="4">
        <v>46076</v>
      </c>
      <c r="T109" s="2" t="s">
        <v>677</v>
      </c>
      <c r="U109" s="2" t="s">
        <v>181</v>
      </c>
      <c r="V109" s="2" t="s">
        <v>678</v>
      </c>
      <c r="W109" s="2" t="s">
        <v>86</v>
      </c>
      <c r="X109" s="2" t="s">
        <v>117</v>
      </c>
      <c r="Y109" s="3" t="s">
        <v>118</v>
      </c>
      <c r="Z109" s="3">
        <v>15.58</v>
      </c>
      <c r="AA109" s="2" t="s">
        <v>90</v>
      </c>
      <c r="AB109" s="2" t="s">
        <v>869</v>
      </c>
      <c r="AC109" s="2" t="s">
        <v>870</v>
      </c>
      <c r="AD109" t="str" cm="1">
        <f t="array" ref="AD10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109" s="2" t="s">
        <v>139</v>
      </c>
      <c r="AF109" s="2" t="s">
        <v>92</v>
      </c>
      <c r="AG109" s="2" t="s">
        <v>119</v>
      </c>
      <c r="AH109" s="2" t="s">
        <v>120</v>
      </c>
      <c r="AK109" s="2" t="s">
        <v>871</v>
      </c>
      <c r="AN109" s="3">
        <v>1</v>
      </c>
      <c r="AO109" s="3">
        <v>1</v>
      </c>
      <c r="AP109" s="3">
        <v>1</v>
      </c>
      <c r="AQ109" s="3">
        <v>1</v>
      </c>
      <c r="AR109" s="3">
        <v>0</v>
      </c>
      <c r="AS109" s="3">
        <v>0</v>
      </c>
      <c r="AT109" s="3">
        <v>1</v>
      </c>
      <c r="AU109" s="3">
        <v>0</v>
      </c>
      <c r="AV109" s="3">
        <v>0</v>
      </c>
      <c r="AW109" s="3">
        <v>1</v>
      </c>
      <c r="AX109" s="3">
        <v>0</v>
      </c>
      <c r="AY109" s="3">
        <v>0</v>
      </c>
      <c r="AZ109" s="3">
        <v>1</v>
      </c>
      <c r="BA109" s="3">
        <v>1</v>
      </c>
      <c r="BB109" s="3">
        <v>0</v>
      </c>
      <c r="BC109" s="3">
        <v>0</v>
      </c>
      <c r="BD109" s="3">
        <v>0</v>
      </c>
      <c r="BE109" s="3">
        <v>0</v>
      </c>
      <c r="BG109" s="2" t="s">
        <v>139</v>
      </c>
      <c r="BH109" s="3">
        <v>2</v>
      </c>
      <c r="BJ109" s="2" t="s">
        <v>96</v>
      </c>
      <c r="BL109" s="2" t="s">
        <v>123</v>
      </c>
      <c r="BM109" s="2" t="s">
        <v>123</v>
      </c>
      <c r="BN109" s="2" t="s">
        <v>124</v>
      </c>
      <c r="BO109" s="2" t="s">
        <v>125</v>
      </c>
      <c r="BP109" s="2" t="s">
        <v>101</v>
      </c>
      <c r="BQ109" s="2" t="s">
        <v>124</v>
      </c>
      <c r="BR109" s="2" t="s">
        <v>126</v>
      </c>
      <c r="BS109" s="2" t="s">
        <v>127</v>
      </c>
      <c r="BT109" s="2" t="s">
        <v>872</v>
      </c>
      <c r="BU109" s="2" t="s">
        <v>873</v>
      </c>
      <c r="BV109" s="2" t="s">
        <v>166</v>
      </c>
      <c r="BW109" s="2" t="s">
        <v>167</v>
      </c>
      <c r="BX109" s="2" t="s">
        <v>139</v>
      </c>
      <c r="BY10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09" s="2">
        <f>IF(AND(Cases[[#This Row],[Priority Level]]&gt;=3,Cases[[#This Row],[System Role]]&lt;&gt;"Productive"),1,0)</f>
        <v>0</v>
      </c>
      <c r="CA109" s="2">
        <f>IFERROR(IF(Cases[[#This Row],[Days at Customer]]&gt;MAX(1,Cases[[#This Row],[Days at SAP]]*2),1,0),0)</f>
        <v>0</v>
      </c>
      <c r="CB109" s="2">
        <f>IF(AND(Cases[[#This Row],[Initial Component]]&lt;&gt;"",Cases[[#This Row],[Component]]&lt;&gt;"",Cases[[#This Row],[Initial Component]]&lt;&gt;Cases[[#This Row],[Component]]),1,0)</f>
        <v>1</v>
      </c>
      <c r="CC109" s="2">
        <f>IF(OR(Cases[[#This Row],[Is Reopened]]="X",Cases[[#This Row],[No. of Reopenings]]&gt;0),1,0)</f>
        <v>0</v>
      </c>
      <c r="CD109" s="2">
        <f>IF(Cases[[#This Row],[Confirmation Type]]="Automatic",1,0)</f>
        <v>0</v>
      </c>
      <c r="CE109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10" spans="1:83" x14ac:dyDescent="0.2">
      <c r="A110" s="1" t="s">
        <v>874</v>
      </c>
      <c r="B110" s="2" t="s">
        <v>875</v>
      </c>
      <c r="C110" s="2" t="s">
        <v>876</v>
      </c>
      <c r="D110" s="2" t="s">
        <v>238</v>
      </c>
      <c r="E110" s="3">
        <v>8.18</v>
      </c>
      <c r="F110" s="3">
        <v>22.37</v>
      </c>
      <c r="G110" s="2" t="s">
        <v>190</v>
      </c>
      <c r="H110" s="2" t="s">
        <v>666</v>
      </c>
      <c r="I110" s="3" t="s">
        <v>114</v>
      </c>
      <c r="J110" s="3">
        <v>51</v>
      </c>
      <c r="K110" s="2" t="s">
        <v>877</v>
      </c>
      <c r="L110" s="4">
        <v>46110</v>
      </c>
      <c r="M110" s="4">
        <v>46107</v>
      </c>
      <c r="N110" s="2" t="s">
        <v>180</v>
      </c>
      <c r="O110" s="2" t="s">
        <v>181</v>
      </c>
      <c r="P110" s="2" t="s">
        <v>195</v>
      </c>
      <c r="Q110" s="2" t="s">
        <v>86</v>
      </c>
      <c r="R110" s="2" t="s">
        <v>878</v>
      </c>
      <c r="S110" s="4">
        <v>46076</v>
      </c>
      <c r="T110" s="2" t="s">
        <v>677</v>
      </c>
      <c r="U110" s="2" t="s">
        <v>181</v>
      </c>
      <c r="V110" s="2" t="s">
        <v>678</v>
      </c>
      <c r="W110" s="2" t="s">
        <v>86</v>
      </c>
      <c r="X110" s="2" t="s">
        <v>117</v>
      </c>
      <c r="Y110" s="3" t="s">
        <v>118</v>
      </c>
      <c r="Z110" s="3">
        <v>30.55</v>
      </c>
      <c r="AA110" s="2" t="s">
        <v>90</v>
      </c>
      <c r="AB110" s="2" t="s">
        <v>878</v>
      </c>
      <c r="AC110" s="2" t="s">
        <v>876</v>
      </c>
      <c r="AD110" t="str" cm="1">
        <f t="array" ref="AD11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110" s="2" t="s">
        <v>158</v>
      </c>
      <c r="AF110" s="2" t="s">
        <v>92</v>
      </c>
      <c r="AG110" s="2" t="s">
        <v>119</v>
      </c>
      <c r="AH110" s="2" t="s">
        <v>120</v>
      </c>
      <c r="AJ110" s="2" t="s">
        <v>122</v>
      </c>
      <c r="AK110" s="2" t="s">
        <v>879</v>
      </c>
      <c r="AN110" s="3">
        <v>1</v>
      </c>
      <c r="AO110" s="3">
        <v>1</v>
      </c>
      <c r="AP110" s="3">
        <v>1</v>
      </c>
      <c r="AQ110" s="3">
        <v>1</v>
      </c>
      <c r="AR110" s="3">
        <v>0</v>
      </c>
      <c r="AS110" s="3">
        <v>1</v>
      </c>
      <c r="AT110" s="3">
        <v>0</v>
      </c>
      <c r="AU110" s="3">
        <v>0</v>
      </c>
      <c r="AV110" s="3">
        <v>1</v>
      </c>
      <c r="AW110" s="3">
        <v>0</v>
      </c>
      <c r="AX110" s="3">
        <v>0</v>
      </c>
      <c r="AY110" s="3">
        <v>1</v>
      </c>
      <c r="AZ110" s="3">
        <v>0</v>
      </c>
      <c r="BA110" s="3">
        <v>1</v>
      </c>
      <c r="BB110" s="3">
        <v>0</v>
      </c>
      <c r="BC110" s="3">
        <v>0</v>
      </c>
      <c r="BD110" s="3">
        <v>2</v>
      </c>
      <c r="BE110" s="3">
        <v>0</v>
      </c>
      <c r="BG110" s="2" t="s">
        <v>158</v>
      </c>
      <c r="BH110" s="3">
        <v>1</v>
      </c>
      <c r="BJ110" s="2" t="s">
        <v>96</v>
      </c>
      <c r="BL110" s="2" t="s">
        <v>123</v>
      </c>
      <c r="BM110" s="2" t="s">
        <v>123</v>
      </c>
      <c r="BN110" s="2" t="s">
        <v>124</v>
      </c>
      <c r="BO110" s="2" t="s">
        <v>125</v>
      </c>
      <c r="BP110" s="2" t="s">
        <v>242</v>
      </c>
      <c r="BQ110" s="2" t="s">
        <v>124</v>
      </c>
      <c r="BR110" s="2" t="s">
        <v>126</v>
      </c>
      <c r="BS110" s="2" t="s">
        <v>127</v>
      </c>
      <c r="BT110" s="2" t="s">
        <v>410</v>
      </c>
      <c r="BU110" s="2" t="s">
        <v>411</v>
      </c>
      <c r="BV110" s="2" t="s">
        <v>166</v>
      </c>
      <c r="BW110" s="2" t="s">
        <v>167</v>
      </c>
      <c r="BX110" s="2" t="s">
        <v>158</v>
      </c>
      <c r="BY11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10" s="2">
        <f>IF(AND(Cases[[#This Row],[Priority Level]]&gt;=3,Cases[[#This Row],[System Role]]&lt;&gt;"Productive"),1,0)</f>
        <v>0</v>
      </c>
      <c r="CA110" s="2">
        <f>IFERROR(IF(Cases[[#This Row],[Days at Customer]]&gt;MAX(1,Cases[[#This Row],[Days at SAP]]*2),1,0),0)</f>
        <v>1</v>
      </c>
      <c r="CB110" s="2">
        <f>IF(AND(Cases[[#This Row],[Initial Component]]&lt;&gt;"",Cases[[#This Row],[Component]]&lt;&gt;"",Cases[[#This Row],[Initial Component]]&lt;&gt;Cases[[#This Row],[Component]]),1,0)</f>
        <v>0</v>
      </c>
      <c r="CC110" s="2">
        <f>IF(OR(Cases[[#This Row],[Is Reopened]]="X",Cases[[#This Row],[No. of Reopenings]]&gt;0),1,0)</f>
        <v>1</v>
      </c>
      <c r="CD110" s="2">
        <f>IF(Cases[[#This Row],[Confirmation Type]]="Automatic",1,0)</f>
        <v>1</v>
      </c>
      <c r="CE11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11" spans="1:83" x14ac:dyDescent="0.2">
      <c r="A111" s="1" t="s">
        <v>880</v>
      </c>
      <c r="B111" s="2" t="s">
        <v>881</v>
      </c>
      <c r="C111" s="2" t="s">
        <v>882</v>
      </c>
      <c r="D111" s="2" t="s">
        <v>238</v>
      </c>
      <c r="E111" s="3">
        <v>0.46</v>
      </c>
      <c r="F111" s="3">
        <v>21.06</v>
      </c>
      <c r="G111" s="2" t="s">
        <v>725</v>
      </c>
      <c r="H111" s="2" t="s">
        <v>883</v>
      </c>
      <c r="I111" s="3" t="s">
        <v>114</v>
      </c>
      <c r="J111" s="3">
        <v>51</v>
      </c>
      <c r="K111" s="2" t="s">
        <v>884</v>
      </c>
      <c r="L111" s="4">
        <v>46103</v>
      </c>
      <c r="M111" s="4">
        <v>46098</v>
      </c>
      <c r="N111" s="2" t="s">
        <v>180</v>
      </c>
      <c r="O111" s="2" t="s">
        <v>181</v>
      </c>
      <c r="P111" s="2" t="s">
        <v>260</v>
      </c>
      <c r="Q111" s="2" t="s">
        <v>86</v>
      </c>
      <c r="R111" s="2" t="s">
        <v>885</v>
      </c>
      <c r="S111" s="4">
        <v>46076</v>
      </c>
      <c r="T111" s="2" t="s">
        <v>677</v>
      </c>
      <c r="U111" s="2" t="s">
        <v>181</v>
      </c>
      <c r="V111" s="2" t="s">
        <v>678</v>
      </c>
      <c r="W111" s="2" t="s">
        <v>86</v>
      </c>
      <c r="X111" s="2" t="s">
        <v>117</v>
      </c>
      <c r="Y111" s="3" t="s">
        <v>118</v>
      </c>
      <c r="Z111" s="3">
        <v>21.53</v>
      </c>
      <c r="AA111" s="2" t="s">
        <v>90</v>
      </c>
      <c r="AB111" s="2" t="s">
        <v>886</v>
      </c>
      <c r="AC111" s="2" t="s">
        <v>887</v>
      </c>
      <c r="AD111" t="str" cm="1">
        <f t="array" ref="AD11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111" s="2" t="s">
        <v>139</v>
      </c>
      <c r="AF111" s="2" t="s">
        <v>92</v>
      </c>
      <c r="AG111" s="2" t="s">
        <v>527</v>
      </c>
      <c r="AH111" s="2" t="s">
        <v>528</v>
      </c>
      <c r="AK111" s="2" t="s">
        <v>888</v>
      </c>
      <c r="AN111" s="3">
        <v>1</v>
      </c>
      <c r="AO111" s="3">
        <v>1</v>
      </c>
      <c r="AP111" s="3">
        <v>1</v>
      </c>
      <c r="AQ111" s="3">
        <v>1</v>
      </c>
      <c r="AR111" s="3">
        <v>0</v>
      </c>
      <c r="AS111" s="3">
        <v>0</v>
      </c>
      <c r="AT111" s="3">
        <v>1</v>
      </c>
      <c r="AU111" s="3">
        <v>0</v>
      </c>
      <c r="AV111" s="3">
        <v>1</v>
      </c>
      <c r="AW111" s="3">
        <v>0</v>
      </c>
      <c r="AX111" s="3">
        <v>0</v>
      </c>
      <c r="AY111" s="3">
        <v>0</v>
      </c>
      <c r="AZ111" s="3">
        <v>1</v>
      </c>
      <c r="BA111" s="3">
        <v>0</v>
      </c>
      <c r="BB111" s="3">
        <v>0</v>
      </c>
      <c r="BC111" s="3">
        <v>1</v>
      </c>
      <c r="BD111" s="3">
        <v>0</v>
      </c>
      <c r="BE111" s="3">
        <v>0</v>
      </c>
      <c r="BG111" s="2" t="s">
        <v>139</v>
      </c>
      <c r="BH111" s="3">
        <v>2</v>
      </c>
      <c r="BJ111" s="2" t="s">
        <v>96</v>
      </c>
      <c r="BL111" s="2" t="s">
        <v>184</v>
      </c>
      <c r="BM111" s="2" t="s">
        <v>184</v>
      </c>
      <c r="BN111" s="2" t="s">
        <v>124</v>
      </c>
      <c r="BO111" s="2" t="s">
        <v>125</v>
      </c>
      <c r="BP111" s="2" t="s">
        <v>242</v>
      </c>
      <c r="BQ111" s="2" t="s">
        <v>124</v>
      </c>
      <c r="BR111" s="2" t="s">
        <v>126</v>
      </c>
      <c r="BS111" s="2" t="s">
        <v>127</v>
      </c>
      <c r="BT111" s="2" t="s">
        <v>185</v>
      </c>
      <c r="BU111" s="2" t="s">
        <v>530</v>
      </c>
      <c r="BV111" s="2" t="s">
        <v>150</v>
      </c>
      <c r="BW111" s="2" t="s">
        <v>151</v>
      </c>
      <c r="BX111" s="2" t="s">
        <v>139</v>
      </c>
      <c r="BY11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11" s="2">
        <f>IF(AND(Cases[[#This Row],[Priority Level]]&gt;=3,Cases[[#This Row],[System Role]]&lt;&gt;"Productive"),1,0)</f>
        <v>0</v>
      </c>
      <c r="CA111" s="2">
        <f>IFERROR(IF(Cases[[#This Row],[Days at Customer]]&gt;MAX(1,Cases[[#This Row],[Days at SAP]]*2),1,0),0)</f>
        <v>1</v>
      </c>
      <c r="CB111" s="2">
        <f>IF(AND(Cases[[#This Row],[Initial Component]]&lt;&gt;"",Cases[[#This Row],[Component]]&lt;&gt;"",Cases[[#This Row],[Initial Component]]&lt;&gt;Cases[[#This Row],[Component]]),1,0)</f>
        <v>1</v>
      </c>
      <c r="CC111" s="2">
        <f>IF(OR(Cases[[#This Row],[Is Reopened]]="X",Cases[[#This Row],[No. of Reopenings]]&gt;0),1,0)</f>
        <v>0</v>
      </c>
      <c r="CD111" s="2">
        <f>IF(Cases[[#This Row],[Confirmation Type]]="Automatic",1,0)</f>
        <v>1</v>
      </c>
      <c r="CE111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12" spans="1:83" x14ac:dyDescent="0.2">
      <c r="A112" s="1" t="s">
        <v>889</v>
      </c>
      <c r="B112" s="2" t="s">
        <v>890</v>
      </c>
      <c r="C112" s="2" t="s">
        <v>891</v>
      </c>
      <c r="D112" s="2" t="s">
        <v>238</v>
      </c>
      <c r="E112" s="3">
        <v>14.22</v>
      </c>
      <c r="F112" s="3">
        <v>21.17</v>
      </c>
      <c r="G112" s="2" t="s">
        <v>133</v>
      </c>
      <c r="H112" s="2" t="s">
        <v>892</v>
      </c>
      <c r="I112" s="3" t="s">
        <v>114</v>
      </c>
      <c r="J112" s="3">
        <v>52</v>
      </c>
      <c r="K112" s="2" t="s">
        <v>893</v>
      </c>
      <c r="L112" s="4">
        <v>46124</v>
      </c>
      <c r="M112" s="4">
        <v>46110</v>
      </c>
      <c r="N112" s="2" t="s">
        <v>180</v>
      </c>
      <c r="O112" s="2" t="s">
        <v>181</v>
      </c>
      <c r="P112" s="2" t="s">
        <v>195</v>
      </c>
      <c r="Q112" s="2" t="s">
        <v>86</v>
      </c>
      <c r="R112" s="2" t="s">
        <v>894</v>
      </c>
      <c r="S112" s="4">
        <v>46075</v>
      </c>
      <c r="T112" s="2" t="s">
        <v>677</v>
      </c>
      <c r="U112" s="2" t="s">
        <v>181</v>
      </c>
      <c r="V112" s="2" t="s">
        <v>895</v>
      </c>
      <c r="W112" s="2" t="s">
        <v>86</v>
      </c>
      <c r="X112" s="2" t="s">
        <v>117</v>
      </c>
      <c r="Y112" s="3" t="s">
        <v>118</v>
      </c>
      <c r="Z112" s="3">
        <v>35.4</v>
      </c>
      <c r="AA112" s="2" t="s">
        <v>138</v>
      </c>
      <c r="AB112" s="2" t="s">
        <v>894</v>
      </c>
      <c r="AC112" s="2" t="s">
        <v>891</v>
      </c>
      <c r="AD112" t="str" cm="1">
        <f t="array" ref="AD11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112" s="2" t="s">
        <v>182</v>
      </c>
      <c r="AF112" s="2" t="s">
        <v>92</v>
      </c>
      <c r="AG112" s="2" t="s">
        <v>274</v>
      </c>
      <c r="AH112" s="2" t="s">
        <v>275</v>
      </c>
      <c r="AK112" s="2" t="s">
        <v>896</v>
      </c>
      <c r="AN112" s="3">
        <v>1</v>
      </c>
      <c r="AO112" s="3">
        <v>1</v>
      </c>
      <c r="AP112" s="3">
        <v>1</v>
      </c>
      <c r="AQ112" s="3">
        <v>1</v>
      </c>
      <c r="AR112" s="3">
        <v>1</v>
      </c>
      <c r="AS112" s="3">
        <v>0</v>
      </c>
      <c r="AT112" s="3">
        <v>0</v>
      </c>
      <c r="AU112" s="3">
        <v>0</v>
      </c>
      <c r="AV112" s="3">
        <v>1</v>
      </c>
      <c r="AW112" s="3">
        <v>0</v>
      </c>
      <c r="AX112" s="3">
        <v>1</v>
      </c>
      <c r="AY112" s="3">
        <v>0</v>
      </c>
      <c r="AZ112" s="3">
        <v>0</v>
      </c>
      <c r="BA112" s="3">
        <v>0</v>
      </c>
      <c r="BB112" s="3">
        <v>0</v>
      </c>
      <c r="BC112" s="3">
        <v>1</v>
      </c>
      <c r="BD112" s="3">
        <v>0</v>
      </c>
      <c r="BE112" s="3">
        <v>0</v>
      </c>
      <c r="BG112" s="2" t="s">
        <v>91</v>
      </c>
      <c r="BH112" s="3">
        <v>3</v>
      </c>
      <c r="BJ112" s="2" t="s">
        <v>96</v>
      </c>
      <c r="BL112" s="2" t="s">
        <v>277</v>
      </c>
      <c r="BM112" s="2" t="s">
        <v>278</v>
      </c>
      <c r="BN112" s="2" t="s">
        <v>279</v>
      </c>
      <c r="BO112" s="2" t="s">
        <v>280</v>
      </c>
      <c r="BP112" s="2" t="s">
        <v>242</v>
      </c>
      <c r="BQ112" s="2" t="s">
        <v>277</v>
      </c>
      <c r="BR112" s="2" t="s">
        <v>281</v>
      </c>
      <c r="BS112" s="2" t="s">
        <v>147</v>
      </c>
      <c r="BT112" s="2" t="s">
        <v>148</v>
      </c>
      <c r="BU112" s="2" t="s">
        <v>282</v>
      </c>
      <c r="BV112" s="2" t="s">
        <v>150</v>
      </c>
      <c r="BW112" s="2" t="s">
        <v>151</v>
      </c>
      <c r="BX112" s="2" t="s">
        <v>182</v>
      </c>
      <c r="BY11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12" s="2">
        <f>IF(AND(Cases[[#This Row],[Priority Level]]&gt;=3,Cases[[#This Row],[System Role]]&lt;&gt;"Productive"),1,0)</f>
        <v>0</v>
      </c>
      <c r="CA112" s="2">
        <f>IFERROR(IF(Cases[[#This Row],[Days at Customer]]&gt;MAX(1,Cases[[#This Row],[Days at SAP]]*2),1,0),0)</f>
        <v>0</v>
      </c>
      <c r="CB112" s="2">
        <f>IF(AND(Cases[[#This Row],[Initial Component]]&lt;&gt;"",Cases[[#This Row],[Component]]&lt;&gt;"",Cases[[#This Row],[Initial Component]]&lt;&gt;Cases[[#This Row],[Component]]),1,0)</f>
        <v>0</v>
      </c>
      <c r="CC112" s="2">
        <f>IF(OR(Cases[[#This Row],[Is Reopened]]="X",Cases[[#This Row],[No. of Reopenings]]&gt;0),1,0)</f>
        <v>0</v>
      </c>
      <c r="CD112" s="2">
        <f>IF(Cases[[#This Row],[Confirmation Type]]="Automatic",1,0)</f>
        <v>1</v>
      </c>
      <c r="CE112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113" spans="1:83" x14ac:dyDescent="0.2">
      <c r="A113" s="1" t="s">
        <v>897</v>
      </c>
      <c r="B113" s="2" t="s">
        <v>898</v>
      </c>
      <c r="C113" s="2" t="s">
        <v>891</v>
      </c>
      <c r="D113" s="2" t="s">
        <v>238</v>
      </c>
      <c r="E113" s="3">
        <v>0.15</v>
      </c>
      <c r="F113" s="3">
        <v>21.51</v>
      </c>
      <c r="G113" s="2" t="s">
        <v>133</v>
      </c>
      <c r="H113" s="2" t="s">
        <v>892</v>
      </c>
      <c r="I113" s="3" t="s">
        <v>114</v>
      </c>
      <c r="J113" s="3">
        <v>52</v>
      </c>
      <c r="K113" s="2" t="s">
        <v>899</v>
      </c>
      <c r="L113" s="4">
        <v>46103</v>
      </c>
      <c r="M113" s="4">
        <v>46096</v>
      </c>
      <c r="N113" s="2" t="s">
        <v>180</v>
      </c>
      <c r="O113" s="2" t="s">
        <v>181</v>
      </c>
      <c r="P113" s="2" t="s">
        <v>350</v>
      </c>
      <c r="Q113" s="2" t="s">
        <v>86</v>
      </c>
      <c r="R113" s="2" t="s">
        <v>894</v>
      </c>
      <c r="S113" s="4">
        <v>46075</v>
      </c>
      <c r="T113" s="2" t="s">
        <v>677</v>
      </c>
      <c r="U113" s="2" t="s">
        <v>181</v>
      </c>
      <c r="V113" s="2" t="s">
        <v>895</v>
      </c>
      <c r="W113" s="2" t="s">
        <v>86</v>
      </c>
      <c r="X113" s="2" t="s">
        <v>117</v>
      </c>
      <c r="Y113" s="3" t="s">
        <v>118</v>
      </c>
      <c r="Z113" s="3">
        <v>21.65</v>
      </c>
      <c r="AA113" s="2" t="s">
        <v>138</v>
      </c>
      <c r="AB113" s="2" t="s">
        <v>894</v>
      </c>
      <c r="AC113" s="2" t="s">
        <v>891</v>
      </c>
      <c r="AD113" t="str" cm="1">
        <f t="array" ref="AD11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113" s="2" t="s">
        <v>158</v>
      </c>
      <c r="AF113" s="2" t="s">
        <v>900</v>
      </c>
      <c r="AG113" s="2" t="s">
        <v>274</v>
      </c>
      <c r="AH113" s="2" t="s">
        <v>275</v>
      </c>
      <c r="AK113" s="2" t="s">
        <v>901</v>
      </c>
      <c r="AN113" s="3">
        <v>1</v>
      </c>
      <c r="AO113" s="3">
        <v>1</v>
      </c>
      <c r="AP113" s="3">
        <v>1</v>
      </c>
      <c r="AQ113" s="3">
        <v>1</v>
      </c>
      <c r="AR113" s="3">
        <v>0</v>
      </c>
      <c r="AS113" s="3">
        <v>1</v>
      </c>
      <c r="AT113" s="3">
        <v>0</v>
      </c>
      <c r="AU113" s="3">
        <v>0</v>
      </c>
      <c r="AV113" s="3">
        <v>1</v>
      </c>
      <c r="AW113" s="3">
        <v>0</v>
      </c>
      <c r="AX113" s="3">
        <v>0</v>
      </c>
      <c r="AY113" s="3">
        <v>1</v>
      </c>
      <c r="AZ113" s="3">
        <v>0</v>
      </c>
      <c r="BA113" s="3">
        <v>1</v>
      </c>
      <c r="BB113" s="3">
        <v>0</v>
      </c>
      <c r="BC113" s="3">
        <v>0</v>
      </c>
      <c r="BD113" s="3">
        <v>0</v>
      </c>
      <c r="BE113" s="3">
        <v>0</v>
      </c>
      <c r="BG113" s="2" t="s">
        <v>158</v>
      </c>
      <c r="BH113" s="3">
        <v>1</v>
      </c>
      <c r="BJ113" s="2" t="s">
        <v>96</v>
      </c>
      <c r="BL113" s="2" t="s">
        <v>277</v>
      </c>
      <c r="BM113" s="2" t="s">
        <v>278</v>
      </c>
      <c r="BN113" s="2" t="s">
        <v>279</v>
      </c>
      <c r="BO113" s="2" t="s">
        <v>280</v>
      </c>
      <c r="BP113" s="2" t="s">
        <v>242</v>
      </c>
      <c r="BQ113" s="2" t="s">
        <v>277</v>
      </c>
      <c r="BR113" s="2" t="s">
        <v>281</v>
      </c>
      <c r="BS113" s="2" t="s">
        <v>450</v>
      </c>
      <c r="BT113" s="2" t="s">
        <v>148</v>
      </c>
      <c r="BU113" s="2" t="s">
        <v>902</v>
      </c>
      <c r="BV113" s="2" t="s">
        <v>107</v>
      </c>
      <c r="BW113" s="2" t="s">
        <v>108</v>
      </c>
      <c r="BX113" s="2" t="s">
        <v>158</v>
      </c>
      <c r="BY11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13" s="2">
        <f>IF(AND(Cases[[#This Row],[Priority Level]]&gt;=3,Cases[[#This Row],[System Role]]&lt;&gt;"Productive"),1,0)</f>
        <v>0</v>
      </c>
      <c r="CA113" s="2">
        <f>IFERROR(IF(Cases[[#This Row],[Days at Customer]]&gt;MAX(1,Cases[[#This Row],[Days at SAP]]*2),1,0),0)</f>
        <v>1</v>
      </c>
      <c r="CB113" s="2">
        <f>IF(AND(Cases[[#This Row],[Initial Component]]&lt;&gt;"",Cases[[#This Row],[Component]]&lt;&gt;"",Cases[[#This Row],[Initial Component]]&lt;&gt;Cases[[#This Row],[Component]]),1,0)</f>
        <v>0</v>
      </c>
      <c r="CC113" s="2">
        <f>IF(OR(Cases[[#This Row],[Is Reopened]]="X",Cases[[#This Row],[No. of Reopenings]]&gt;0),1,0)</f>
        <v>0</v>
      </c>
      <c r="CD113" s="2">
        <f>IF(Cases[[#This Row],[Confirmation Type]]="Automatic",1,0)</f>
        <v>1</v>
      </c>
      <c r="CE113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14" spans="1:83" x14ac:dyDescent="0.2">
      <c r="A114" s="1" t="s">
        <v>903</v>
      </c>
      <c r="B114" s="2" t="s">
        <v>898</v>
      </c>
      <c r="C114" s="2" t="s">
        <v>891</v>
      </c>
      <c r="D114" s="2" t="s">
        <v>238</v>
      </c>
      <c r="E114" s="3">
        <v>0.27</v>
      </c>
      <c r="F114" s="3">
        <v>21.36</v>
      </c>
      <c r="G114" s="2" t="s">
        <v>251</v>
      </c>
      <c r="H114" s="2" t="s">
        <v>331</v>
      </c>
      <c r="I114" s="3" t="s">
        <v>114</v>
      </c>
      <c r="J114" s="3">
        <v>52</v>
      </c>
      <c r="K114" s="2" t="s">
        <v>904</v>
      </c>
      <c r="L114" s="4">
        <v>46103</v>
      </c>
      <c r="M114" s="4">
        <v>46096</v>
      </c>
      <c r="N114" s="2" t="s">
        <v>180</v>
      </c>
      <c r="O114" s="2" t="s">
        <v>181</v>
      </c>
      <c r="P114" s="2" t="s">
        <v>350</v>
      </c>
      <c r="Q114" s="2" t="s">
        <v>86</v>
      </c>
      <c r="R114" s="2" t="s">
        <v>894</v>
      </c>
      <c r="S114" s="4">
        <v>46075</v>
      </c>
      <c r="T114" s="2" t="s">
        <v>677</v>
      </c>
      <c r="U114" s="2" t="s">
        <v>181</v>
      </c>
      <c r="V114" s="2" t="s">
        <v>895</v>
      </c>
      <c r="W114" s="2" t="s">
        <v>86</v>
      </c>
      <c r="X114" s="2" t="s">
        <v>117</v>
      </c>
      <c r="Y114" s="3" t="s">
        <v>118</v>
      </c>
      <c r="Z114" s="3">
        <v>21.63</v>
      </c>
      <c r="AA114" s="2" t="s">
        <v>138</v>
      </c>
      <c r="AB114" s="2" t="s">
        <v>905</v>
      </c>
      <c r="AC114" s="2" t="s">
        <v>906</v>
      </c>
      <c r="AD114" t="str" cm="1">
        <f t="array" ref="AD11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114" s="2" t="s">
        <v>91</v>
      </c>
      <c r="AF114" s="2" t="s">
        <v>92</v>
      </c>
      <c r="AG114" s="2" t="s">
        <v>274</v>
      </c>
      <c r="AH114" s="2" t="s">
        <v>275</v>
      </c>
      <c r="AK114" s="2" t="s">
        <v>907</v>
      </c>
      <c r="AN114" s="3">
        <v>1</v>
      </c>
      <c r="AO114" s="3">
        <v>1</v>
      </c>
      <c r="AP114" s="3">
        <v>1</v>
      </c>
      <c r="AQ114" s="3">
        <v>1</v>
      </c>
      <c r="AR114" s="3">
        <v>0</v>
      </c>
      <c r="AS114" s="3">
        <v>1</v>
      </c>
      <c r="AT114" s="3">
        <v>0</v>
      </c>
      <c r="AU114" s="3">
        <v>0</v>
      </c>
      <c r="AV114" s="3">
        <v>1</v>
      </c>
      <c r="AW114" s="3">
        <v>0</v>
      </c>
      <c r="AX114" s="3">
        <v>0</v>
      </c>
      <c r="AY114" s="3">
        <v>1</v>
      </c>
      <c r="AZ114" s="3">
        <v>0</v>
      </c>
      <c r="BA114" s="3">
        <v>0</v>
      </c>
      <c r="BB114" s="3">
        <v>0</v>
      </c>
      <c r="BC114" s="3">
        <v>1</v>
      </c>
      <c r="BD114" s="3">
        <v>0</v>
      </c>
      <c r="BE114" s="3">
        <v>0</v>
      </c>
      <c r="BG114" s="2" t="s">
        <v>158</v>
      </c>
      <c r="BH114" s="3">
        <v>1</v>
      </c>
      <c r="BJ114" s="2" t="s">
        <v>96</v>
      </c>
      <c r="BL114" s="2" t="s">
        <v>277</v>
      </c>
      <c r="BM114" s="2" t="s">
        <v>278</v>
      </c>
      <c r="BN114" s="2" t="s">
        <v>279</v>
      </c>
      <c r="BO114" s="2" t="s">
        <v>280</v>
      </c>
      <c r="BP114" s="2" t="s">
        <v>242</v>
      </c>
      <c r="BQ114" s="2" t="s">
        <v>277</v>
      </c>
      <c r="BR114" s="2" t="s">
        <v>281</v>
      </c>
      <c r="BS114" s="2" t="s">
        <v>450</v>
      </c>
      <c r="BT114" s="2" t="s">
        <v>148</v>
      </c>
      <c r="BU114" s="2" t="s">
        <v>908</v>
      </c>
      <c r="BV114" s="2" t="s">
        <v>150</v>
      </c>
      <c r="BW114" s="2" t="s">
        <v>151</v>
      </c>
      <c r="BX114" s="2" t="s">
        <v>91</v>
      </c>
      <c r="BY11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14" s="2">
        <f>IF(AND(Cases[[#This Row],[Priority Level]]&gt;=3,Cases[[#This Row],[System Role]]&lt;&gt;"Productive"),1,0)</f>
        <v>0</v>
      </c>
      <c r="CA114" s="2">
        <f>IFERROR(IF(Cases[[#This Row],[Days at Customer]]&gt;MAX(1,Cases[[#This Row],[Days at SAP]]*2),1,0),0)</f>
        <v>1</v>
      </c>
      <c r="CB114" s="2">
        <f>IF(AND(Cases[[#This Row],[Initial Component]]&lt;&gt;"",Cases[[#This Row],[Component]]&lt;&gt;"",Cases[[#This Row],[Initial Component]]&lt;&gt;Cases[[#This Row],[Component]]),1,0)</f>
        <v>1</v>
      </c>
      <c r="CC114" s="2">
        <f>IF(OR(Cases[[#This Row],[Is Reopened]]="X",Cases[[#This Row],[No. of Reopenings]]&gt;0),1,0)</f>
        <v>0</v>
      </c>
      <c r="CD114" s="2">
        <f>IF(Cases[[#This Row],[Confirmation Type]]="Automatic",1,0)</f>
        <v>1</v>
      </c>
      <c r="CE114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115" spans="1:83" x14ac:dyDescent="0.2">
      <c r="A115" s="1" t="s">
        <v>909</v>
      </c>
      <c r="B115" s="2" t="s">
        <v>910</v>
      </c>
      <c r="C115" s="2" t="s">
        <v>911</v>
      </c>
      <c r="D115" s="2" t="s">
        <v>238</v>
      </c>
      <c r="E115" s="3">
        <v>7.98</v>
      </c>
      <c r="F115" s="3">
        <v>32.72</v>
      </c>
      <c r="G115" s="2" t="s">
        <v>79</v>
      </c>
      <c r="H115" s="2" t="s">
        <v>178</v>
      </c>
      <c r="I115" s="3" t="s">
        <v>114</v>
      </c>
      <c r="J115" s="3">
        <v>52</v>
      </c>
      <c r="K115" s="2" t="s">
        <v>912</v>
      </c>
      <c r="L115" s="4">
        <v>46117</v>
      </c>
      <c r="M115" s="4">
        <v>46116</v>
      </c>
      <c r="N115" s="2" t="s">
        <v>83</v>
      </c>
      <c r="O115" s="2" t="s">
        <v>84</v>
      </c>
      <c r="P115" s="2" t="s">
        <v>136</v>
      </c>
      <c r="Q115" s="2" t="s">
        <v>86</v>
      </c>
      <c r="R115" s="2" t="s">
        <v>913</v>
      </c>
      <c r="S115" s="4">
        <v>46075</v>
      </c>
      <c r="T115" s="2" t="s">
        <v>677</v>
      </c>
      <c r="U115" s="2" t="s">
        <v>181</v>
      </c>
      <c r="V115" s="2" t="s">
        <v>895</v>
      </c>
      <c r="W115" s="2" t="s">
        <v>86</v>
      </c>
      <c r="X115" s="2" t="s">
        <v>117</v>
      </c>
      <c r="Y115" s="3" t="s">
        <v>118</v>
      </c>
      <c r="Z115" s="3">
        <v>40.700000000000003</v>
      </c>
      <c r="AA115" s="2" t="s">
        <v>90</v>
      </c>
      <c r="AB115" s="2" t="s">
        <v>913</v>
      </c>
      <c r="AC115" s="2" t="s">
        <v>911</v>
      </c>
      <c r="AD115" t="str" cm="1">
        <f t="array" ref="AD11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115" s="2" t="s">
        <v>91</v>
      </c>
      <c r="AF115" s="2" t="s">
        <v>92</v>
      </c>
      <c r="AG115" s="2" t="s">
        <v>119</v>
      </c>
      <c r="AH115" s="2" t="s">
        <v>120</v>
      </c>
      <c r="AJ115" s="2" t="s">
        <v>122</v>
      </c>
      <c r="AK115" s="2" t="s">
        <v>914</v>
      </c>
      <c r="AN115" s="3">
        <v>1</v>
      </c>
      <c r="AO115" s="3">
        <v>1</v>
      </c>
      <c r="AP115" s="3">
        <v>1</v>
      </c>
      <c r="AQ115" s="3">
        <v>1</v>
      </c>
      <c r="AR115" s="3">
        <v>1</v>
      </c>
      <c r="AS115" s="3">
        <v>0</v>
      </c>
      <c r="AT115" s="3">
        <v>0</v>
      </c>
      <c r="AU115" s="3">
        <v>0</v>
      </c>
      <c r="AV115" s="3">
        <v>1</v>
      </c>
      <c r="AW115" s="3">
        <v>0</v>
      </c>
      <c r="AX115" s="3">
        <v>1</v>
      </c>
      <c r="AY115" s="3">
        <v>0</v>
      </c>
      <c r="AZ115" s="3">
        <v>0</v>
      </c>
      <c r="BA115" s="3">
        <v>1</v>
      </c>
      <c r="BB115" s="3">
        <v>0</v>
      </c>
      <c r="BC115" s="3">
        <v>0</v>
      </c>
      <c r="BD115" s="3">
        <v>5</v>
      </c>
      <c r="BE115" s="3">
        <v>0</v>
      </c>
      <c r="BG115" s="2" t="s">
        <v>91</v>
      </c>
      <c r="BH115" s="3">
        <v>3</v>
      </c>
      <c r="BJ115" s="2" t="s">
        <v>96</v>
      </c>
      <c r="BL115" s="2" t="s">
        <v>123</v>
      </c>
      <c r="BM115" s="2" t="s">
        <v>123</v>
      </c>
      <c r="BN115" s="2" t="s">
        <v>124</v>
      </c>
      <c r="BO115" s="2" t="s">
        <v>125</v>
      </c>
      <c r="BP115" s="2" t="s">
        <v>242</v>
      </c>
      <c r="BQ115" s="2" t="s">
        <v>124</v>
      </c>
      <c r="BR115" s="2" t="s">
        <v>126</v>
      </c>
      <c r="BS115" s="2" t="s">
        <v>127</v>
      </c>
      <c r="BT115" s="2" t="s">
        <v>128</v>
      </c>
      <c r="BU115" s="2" t="s">
        <v>129</v>
      </c>
      <c r="BV115" s="2" t="s">
        <v>107</v>
      </c>
      <c r="BW115" s="2" t="s">
        <v>108</v>
      </c>
      <c r="BX115" s="2" t="s">
        <v>91</v>
      </c>
      <c r="BY11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15" s="2">
        <f>IF(AND(Cases[[#This Row],[Priority Level]]&gt;=3,Cases[[#This Row],[System Role]]&lt;&gt;"Productive"),1,0)</f>
        <v>1</v>
      </c>
      <c r="CA115" s="2">
        <f>IFERROR(IF(Cases[[#This Row],[Days at Customer]]&gt;MAX(1,Cases[[#This Row],[Days at SAP]]*2),1,0),0)</f>
        <v>1</v>
      </c>
      <c r="CB115" s="2">
        <f>IF(AND(Cases[[#This Row],[Initial Component]]&lt;&gt;"",Cases[[#This Row],[Component]]&lt;&gt;"",Cases[[#This Row],[Initial Component]]&lt;&gt;Cases[[#This Row],[Component]]),1,0)</f>
        <v>0</v>
      </c>
      <c r="CC115" s="2">
        <f>IF(OR(Cases[[#This Row],[Is Reopened]]="X",Cases[[#This Row],[No. of Reopenings]]&gt;0),1,0)</f>
        <v>1</v>
      </c>
      <c r="CD115" s="2">
        <f>IF(Cases[[#This Row],[Confirmation Type]]="Automatic",1,0)</f>
        <v>1</v>
      </c>
      <c r="CE115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116" spans="1:83" x14ac:dyDescent="0.2">
      <c r="A116" s="1" t="s">
        <v>2397</v>
      </c>
      <c r="B116" s="2" t="s">
        <v>2398</v>
      </c>
      <c r="C116" s="2" t="s">
        <v>1461</v>
      </c>
      <c r="D116" s="2" t="s">
        <v>238</v>
      </c>
      <c r="E116" s="3">
        <v>0.42</v>
      </c>
      <c r="F116" s="3">
        <v>21.87</v>
      </c>
      <c r="G116" s="2" t="s">
        <v>79</v>
      </c>
      <c r="H116" s="2" t="s">
        <v>178</v>
      </c>
      <c r="I116" s="3" t="s">
        <v>114</v>
      </c>
      <c r="J116" s="3">
        <v>142</v>
      </c>
      <c r="K116" s="2" t="s">
        <v>2399</v>
      </c>
      <c r="L116" s="4">
        <v>46012</v>
      </c>
      <c r="M116" s="4">
        <v>46008</v>
      </c>
      <c r="N116" s="2" t="s">
        <v>1804</v>
      </c>
      <c r="O116" s="2" t="s">
        <v>1805</v>
      </c>
      <c r="P116" s="2" t="s">
        <v>1930</v>
      </c>
      <c r="Q116" s="2" t="s">
        <v>1806</v>
      </c>
      <c r="R116" s="2" t="s">
        <v>1463</v>
      </c>
      <c r="S116" s="4">
        <v>45985</v>
      </c>
      <c r="T116" s="2" t="s">
        <v>2274</v>
      </c>
      <c r="U116" s="2" t="s">
        <v>1805</v>
      </c>
      <c r="V116" s="2" t="s">
        <v>2275</v>
      </c>
      <c r="W116" s="2" t="s">
        <v>1806</v>
      </c>
      <c r="X116" s="2" t="s">
        <v>117</v>
      </c>
      <c r="Y116" s="3" t="s">
        <v>118</v>
      </c>
      <c r="Z116" s="3">
        <v>22.29</v>
      </c>
      <c r="AA116" s="2" t="s">
        <v>90</v>
      </c>
      <c r="AB116" s="2" t="s">
        <v>1463</v>
      </c>
      <c r="AC116" s="2" t="s">
        <v>1461</v>
      </c>
      <c r="AD116" t="str" cm="1">
        <f t="array" ref="AD11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116" s="2" t="s">
        <v>91</v>
      </c>
      <c r="AF116" s="2" t="s">
        <v>92</v>
      </c>
      <c r="AG116" s="2" t="s">
        <v>119</v>
      </c>
      <c r="AH116" s="2" t="s">
        <v>120</v>
      </c>
      <c r="AK116" s="2" t="s">
        <v>2400</v>
      </c>
      <c r="AN116" s="3">
        <v>1</v>
      </c>
      <c r="AO116" s="3">
        <v>1</v>
      </c>
      <c r="AP116" s="3">
        <v>1</v>
      </c>
      <c r="AQ116" s="3">
        <v>1</v>
      </c>
      <c r="AR116" s="3">
        <v>1</v>
      </c>
      <c r="AS116" s="3">
        <v>0</v>
      </c>
      <c r="AT116" s="3">
        <v>0</v>
      </c>
      <c r="AU116" s="3">
        <v>0</v>
      </c>
      <c r="AV116" s="3">
        <v>1</v>
      </c>
      <c r="AW116" s="3">
        <v>0</v>
      </c>
      <c r="AX116" s="3">
        <v>1</v>
      </c>
      <c r="AY116" s="3">
        <v>0</v>
      </c>
      <c r="AZ116" s="3">
        <v>0</v>
      </c>
      <c r="BA116" s="3">
        <v>0</v>
      </c>
      <c r="BB116" s="3">
        <v>0</v>
      </c>
      <c r="BC116" s="3">
        <v>1</v>
      </c>
      <c r="BD116" s="3">
        <v>0</v>
      </c>
      <c r="BE116" s="3">
        <v>0</v>
      </c>
      <c r="BG116" s="2" t="s">
        <v>91</v>
      </c>
      <c r="BH116" s="3">
        <v>3</v>
      </c>
      <c r="BJ116" s="2" t="s">
        <v>96</v>
      </c>
      <c r="BL116" s="2" t="s">
        <v>123</v>
      </c>
      <c r="BM116" s="2" t="s">
        <v>123</v>
      </c>
      <c r="BN116" s="2" t="s">
        <v>124</v>
      </c>
      <c r="BO116" s="2" t="s">
        <v>125</v>
      </c>
      <c r="BP116" s="2" t="s">
        <v>242</v>
      </c>
      <c r="BQ116" s="2" t="s">
        <v>124</v>
      </c>
      <c r="BR116" s="2" t="s">
        <v>126</v>
      </c>
      <c r="BS116" s="2" t="s">
        <v>127</v>
      </c>
      <c r="BT116" s="2" t="s">
        <v>207</v>
      </c>
      <c r="BU116" s="2" t="s">
        <v>208</v>
      </c>
      <c r="BV116" s="2" t="s">
        <v>150</v>
      </c>
      <c r="BW116" s="2" t="s">
        <v>151</v>
      </c>
      <c r="BX116" s="2" t="s">
        <v>91</v>
      </c>
      <c r="BY11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16" s="2">
        <f>IF(AND(Cases[[#This Row],[Priority Level]]&gt;=3,Cases[[#This Row],[System Role]]&lt;&gt;"Productive"),1,0)</f>
        <v>0</v>
      </c>
      <c r="CA116" s="2">
        <f>IFERROR(IF(Cases[[#This Row],[Days at Customer]]&gt;MAX(1,Cases[[#This Row],[Days at SAP]]*2),1,0),0)</f>
        <v>1</v>
      </c>
      <c r="CB116" s="2">
        <f>IF(AND(Cases[[#This Row],[Initial Component]]&lt;&gt;"",Cases[[#This Row],[Component]]&lt;&gt;"",Cases[[#This Row],[Initial Component]]&lt;&gt;Cases[[#This Row],[Component]]),1,0)</f>
        <v>0</v>
      </c>
      <c r="CC116" s="2">
        <f>IF(OR(Cases[[#This Row],[Is Reopened]]="X",Cases[[#This Row],[No. of Reopenings]]&gt;0),1,0)</f>
        <v>0</v>
      </c>
      <c r="CD116" s="2">
        <f>IF(Cases[[#This Row],[Confirmation Type]]="Automatic",1,0)</f>
        <v>1</v>
      </c>
      <c r="CE11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17" spans="1:83" x14ac:dyDescent="0.2">
      <c r="A117" s="1" t="s">
        <v>923</v>
      </c>
      <c r="B117" s="2" t="s">
        <v>924</v>
      </c>
      <c r="C117" s="2" t="s">
        <v>925</v>
      </c>
      <c r="D117" s="2" t="s">
        <v>78</v>
      </c>
      <c r="E117" s="3">
        <v>1.85</v>
      </c>
      <c r="F117" s="3">
        <v>2.97</v>
      </c>
      <c r="G117" s="2" t="s">
        <v>79</v>
      </c>
      <c r="H117" s="2" t="s">
        <v>80</v>
      </c>
      <c r="I117" s="3" t="s">
        <v>114</v>
      </c>
      <c r="J117" s="3">
        <v>53</v>
      </c>
      <c r="K117" s="2" t="s">
        <v>926</v>
      </c>
      <c r="L117" s="4">
        <v>46089</v>
      </c>
      <c r="M117" s="4">
        <v>46079</v>
      </c>
      <c r="N117" s="2" t="s">
        <v>677</v>
      </c>
      <c r="O117" s="2" t="s">
        <v>181</v>
      </c>
      <c r="P117" s="2" t="s">
        <v>678</v>
      </c>
      <c r="Q117" s="2" t="s">
        <v>86</v>
      </c>
      <c r="R117" s="2" t="s">
        <v>927</v>
      </c>
      <c r="S117" s="4">
        <v>46074</v>
      </c>
      <c r="T117" s="2" t="s">
        <v>677</v>
      </c>
      <c r="U117" s="2" t="s">
        <v>181</v>
      </c>
      <c r="V117" s="2" t="s">
        <v>895</v>
      </c>
      <c r="W117" s="2" t="s">
        <v>86</v>
      </c>
      <c r="X117" s="2" t="s">
        <v>117</v>
      </c>
      <c r="Y117" s="3" t="s">
        <v>118</v>
      </c>
      <c r="Z117" s="3">
        <v>4.82</v>
      </c>
      <c r="AA117" s="2" t="s">
        <v>138</v>
      </c>
      <c r="AB117" s="2" t="s">
        <v>928</v>
      </c>
      <c r="AC117" s="2" t="s">
        <v>929</v>
      </c>
      <c r="AD117" t="str" cm="1">
        <f t="array" ref="AD11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EAM</v>
      </c>
      <c r="AE117" s="2" t="s">
        <v>91</v>
      </c>
      <c r="AF117" s="2" t="s">
        <v>92</v>
      </c>
      <c r="AG117" s="2" t="s">
        <v>274</v>
      </c>
      <c r="AH117" s="2" t="s">
        <v>275</v>
      </c>
      <c r="AK117" s="2" t="s">
        <v>930</v>
      </c>
      <c r="AN117" s="3">
        <v>1</v>
      </c>
      <c r="AO117" s="3">
        <v>1</v>
      </c>
      <c r="AP117" s="3">
        <v>1</v>
      </c>
      <c r="AQ117" s="3">
        <v>1</v>
      </c>
      <c r="AR117" s="3">
        <v>1</v>
      </c>
      <c r="AS117" s="3">
        <v>0</v>
      </c>
      <c r="AT117" s="3">
        <v>0</v>
      </c>
      <c r="AU117" s="3">
        <v>0</v>
      </c>
      <c r="AV117" s="3">
        <v>0</v>
      </c>
      <c r="AW117" s="3">
        <v>1</v>
      </c>
      <c r="AX117" s="3">
        <v>1</v>
      </c>
      <c r="AY117" s="3">
        <v>0</v>
      </c>
      <c r="AZ117" s="3">
        <v>0</v>
      </c>
      <c r="BA117" s="3">
        <v>0</v>
      </c>
      <c r="BB117" s="3">
        <v>0</v>
      </c>
      <c r="BC117" s="3">
        <v>1</v>
      </c>
      <c r="BD117" s="3">
        <v>0</v>
      </c>
      <c r="BE117" s="3">
        <v>0</v>
      </c>
      <c r="BG117" s="2" t="s">
        <v>91</v>
      </c>
      <c r="BH117" s="3">
        <v>3</v>
      </c>
      <c r="BJ117" s="2" t="s">
        <v>96</v>
      </c>
      <c r="BL117" s="2" t="s">
        <v>931</v>
      </c>
      <c r="BM117" s="2" t="s">
        <v>932</v>
      </c>
      <c r="BN117" s="2" t="s">
        <v>279</v>
      </c>
      <c r="BO117" s="2" t="s">
        <v>280</v>
      </c>
      <c r="BP117" s="2" t="s">
        <v>101</v>
      </c>
      <c r="BQ117" s="2" t="s">
        <v>448</v>
      </c>
      <c r="BR117" s="2" t="s">
        <v>449</v>
      </c>
      <c r="BS117" s="2" t="s">
        <v>450</v>
      </c>
      <c r="BT117" s="2" t="s">
        <v>148</v>
      </c>
      <c r="BU117" s="2" t="s">
        <v>933</v>
      </c>
      <c r="BV117" s="2" t="s">
        <v>150</v>
      </c>
      <c r="BW117" s="2" t="s">
        <v>151</v>
      </c>
      <c r="BX117" s="2" t="s">
        <v>91</v>
      </c>
      <c r="BY11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17" s="2">
        <f>IF(AND(Cases[[#This Row],[Priority Level]]&gt;=3,Cases[[#This Row],[System Role]]&lt;&gt;"Productive"),1,0)</f>
        <v>0</v>
      </c>
      <c r="CA117" s="2">
        <f>IFERROR(IF(Cases[[#This Row],[Days at Customer]]&gt;MAX(1,Cases[[#This Row],[Days at SAP]]*2),1,0),0)</f>
        <v>0</v>
      </c>
      <c r="CB117" s="2">
        <f>IF(AND(Cases[[#This Row],[Initial Component]]&lt;&gt;"",Cases[[#This Row],[Component]]&lt;&gt;"",Cases[[#This Row],[Initial Component]]&lt;&gt;Cases[[#This Row],[Component]]),1,0)</f>
        <v>1</v>
      </c>
      <c r="CC117" s="2">
        <f>IF(OR(Cases[[#This Row],[Is Reopened]]="X",Cases[[#This Row],[No. of Reopenings]]&gt;0),1,0)</f>
        <v>0</v>
      </c>
      <c r="CD117" s="2">
        <f>IF(Cases[[#This Row],[Confirmation Type]]="Automatic",1,0)</f>
        <v>0</v>
      </c>
      <c r="CE117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18" spans="1:83" x14ac:dyDescent="0.2">
      <c r="A118" s="1" t="s">
        <v>934</v>
      </c>
      <c r="B118" s="2" t="s">
        <v>935</v>
      </c>
      <c r="C118" s="2" t="s">
        <v>77</v>
      </c>
      <c r="D118" s="2" t="s">
        <v>78</v>
      </c>
      <c r="E118" s="3">
        <v>5.37</v>
      </c>
      <c r="F118" s="3">
        <v>11.65</v>
      </c>
      <c r="G118" s="2" t="s">
        <v>79</v>
      </c>
      <c r="H118" s="2" t="s">
        <v>732</v>
      </c>
      <c r="I118" s="3" t="s">
        <v>81</v>
      </c>
      <c r="J118" s="3">
        <v>54</v>
      </c>
      <c r="K118" s="2" t="s">
        <v>936</v>
      </c>
      <c r="L118" s="4">
        <v>46103</v>
      </c>
      <c r="M118" s="4">
        <v>46090</v>
      </c>
      <c r="N118" s="2" t="s">
        <v>180</v>
      </c>
      <c r="O118" s="2" t="s">
        <v>181</v>
      </c>
      <c r="P118" s="2" t="s">
        <v>350</v>
      </c>
      <c r="Q118" s="2" t="s">
        <v>86</v>
      </c>
      <c r="R118" s="2" t="s">
        <v>87</v>
      </c>
      <c r="S118" s="4">
        <v>46073</v>
      </c>
      <c r="T118" s="2" t="s">
        <v>677</v>
      </c>
      <c r="U118" s="2" t="s">
        <v>181</v>
      </c>
      <c r="V118" s="2" t="s">
        <v>895</v>
      </c>
      <c r="W118" s="2" t="s">
        <v>86</v>
      </c>
      <c r="X118" s="2" t="s">
        <v>88</v>
      </c>
      <c r="Y118" s="3" t="s">
        <v>89</v>
      </c>
      <c r="Z118" s="3">
        <v>17.02</v>
      </c>
      <c r="AA118" s="2" t="s">
        <v>90</v>
      </c>
      <c r="AB118" s="2" t="s">
        <v>87</v>
      </c>
      <c r="AC118" s="2" t="s">
        <v>77</v>
      </c>
      <c r="AD118" t="str" cm="1">
        <f t="array" ref="AD11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118" s="2" t="s">
        <v>139</v>
      </c>
      <c r="AF118" s="2" t="s">
        <v>92</v>
      </c>
      <c r="AG118" s="2" t="s">
        <v>93</v>
      </c>
      <c r="AH118" s="2" t="s">
        <v>94</v>
      </c>
      <c r="AJ118" s="2" t="s">
        <v>122</v>
      </c>
      <c r="AK118" s="2" t="s">
        <v>937</v>
      </c>
      <c r="AN118" s="3">
        <v>1</v>
      </c>
      <c r="AO118" s="3">
        <v>1</v>
      </c>
      <c r="AP118" s="3">
        <v>1</v>
      </c>
      <c r="AQ118" s="3">
        <v>1</v>
      </c>
      <c r="AR118" s="3">
        <v>0</v>
      </c>
      <c r="AS118" s="3">
        <v>0</v>
      </c>
      <c r="AT118" s="3">
        <v>1</v>
      </c>
      <c r="AU118" s="3">
        <v>0</v>
      </c>
      <c r="AV118" s="3">
        <v>0</v>
      </c>
      <c r="AW118" s="3">
        <v>1</v>
      </c>
      <c r="AX118" s="3">
        <v>0</v>
      </c>
      <c r="AY118" s="3">
        <v>0</v>
      </c>
      <c r="AZ118" s="3">
        <v>1</v>
      </c>
      <c r="BA118" s="3">
        <v>1</v>
      </c>
      <c r="BB118" s="3">
        <v>0</v>
      </c>
      <c r="BC118" s="3">
        <v>0</v>
      </c>
      <c r="BD118" s="3">
        <v>1</v>
      </c>
      <c r="BE118" s="3">
        <v>0</v>
      </c>
      <c r="BG118" s="2" t="s">
        <v>139</v>
      </c>
      <c r="BH118" s="3">
        <v>2</v>
      </c>
      <c r="BJ118" s="2" t="s">
        <v>96</v>
      </c>
      <c r="BL118" s="2" t="s">
        <v>184</v>
      </c>
      <c r="BM118" s="2" t="s">
        <v>184</v>
      </c>
      <c r="BN118" s="2" t="s">
        <v>124</v>
      </c>
      <c r="BO118" s="2" t="s">
        <v>125</v>
      </c>
      <c r="BP118" s="2" t="s">
        <v>101</v>
      </c>
      <c r="BQ118" s="2" t="s">
        <v>124</v>
      </c>
      <c r="BR118" s="2" t="s">
        <v>126</v>
      </c>
      <c r="BS118" s="2" t="s">
        <v>104</v>
      </c>
      <c r="BT118" s="2" t="s">
        <v>343</v>
      </c>
      <c r="BU118" s="2" t="s">
        <v>344</v>
      </c>
      <c r="BV118" s="2" t="s">
        <v>166</v>
      </c>
      <c r="BW118" s="2" t="s">
        <v>167</v>
      </c>
      <c r="BX118" s="2" t="s">
        <v>139</v>
      </c>
      <c r="BY11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18" s="2">
        <f>IF(AND(Cases[[#This Row],[Priority Level]]&gt;=3,Cases[[#This Row],[System Role]]&lt;&gt;"Productive"),1,0)</f>
        <v>0</v>
      </c>
      <c r="CA118" s="2">
        <f>IFERROR(IF(Cases[[#This Row],[Days at Customer]]&gt;MAX(1,Cases[[#This Row],[Days at SAP]]*2),1,0),0)</f>
        <v>1</v>
      </c>
      <c r="CB118" s="2">
        <f>IF(AND(Cases[[#This Row],[Initial Component]]&lt;&gt;"",Cases[[#This Row],[Component]]&lt;&gt;"",Cases[[#This Row],[Initial Component]]&lt;&gt;Cases[[#This Row],[Component]]),1,0)</f>
        <v>0</v>
      </c>
      <c r="CC118" s="2">
        <f>IF(OR(Cases[[#This Row],[Is Reopened]]="X",Cases[[#This Row],[No. of Reopenings]]&gt;0),1,0)</f>
        <v>1</v>
      </c>
      <c r="CD118" s="2">
        <f>IF(Cases[[#This Row],[Confirmation Type]]="Automatic",1,0)</f>
        <v>0</v>
      </c>
      <c r="CE118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19" spans="1:83" x14ac:dyDescent="0.2">
      <c r="A119" s="1" t="s">
        <v>2443</v>
      </c>
      <c r="B119" s="2" t="s">
        <v>2444</v>
      </c>
      <c r="C119" s="2" t="s">
        <v>1850</v>
      </c>
      <c r="D119" s="2" t="s">
        <v>238</v>
      </c>
      <c r="E119" s="3">
        <v>5.85</v>
      </c>
      <c r="F119" s="3">
        <v>21.61</v>
      </c>
      <c r="G119" s="2" t="s">
        <v>133</v>
      </c>
      <c r="H119" s="2" t="s">
        <v>324</v>
      </c>
      <c r="I119" s="3" t="s">
        <v>114</v>
      </c>
      <c r="J119" s="3">
        <v>148</v>
      </c>
      <c r="K119" s="2" t="s">
        <v>2445</v>
      </c>
      <c r="L119" s="4">
        <v>46012</v>
      </c>
      <c r="M119" s="4">
        <v>46007</v>
      </c>
      <c r="N119" s="2" t="s">
        <v>1804</v>
      </c>
      <c r="O119" s="2" t="s">
        <v>1805</v>
      </c>
      <c r="P119" s="2" t="s">
        <v>1930</v>
      </c>
      <c r="Q119" s="2" t="s">
        <v>1806</v>
      </c>
      <c r="R119" s="2" t="s">
        <v>363</v>
      </c>
      <c r="S119" s="4">
        <v>45979</v>
      </c>
      <c r="T119" s="2" t="s">
        <v>2274</v>
      </c>
      <c r="U119" s="2" t="s">
        <v>1805</v>
      </c>
      <c r="V119" s="2" t="s">
        <v>2404</v>
      </c>
      <c r="W119" s="2" t="s">
        <v>1806</v>
      </c>
      <c r="X119" s="2" t="s">
        <v>117</v>
      </c>
      <c r="Y119" s="3" t="s">
        <v>118</v>
      </c>
      <c r="Z119" s="3">
        <v>27.46</v>
      </c>
      <c r="AA119" s="2" t="s">
        <v>90</v>
      </c>
      <c r="AB119" s="2" t="s">
        <v>310</v>
      </c>
      <c r="AC119" s="2" t="s">
        <v>311</v>
      </c>
      <c r="AD119" t="str" cm="1">
        <f t="array" ref="AD11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119" s="2" t="s">
        <v>139</v>
      </c>
      <c r="AF119" s="2" t="s">
        <v>92</v>
      </c>
      <c r="AG119" s="2" t="s">
        <v>119</v>
      </c>
      <c r="AH119" s="2" t="s">
        <v>120</v>
      </c>
      <c r="AK119" s="2" t="s">
        <v>2446</v>
      </c>
      <c r="AN119" s="3">
        <v>1</v>
      </c>
      <c r="AO119" s="3">
        <v>1</v>
      </c>
      <c r="AP119" s="3">
        <v>1</v>
      </c>
      <c r="AQ119" s="3">
        <v>1</v>
      </c>
      <c r="AR119" s="3">
        <v>0</v>
      </c>
      <c r="AS119" s="3">
        <v>0</v>
      </c>
      <c r="AT119" s="3">
        <v>1</v>
      </c>
      <c r="AU119" s="3">
        <v>0</v>
      </c>
      <c r="AV119" s="3">
        <v>1</v>
      </c>
      <c r="AW119" s="3">
        <v>0</v>
      </c>
      <c r="AX119" s="3">
        <v>0</v>
      </c>
      <c r="AY119" s="3">
        <v>0</v>
      </c>
      <c r="AZ119" s="3">
        <v>1</v>
      </c>
      <c r="BA119" s="3">
        <v>0</v>
      </c>
      <c r="BB119" s="3">
        <v>0</v>
      </c>
      <c r="BC119" s="3">
        <v>1</v>
      </c>
      <c r="BD119" s="3">
        <v>0</v>
      </c>
      <c r="BE119" s="3">
        <v>0</v>
      </c>
      <c r="BG119" s="2" t="s">
        <v>139</v>
      </c>
      <c r="BH119" s="3">
        <v>2</v>
      </c>
      <c r="BJ119" s="2" t="s">
        <v>96</v>
      </c>
      <c r="BL119" s="2" t="s">
        <v>123</v>
      </c>
      <c r="BM119" s="2" t="s">
        <v>123</v>
      </c>
      <c r="BN119" s="2" t="s">
        <v>124</v>
      </c>
      <c r="BO119" s="2" t="s">
        <v>125</v>
      </c>
      <c r="BP119" s="2" t="s">
        <v>242</v>
      </c>
      <c r="BQ119" s="2" t="s">
        <v>124</v>
      </c>
      <c r="BR119" s="2" t="s">
        <v>126</v>
      </c>
      <c r="BS119" s="2" t="s">
        <v>127</v>
      </c>
      <c r="BT119" s="2" t="s">
        <v>207</v>
      </c>
      <c r="BU119" s="2" t="s">
        <v>208</v>
      </c>
      <c r="BV119" s="2" t="s">
        <v>150</v>
      </c>
      <c r="BW119" s="2" t="s">
        <v>151</v>
      </c>
      <c r="BX119" s="2" t="s">
        <v>139</v>
      </c>
      <c r="BY11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19" s="2">
        <f>IF(AND(Cases[[#This Row],[Priority Level]]&gt;=3,Cases[[#This Row],[System Role]]&lt;&gt;"Productive"),1,0)</f>
        <v>0</v>
      </c>
      <c r="CA119" s="2">
        <f>IFERROR(IF(Cases[[#This Row],[Days at Customer]]&gt;MAX(1,Cases[[#This Row],[Days at SAP]]*2),1,0),0)</f>
        <v>1</v>
      </c>
      <c r="CB119" s="2">
        <f>IF(AND(Cases[[#This Row],[Initial Component]]&lt;&gt;"",Cases[[#This Row],[Component]]&lt;&gt;"",Cases[[#This Row],[Initial Component]]&lt;&gt;Cases[[#This Row],[Component]]),1,0)</f>
        <v>1</v>
      </c>
      <c r="CC119" s="2">
        <f>IF(OR(Cases[[#This Row],[Is Reopened]]="X",Cases[[#This Row],[No. of Reopenings]]&gt;0),1,0)</f>
        <v>0</v>
      </c>
      <c r="CD119" s="2">
        <f>IF(Cases[[#This Row],[Confirmation Type]]="Automatic",1,0)</f>
        <v>1</v>
      </c>
      <c r="CE119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20" spans="1:83" x14ac:dyDescent="0.2">
      <c r="A120" s="1" t="s">
        <v>942</v>
      </c>
      <c r="B120" s="2" t="s">
        <v>943</v>
      </c>
      <c r="C120" s="2" t="s">
        <v>132</v>
      </c>
      <c r="D120" s="2" t="s">
        <v>78</v>
      </c>
      <c r="E120" s="3">
        <v>1.22</v>
      </c>
      <c r="F120" s="3">
        <v>8.8800000000000008</v>
      </c>
      <c r="G120" s="2" t="s">
        <v>79</v>
      </c>
      <c r="H120" s="2" t="s">
        <v>80</v>
      </c>
      <c r="I120" s="3" t="s">
        <v>114</v>
      </c>
      <c r="J120" s="3">
        <v>54</v>
      </c>
      <c r="K120" s="2" t="s">
        <v>944</v>
      </c>
      <c r="L120" s="4">
        <v>46096</v>
      </c>
      <c r="M120" s="4">
        <v>46083</v>
      </c>
      <c r="N120" s="2" t="s">
        <v>180</v>
      </c>
      <c r="O120" s="2" t="s">
        <v>181</v>
      </c>
      <c r="P120" s="2" t="s">
        <v>526</v>
      </c>
      <c r="Q120" s="2" t="s">
        <v>86</v>
      </c>
      <c r="R120" s="2" t="s">
        <v>137</v>
      </c>
      <c r="S120" s="4">
        <v>46073</v>
      </c>
      <c r="T120" s="2" t="s">
        <v>677</v>
      </c>
      <c r="U120" s="2" t="s">
        <v>181</v>
      </c>
      <c r="V120" s="2" t="s">
        <v>895</v>
      </c>
      <c r="W120" s="2" t="s">
        <v>86</v>
      </c>
      <c r="X120" s="2" t="s">
        <v>117</v>
      </c>
      <c r="Y120" s="3" t="s">
        <v>118</v>
      </c>
      <c r="Z120" s="3">
        <v>10.1</v>
      </c>
      <c r="AA120" s="2" t="s">
        <v>138</v>
      </c>
      <c r="AB120" s="2" t="s">
        <v>137</v>
      </c>
      <c r="AC120" s="2" t="s">
        <v>132</v>
      </c>
      <c r="AD120" t="str" cm="1">
        <f t="array" ref="AD12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120" s="2" t="s">
        <v>139</v>
      </c>
      <c r="AF120" s="2" t="s">
        <v>92</v>
      </c>
      <c r="AG120" s="2" t="s">
        <v>140</v>
      </c>
      <c r="AH120" s="2" t="s">
        <v>141</v>
      </c>
      <c r="AK120" s="2" t="s">
        <v>945</v>
      </c>
      <c r="AN120" s="3">
        <v>1</v>
      </c>
      <c r="AO120" s="3">
        <v>1</v>
      </c>
      <c r="AP120" s="3">
        <v>1</v>
      </c>
      <c r="AQ120" s="3">
        <v>1</v>
      </c>
      <c r="AR120" s="3">
        <v>1</v>
      </c>
      <c r="AS120" s="3">
        <v>0</v>
      </c>
      <c r="AT120" s="3">
        <v>0</v>
      </c>
      <c r="AU120" s="3">
        <v>0</v>
      </c>
      <c r="AV120" s="3">
        <v>0</v>
      </c>
      <c r="AW120" s="3">
        <v>1</v>
      </c>
      <c r="AX120" s="3">
        <v>1</v>
      </c>
      <c r="AY120" s="3">
        <v>0</v>
      </c>
      <c r="AZ120" s="3">
        <v>0</v>
      </c>
      <c r="BA120" s="3">
        <v>0</v>
      </c>
      <c r="BB120" s="3">
        <v>0</v>
      </c>
      <c r="BC120" s="3">
        <v>1</v>
      </c>
      <c r="BD120" s="3">
        <v>0</v>
      </c>
      <c r="BE120" s="3">
        <v>0</v>
      </c>
      <c r="BG120" s="2" t="s">
        <v>91</v>
      </c>
      <c r="BH120" s="3">
        <v>3</v>
      </c>
      <c r="BJ120" s="2" t="s">
        <v>96</v>
      </c>
      <c r="BL120" s="2" t="s">
        <v>143</v>
      </c>
      <c r="BM120" s="2" t="s">
        <v>144</v>
      </c>
      <c r="BN120" s="2" t="s">
        <v>99</v>
      </c>
      <c r="BO120" s="2" t="s">
        <v>100</v>
      </c>
      <c r="BP120" s="2" t="s">
        <v>101</v>
      </c>
      <c r="BQ120" s="2" t="s">
        <v>145</v>
      </c>
      <c r="BR120" s="2" t="s">
        <v>146</v>
      </c>
      <c r="BS120" s="2" t="s">
        <v>147</v>
      </c>
      <c r="BT120" s="2" t="s">
        <v>148</v>
      </c>
      <c r="BU120" s="2" t="s">
        <v>149</v>
      </c>
      <c r="BV120" s="2" t="s">
        <v>150</v>
      </c>
      <c r="BW120" s="2" t="s">
        <v>151</v>
      </c>
      <c r="BX120" s="2" t="s">
        <v>91</v>
      </c>
      <c r="BY12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20" s="2">
        <f>IF(AND(Cases[[#This Row],[Priority Level]]&gt;=3,Cases[[#This Row],[System Role]]&lt;&gt;"Productive"),1,0)</f>
        <v>0</v>
      </c>
      <c r="CA120" s="2">
        <f>IFERROR(IF(Cases[[#This Row],[Days at Customer]]&gt;MAX(1,Cases[[#This Row],[Days at SAP]]*2),1,0),0)</f>
        <v>1</v>
      </c>
      <c r="CB120" s="2">
        <f>IF(AND(Cases[[#This Row],[Initial Component]]&lt;&gt;"",Cases[[#This Row],[Component]]&lt;&gt;"",Cases[[#This Row],[Initial Component]]&lt;&gt;Cases[[#This Row],[Component]]),1,0)</f>
        <v>0</v>
      </c>
      <c r="CC120" s="2">
        <f>IF(OR(Cases[[#This Row],[Is Reopened]]="X",Cases[[#This Row],[No. of Reopenings]]&gt;0),1,0)</f>
        <v>0</v>
      </c>
      <c r="CD120" s="2">
        <f>IF(Cases[[#This Row],[Confirmation Type]]="Automatic",1,0)</f>
        <v>0</v>
      </c>
      <c r="CE120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21" spans="1:83" x14ac:dyDescent="0.2">
      <c r="A121" s="1" t="s">
        <v>946</v>
      </c>
      <c r="B121" s="2" t="s">
        <v>947</v>
      </c>
      <c r="C121" s="2" t="s">
        <v>948</v>
      </c>
      <c r="D121" s="2" t="s">
        <v>238</v>
      </c>
      <c r="E121" s="3">
        <v>7.93</v>
      </c>
      <c r="F121" s="3">
        <v>24.57</v>
      </c>
      <c r="G121" s="2" t="s">
        <v>79</v>
      </c>
      <c r="H121" s="2" t="s">
        <v>178</v>
      </c>
      <c r="I121" s="3" t="s">
        <v>114</v>
      </c>
      <c r="J121" s="3">
        <v>54</v>
      </c>
      <c r="K121" s="2" t="s">
        <v>949</v>
      </c>
      <c r="L121" s="4">
        <v>46110</v>
      </c>
      <c r="M121" s="4">
        <v>46105</v>
      </c>
      <c r="N121" s="2" t="s">
        <v>180</v>
      </c>
      <c r="O121" s="2" t="s">
        <v>181</v>
      </c>
      <c r="P121" s="2" t="s">
        <v>195</v>
      </c>
      <c r="Q121" s="2" t="s">
        <v>86</v>
      </c>
      <c r="R121" s="2" t="s">
        <v>950</v>
      </c>
      <c r="S121" s="4">
        <v>46073</v>
      </c>
      <c r="T121" s="2" t="s">
        <v>677</v>
      </c>
      <c r="U121" s="2" t="s">
        <v>181</v>
      </c>
      <c r="V121" s="2" t="s">
        <v>895</v>
      </c>
      <c r="W121" s="2" t="s">
        <v>86</v>
      </c>
      <c r="X121" s="2" t="s">
        <v>117</v>
      </c>
      <c r="Y121" s="3" t="s">
        <v>118</v>
      </c>
      <c r="Z121" s="3">
        <v>32.51</v>
      </c>
      <c r="AA121" s="2" t="s">
        <v>90</v>
      </c>
      <c r="AB121" s="2" t="s">
        <v>950</v>
      </c>
      <c r="AC121" s="2" t="s">
        <v>948</v>
      </c>
      <c r="AD121" t="str" cm="1">
        <f t="array" ref="AD12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121" s="2" t="s">
        <v>139</v>
      </c>
      <c r="AF121" s="2" t="s">
        <v>92</v>
      </c>
      <c r="AG121" s="2" t="s">
        <v>159</v>
      </c>
      <c r="AH121" s="2" t="s">
        <v>160</v>
      </c>
      <c r="AK121" s="2" t="s">
        <v>951</v>
      </c>
      <c r="AN121" s="3">
        <v>1</v>
      </c>
      <c r="AO121" s="3">
        <v>1</v>
      </c>
      <c r="AP121" s="3">
        <v>1</v>
      </c>
      <c r="AQ121" s="3">
        <v>1</v>
      </c>
      <c r="AR121" s="3">
        <v>1</v>
      </c>
      <c r="AS121" s="3">
        <v>0</v>
      </c>
      <c r="AT121" s="3">
        <v>0</v>
      </c>
      <c r="AU121" s="3">
        <v>0</v>
      </c>
      <c r="AV121" s="3">
        <v>1</v>
      </c>
      <c r="AW121" s="3">
        <v>0</v>
      </c>
      <c r="AX121" s="3">
        <v>1</v>
      </c>
      <c r="AY121" s="3">
        <v>0</v>
      </c>
      <c r="AZ121" s="3">
        <v>0</v>
      </c>
      <c r="BA121" s="3">
        <v>0</v>
      </c>
      <c r="BB121" s="3">
        <v>0</v>
      </c>
      <c r="BC121" s="3">
        <v>1</v>
      </c>
      <c r="BD121" s="3">
        <v>0</v>
      </c>
      <c r="BE121" s="3">
        <v>0</v>
      </c>
      <c r="BG121" s="2" t="s">
        <v>91</v>
      </c>
      <c r="BH121" s="3">
        <v>3</v>
      </c>
      <c r="BJ121" s="2" t="s">
        <v>96</v>
      </c>
      <c r="BL121" s="2" t="s">
        <v>162</v>
      </c>
      <c r="BM121" s="2" t="s">
        <v>163</v>
      </c>
      <c r="BN121" s="2" t="s">
        <v>99</v>
      </c>
      <c r="BO121" s="2" t="s">
        <v>100</v>
      </c>
      <c r="BP121" s="2" t="s">
        <v>242</v>
      </c>
      <c r="BQ121" s="2" t="s">
        <v>102</v>
      </c>
      <c r="BR121" s="2" t="s">
        <v>103</v>
      </c>
      <c r="BS121" s="2" t="s">
        <v>127</v>
      </c>
      <c r="BT121" s="2" t="s">
        <v>398</v>
      </c>
      <c r="BU121" s="2" t="s">
        <v>399</v>
      </c>
      <c r="BV121" s="2" t="s">
        <v>150</v>
      </c>
      <c r="BW121" s="2" t="s">
        <v>151</v>
      </c>
      <c r="BX121" s="2" t="s">
        <v>91</v>
      </c>
      <c r="BY12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21" s="2">
        <f>IF(AND(Cases[[#This Row],[Priority Level]]&gt;=3,Cases[[#This Row],[System Role]]&lt;&gt;"Productive"),1,0)</f>
        <v>0</v>
      </c>
      <c r="CA121" s="2">
        <f>IFERROR(IF(Cases[[#This Row],[Days at Customer]]&gt;MAX(1,Cases[[#This Row],[Days at SAP]]*2),1,0),0)</f>
        <v>1</v>
      </c>
      <c r="CB121" s="2">
        <f>IF(AND(Cases[[#This Row],[Initial Component]]&lt;&gt;"",Cases[[#This Row],[Component]]&lt;&gt;"",Cases[[#This Row],[Initial Component]]&lt;&gt;Cases[[#This Row],[Component]]),1,0)</f>
        <v>0</v>
      </c>
      <c r="CC121" s="2">
        <f>IF(OR(Cases[[#This Row],[Is Reopened]]="X",Cases[[#This Row],[No. of Reopenings]]&gt;0),1,0)</f>
        <v>0</v>
      </c>
      <c r="CD121" s="2">
        <f>IF(Cases[[#This Row],[Confirmation Type]]="Automatic",1,0)</f>
        <v>1</v>
      </c>
      <c r="CE121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22" spans="1:83" x14ac:dyDescent="0.2">
      <c r="A122" s="1" t="s">
        <v>952</v>
      </c>
      <c r="B122" s="2" t="s">
        <v>953</v>
      </c>
      <c r="C122" s="2" t="s">
        <v>77</v>
      </c>
      <c r="D122" s="2" t="s">
        <v>78</v>
      </c>
      <c r="E122" s="3">
        <v>0.05</v>
      </c>
      <c r="F122" s="3">
        <v>19.809999999999999</v>
      </c>
      <c r="G122" s="2" t="s">
        <v>190</v>
      </c>
      <c r="H122" s="2" t="s">
        <v>839</v>
      </c>
      <c r="I122" s="3" t="s">
        <v>114</v>
      </c>
      <c r="J122" s="3">
        <v>54</v>
      </c>
      <c r="K122" s="2" t="s">
        <v>954</v>
      </c>
      <c r="L122" s="4">
        <v>46103</v>
      </c>
      <c r="M122" s="4">
        <v>46093</v>
      </c>
      <c r="N122" s="2" t="s">
        <v>180</v>
      </c>
      <c r="O122" s="2" t="s">
        <v>181</v>
      </c>
      <c r="P122" s="2" t="s">
        <v>350</v>
      </c>
      <c r="Q122" s="2" t="s">
        <v>86</v>
      </c>
      <c r="R122" s="2" t="s">
        <v>87</v>
      </c>
      <c r="S122" s="4">
        <v>46073</v>
      </c>
      <c r="T122" s="2" t="s">
        <v>677</v>
      </c>
      <c r="U122" s="2" t="s">
        <v>181</v>
      </c>
      <c r="V122" s="2" t="s">
        <v>895</v>
      </c>
      <c r="W122" s="2" t="s">
        <v>86</v>
      </c>
      <c r="X122" s="2" t="s">
        <v>117</v>
      </c>
      <c r="Y122" s="3" t="s">
        <v>118</v>
      </c>
      <c r="Z122" s="3">
        <v>19.86</v>
      </c>
      <c r="AA122" s="2" t="s">
        <v>90</v>
      </c>
      <c r="AB122" s="2" t="s">
        <v>87</v>
      </c>
      <c r="AC122" s="2" t="s">
        <v>77</v>
      </c>
      <c r="AD122" t="str" cm="1">
        <f t="array" ref="AD12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122" s="2" t="s">
        <v>91</v>
      </c>
      <c r="AF122" s="2" t="s">
        <v>92</v>
      </c>
      <c r="AG122" s="2" t="s">
        <v>527</v>
      </c>
      <c r="AH122" s="2" t="s">
        <v>528</v>
      </c>
      <c r="AK122" s="2" t="s">
        <v>955</v>
      </c>
      <c r="AN122" s="3">
        <v>1</v>
      </c>
      <c r="AO122" s="3">
        <v>1</v>
      </c>
      <c r="AP122" s="3">
        <v>1</v>
      </c>
      <c r="AQ122" s="3">
        <v>1</v>
      </c>
      <c r="AR122" s="3">
        <v>1</v>
      </c>
      <c r="AS122" s="3">
        <v>0</v>
      </c>
      <c r="AT122" s="3">
        <v>0</v>
      </c>
      <c r="AU122" s="3">
        <v>0</v>
      </c>
      <c r="AV122" s="3">
        <v>0</v>
      </c>
      <c r="AW122" s="3">
        <v>1</v>
      </c>
      <c r="AX122" s="3">
        <v>1</v>
      </c>
      <c r="AY122" s="3">
        <v>0</v>
      </c>
      <c r="AZ122" s="3">
        <v>0</v>
      </c>
      <c r="BA122" s="3">
        <v>0</v>
      </c>
      <c r="BB122" s="3">
        <v>0</v>
      </c>
      <c r="BC122" s="3">
        <v>1</v>
      </c>
      <c r="BD122" s="3">
        <v>0</v>
      </c>
      <c r="BE122" s="3">
        <v>0</v>
      </c>
      <c r="BG122" s="2" t="s">
        <v>91</v>
      </c>
      <c r="BH122" s="3">
        <v>3</v>
      </c>
      <c r="BJ122" s="2" t="s">
        <v>96</v>
      </c>
      <c r="BL122" s="2" t="s">
        <v>184</v>
      </c>
      <c r="BM122" s="2" t="s">
        <v>184</v>
      </c>
      <c r="BN122" s="2" t="s">
        <v>124</v>
      </c>
      <c r="BO122" s="2" t="s">
        <v>125</v>
      </c>
      <c r="BP122" s="2" t="s">
        <v>101</v>
      </c>
      <c r="BQ122" s="2" t="s">
        <v>124</v>
      </c>
      <c r="BR122" s="2" t="s">
        <v>126</v>
      </c>
      <c r="BS122" s="2" t="s">
        <v>127</v>
      </c>
      <c r="BT122" s="2" t="s">
        <v>185</v>
      </c>
      <c r="BU122" s="2" t="s">
        <v>530</v>
      </c>
      <c r="BV122" s="2" t="s">
        <v>150</v>
      </c>
      <c r="BW122" s="2" t="s">
        <v>151</v>
      </c>
      <c r="BX122" s="2" t="s">
        <v>91</v>
      </c>
      <c r="BY12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22" s="2">
        <f>IF(AND(Cases[[#This Row],[Priority Level]]&gt;=3,Cases[[#This Row],[System Role]]&lt;&gt;"Productive"),1,0)</f>
        <v>0</v>
      </c>
      <c r="CA122" s="2">
        <f>IFERROR(IF(Cases[[#This Row],[Days at Customer]]&gt;MAX(1,Cases[[#This Row],[Days at SAP]]*2),1,0),0)</f>
        <v>1</v>
      </c>
      <c r="CB122" s="2">
        <f>IF(AND(Cases[[#This Row],[Initial Component]]&lt;&gt;"",Cases[[#This Row],[Component]]&lt;&gt;"",Cases[[#This Row],[Initial Component]]&lt;&gt;Cases[[#This Row],[Component]]),1,0)</f>
        <v>0</v>
      </c>
      <c r="CC122" s="2">
        <f>IF(OR(Cases[[#This Row],[Is Reopened]]="X",Cases[[#This Row],[No. of Reopenings]]&gt;0),1,0)</f>
        <v>0</v>
      </c>
      <c r="CD122" s="2">
        <f>IF(Cases[[#This Row],[Confirmation Type]]="Automatic",1,0)</f>
        <v>0</v>
      </c>
      <c r="CE122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23" spans="1:83" x14ac:dyDescent="0.2">
      <c r="A123" s="1" t="s">
        <v>2469</v>
      </c>
      <c r="B123" s="2" t="s">
        <v>2470</v>
      </c>
      <c r="C123" s="2" t="s">
        <v>265</v>
      </c>
      <c r="D123" s="2" t="s">
        <v>238</v>
      </c>
      <c r="E123" s="3">
        <v>6.22</v>
      </c>
      <c r="F123" s="3">
        <v>26.4</v>
      </c>
      <c r="G123" s="2" t="s">
        <v>79</v>
      </c>
      <c r="H123" s="2" t="s">
        <v>80</v>
      </c>
      <c r="I123" s="3" t="s">
        <v>114</v>
      </c>
      <c r="J123" s="3">
        <v>152</v>
      </c>
      <c r="K123" s="2" t="s">
        <v>2471</v>
      </c>
      <c r="L123" s="4">
        <v>46012</v>
      </c>
      <c r="M123" s="4">
        <v>46008</v>
      </c>
      <c r="N123" s="2" t="s">
        <v>1804</v>
      </c>
      <c r="O123" s="2" t="s">
        <v>1805</v>
      </c>
      <c r="P123" s="2" t="s">
        <v>1930</v>
      </c>
      <c r="Q123" s="2" t="s">
        <v>1806</v>
      </c>
      <c r="R123" s="2" t="s">
        <v>267</v>
      </c>
      <c r="S123" s="4">
        <v>45975</v>
      </c>
      <c r="T123" s="2" t="s">
        <v>2274</v>
      </c>
      <c r="U123" s="2" t="s">
        <v>1805</v>
      </c>
      <c r="V123" s="2" t="s">
        <v>2467</v>
      </c>
      <c r="W123" s="2" t="s">
        <v>1806</v>
      </c>
      <c r="X123" s="2" t="s">
        <v>117</v>
      </c>
      <c r="Y123" s="3" t="s">
        <v>118</v>
      </c>
      <c r="Z123" s="3">
        <v>32.630000000000003</v>
      </c>
      <c r="AA123" s="2" t="s">
        <v>90</v>
      </c>
      <c r="AB123" s="2" t="s">
        <v>267</v>
      </c>
      <c r="AC123" s="2" t="s">
        <v>265</v>
      </c>
      <c r="AD123" t="str" cm="1">
        <f t="array" ref="AD12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123" s="2" t="s">
        <v>91</v>
      </c>
      <c r="AF123" s="2" t="s">
        <v>92</v>
      </c>
      <c r="AG123" s="2" t="s">
        <v>119</v>
      </c>
      <c r="AH123" s="2" t="s">
        <v>120</v>
      </c>
      <c r="AK123" s="2" t="s">
        <v>2472</v>
      </c>
      <c r="AN123" s="3">
        <v>1</v>
      </c>
      <c r="AO123" s="3">
        <v>1</v>
      </c>
      <c r="AP123" s="3">
        <v>1</v>
      </c>
      <c r="AQ123" s="3">
        <v>1</v>
      </c>
      <c r="AR123" s="3">
        <v>1</v>
      </c>
      <c r="AS123" s="3">
        <v>0</v>
      </c>
      <c r="AT123" s="3">
        <v>0</v>
      </c>
      <c r="AU123" s="3">
        <v>0</v>
      </c>
      <c r="AV123" s="3">
        <v>1</v>
      </c>
      <c r="AW123" s="3">
        <v>0</v>
      </c>
      <c r="AX123" s="3">
        <v>1</v>
      </c>
      <c r="AY123" s="3">
        <v>0</v>
      </c>
      <c r="AZ123" s="3">
        <v>0</v>
      </c>
      <c r="BA123" s="3">
        <v>0</v>
      </c>
      <c r="BB123" s="3">
        <v>0</v>
      </c>
      <c r="BC123" s="3">
        <v>1</v>
      </c>
      <c r="BD123" s="3">
        <v>0</v>
      </c>
      <c r="BE123" s="3">
        <v>0</v>
      </c>
      <c r="BG123" s="2" t="s">
        <v>91</v>
      </c>
      <c r="BH123" s="3">
        <v>3</v>
      </c>
      <c r="BJ123" s="2" t="s">
        <v>96</v>
      </c>
      <c r="BL123" s="2" t="s">
        <v>123</v>
      </c>
      <c r="BM123" s="2" t="s">
        <v>123</v>
      </c>
      <c r="BN123" s="2" t="s">
        <v>124</v>
      </c>
      <c r="BO123" s="2" t="s">
        <v>125</v>
      </c>
      <c r="BP123" s="2" t="s">
        <v>242</v>
      </c>
      <c r="BQ123" s="2" t="s">
        <v>124</v>
      </c>
      <c r="BR123" s="2" t="s">
        <v>126</v>
      </c>
      <c r="BS123" s="2" t="s">
        <v>127</v>
      </c>
      <c r="BT123" s="2" t="s">
        <v>207</v>
      </c>
      <c r="BU123" s="2" t="s">
        <v>208</v>
      </c>
      <c r="BV123" s="2" t="s">
        <v>150</v>
      </c>
      <c r="BW123" s="2" t="s">
        <v>151</v>
      </c>
      <c r="BX123" s="2" t="s">
        <v>91</v>
      </c>
      <c r="BY12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23" s="2">
        <f>IF(AND(Cases[[#This Row],[Priority Level]]&gt;=3,Cases[[#This Row],[System Role]]&lt;&gt;"Productive"),1,0)</f>
        <v>0</v>
      </c>
      <c r="CA123" s="2">
        <f>IFERROR(IF(Cases[[#This Row],[Days at Customer]]&gt;MAX(1,Cases[[#This Row],[Days at SAP]]*2),1,0),0)</f>
        <v>1</v>
      </c>
      <c r="CB123" s="2">
        <f>IF(AND(Cases[[#This Row],[Initial Component]]&lt;&gt;"",Cases[[#This Row],[Component]]&lt;&gt;"",Cases[[#This Row],[Initial Component]]&lt;&gt;Cases[[#This Row],[Component]]),1,0)</f>
        <v>0</v>
      </c>
      <c r="CC123" s="2">
        <f>IF(OR(Cases[[#This Row],[Is Reopened]]="X",Cases[[#This Row],[No. of Reopenings]]&gt;0),1,0)</f>
        <v>0</v>
      </c>
      <c r="CD123" s="2">
        <f>IF(Cases[[#This Row],[Confirmation Type]]="Automatic",1,0)</f>
        <v>1</v>
      </c>
      <c r="CE123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24" spans="1:83" x14ac:dyDescent="0.2">
      <c r="A124" s="1" t="s">
        <v>960</v>
      </c>
      <c r="B124" s="2" t="s">
        <v>961</v>
      </c>
      <c r="C124" s="2" t="s">
        <v>962</v>
      </c>
      <c r="D124" s="2" t="s">
        <v>238</v>
      </c>
      <c r="E124" s="3">
        <v>11.01</v>
      </c>
      <c r="F124" s="3">
        <v>25.4</v>
      </c>
      <c r="G124" s="2" t="s">
        <v>133</v>
      </c>
      <c r="H124" s="2" t="s">
        <v>324</v>
      </c>
      <c r="I124" s="3" t="s">
        <v>81</v>
      </c>
      <c r="J124" s="3">
        <v>55</v>
      </c>
      <c r="K124" s="2" t="s">
        <v>963</v>
      </c>
      <c r="L124" s="4">
        <v>46117</v>
      </c>
      <c r="M124" s="4">
        <v>46109</v>
      </c>
      <c r="N124" s="2" t="s">
        <v>180</v>
      </c>
      <c r="O124" s="2" t="s">
        <v>181</v>
      </c>
      <c r="P124" s="2" t="s">
        <v>195</v>
      </c>
      <c r="Q124" s="2" t="s">
        <v>86</v>
      </c>
      <c r="R124" s="2" t="s">
        <v>964</v>
      </c>
      <c r="S124" s="4">
        <v>46072</v>
      </c>
      <c r="T124" s="2" t="s">
        <v>677</v>
      </c>
      <c r="U124" s="2" t="s">
        <v>181</v>
      </c>
      <c r="V124" s="2" t="s">
        <v>895</v>
      </c>
      <c r="W124" s="2" t="s">
        <v>86</v>
      </c>
      <c r="X124" s="2" t="s">
        <v>88</v>
      </c>
      <c r="Y124" s="3" t="s">
        <v>89</v>
      </c>
      <c r="Z124" s="3">
        <v>36.409999999999997</v>
      </c>
      <c r="AA124" s="2" t="s">
        <v>90</v>
      </c>
      <c r="AB124" s="2" t="s">
        <v>965</v>
      </c>
      <c r="AC124" s="2" t="s">
        <v>966</v>
      </c>
      <c r="AD124" t="str" cm="1">
        <f t="array" ref="AD12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124" s="2" t="s">
        <v>91</v>
      </c>
      <c r="AF124" s="2" t="s">
        <v>92</v>
      </c>
      <c r="AG124" s="2" t="s">
        <v>93</v>
      </c>
      <c r="AH124" s="2" t="s">
        <v>94</v>
      </c>
      <c r="AK124" s="2" t="s">
        <v>967</v>
      </c>
      <c r="AN124" s="3">
        <v>1</v>
      </c>
      <c r="AO124" s="3">
        <v>1</v>
      </c>
      <c r="AP124" s="3">
        <v>1</v>
      </c>
      <c r="AQ124" s="3">
        <v>1</v>
      </c>
      <c r="AR124" s="3">
        <v>1</v>
      </c>
      <c r="AS124" s="3">
        <v>0</v>
      </c>
      <c r="AT124" s="3">
        <v>0</v>
      </c>
      <c r="AU124" s="3">
        <v>0</v>
      </c>
      <c r="AV124" s="3">
        <v>1</v>
      </c>
      <c r="AW124" s="3">
        <v>0</v>
      </c>
      <c r="AX124" s="3">
        <v>1</v>
      </c>
      <c r="AY124" s="3">
        <v>0</v>
      </c>
      <c r="AZ124" s="3">
        <v>0</v>
      </c>
      <c r="BA124" s="3">
        <v>0</v>
      </c>
      <c r="BB124" s="3">
        <v>0</v>
      </c>
      <c r="BC124" s="3">
        <v>1</v>
      </c>
      <c r="BD124" s="3">
        <v>0</v>
      </c>
      <c r="BE124" s="3">
        <v>0</v>
      </c>
      <c r="BG124" s="2" t="s">
        <v>91</v>
      </c>
      <c r="BH124" s="3">
        <v>3</v>
      </c>
      <c r="BJ124" s="2" t="s">
        <v>96</v>
      </c>
      <c r="BL124" s="2" t="s">
        <v>184</v>
      </c>
      <c r="BM124" s="2" t="s">
        <v>184</v>
      </c>
      <c r="BN124" s="2" t="s">
        <v>124</v>
      </c>
      <c r="BO124" s="2" t="s">
        <v>125</v>
      </c>
      <c r="BP124" s="2" t="s">
        <v>242</v>
      </c>
      <c r="BQ124" s="2" t="s">
        <v>124</v>
      </c>
      <c r="BR124" s="2" t="s">
        <v>126</v>
      </c>
      <c r="BS124" s="2" t="s">
        <v>104</v>
      </c>
      <c r="BT124" s="2" t="s">
        <v>185</v>
      </c>
      <c r="BU124" s="2" t="s">
        <v>968</v>
      </c>
      <c r="BV124" s="2" t="s">
        <v>150</v>
      </c>
      <c r="BW124" s="2" t="s">
        <v>151</v>
      </c>
      <c r="BX124" s="2" t="s">
        <v>91</v>
      </c>
      <c r="BY12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24" s="2">
        <f>IF(AND(Cases[[#This Row],[Priority Level]]&gt;=3,Cases[[#This Row],[System Role]]&lt;&gt;"Productive"),1,0)</f>
        <v>0</v>
      </c>
      <c r="CA124" s="2">
        <f>IFERROR(IF(Cases[[#This Row],[Days at Customer]]&gt;MAX(1,Cases[[#This Row],[Days at SAP]]*2),1,0),0)</f>
        <v>1</v>
      </c>
      <c r="CB124" s="2">
        <f>IF(AND(Cases[[#This Row],[Initial Component]]&lt;&gt;"",Cases[[#This Row],[Component]]&lt;&gt;"",Cases[[#This Row],[Initial Component]]&lt;&gt;Cases[[#This Row],[Component]]),1,0)</f>
        <v>1</v>
      </c>
      <c r="CC124" s="2">
        <f>IF(OR(Cases[[#This Row],[Is Reopened]]="X",Cases[[#This Row],[No. of Reopenings]]&gt;0),1,0)</f>
        <v>0</v>
      </c>
      <c r="CD124" s="2">
        <f>IF(Cases[[#This Row],[Confirmation Type]]="Automatic",1,0)</f>
        <v>1</v>
      </c>
      <c r="CE124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25" spans="1:83" x14ac:dyDescent="0.2">
      <c r="A125" s="1" t="s">
        <v>969</v>
      </c>
      <c r="B125" s="2" t="s">
        <v>970</v>
      </c>
      <c r="C125" s="2" t="s">
        <v>971</v>
      </c>
      <c r="D125" s="2" t="s">
        <v>78</v>
      </c>
      <c r="E125" s="3">
        <v>5.87</v>
      </c>
      <c r="F125" s="3">
        <v>20.78</v>
      </c>
      <c r="G125" s="2" t="s">
        <v>190</v>
      </c>
      <c r="H125" s="2" t="s">
        <v>839</v>
      </c>
      <c r="I125" s="3" t="s">
        <v>114</v>
      </c>
      <c r="J125" s="3">
        <v>55</v>
      </c>
      <c r="K125" s="2" t="s">
        <v>972</v>
      </c>
      <c r="L125" s="4">
        <v>46103</v>
      </c>
      <c r="M125" s="4">
        <v>46099</v>
      </c>
      <c r="N125" s="2" t="s">
        <v>180</v>
      </c>
      <c r="O125" s="2" t="s">
        <v>181</v>
      </c>
      <c r="P125" s="2" t="s">
        <v>260</v>
      </c>
      <c r="Q125" s="2" t="s">
        <v>86</v>
      </c>
      <c r="R125" s="2" t="s">
        <v>973</v>
      </c>
      <c r="S125" s="4">
        <v>46072</v>
      </c>
      <c r="T125" s="2" t="s">
        <v>677</v>
      </c>
      <c r="U125" s="2" t="s">
        <v>181</v>
      </c>
      <c r="V125" s="2" t="s">
        <v>895</v>
      </c>
      <c r="W125" s="2" t="s">
        <v>86</v>
      </c>
      <c r="X125" s="2" t="s">
        <v>117</v>
      </c>
      <c r="Y125" s="3" t="s">
        <v>118</v>
      </c>
      <c r="Z125" s="3">
        <v>26.66</v>
      </c>
      <c r="AA125" s="2" t="s">
        <v>138</v>
      </c>
      <c r="AB125" s="2" t="s">
        <v>974</v>
      </c>
      <c r="AC125" s="2" t="s">
        <v>975</v>
      </c>
      <c r="AD125" t="str" cm="1">
        <f t="array" ref="AD12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125" s="2" t="s">
        <v>139</v>
      </c>
      <c r="AF125" s="2" t="s">
        <v>92</v>
      </c>
      <c r="AG125" s="2" t="s">
        <v>976</v>
      </c>
      <c r="AH125" s="2" t="s">
        <v>977</v>
      </c>
      <c r="AJ125" s="2" t="s">
        <v>122</v>
      </c>
      <c r="AK125" s="2" t="s">
        <v>978</v>
      </c>
      <c r="AN125" s="3">
        <v>1</v>
      </c>
      <c r="AO125" s="3">
        <v>1</v>
      </c>
      <c r="AP125" s="3">
        <v>1</v>
      </c>
      <c r="AQ125" s="3">
        <v>1</v>
      </c>
      <c r="AR125" s="3">
        <v>0</v>
      </c>
      <c r="AS125" s="3">
        <v>1</v>
      </c>
      <c r="AT125" s="3">
        <v>0</v>
      </c>
      <c r="AU125" s="3">
        <v>0</v>
      </c>
      <c r="AV125" s="3">
        <v>0</v>
      </c>
      <c r="AW125" s="3">
        <v>1</v>
      </c>
      <c r="AX125" s="3">
        <v>0</v>
      </c>
      <c r="AY125" s="3">
        <v>1</v>
      </c>
      <c r="AZ125" s="3">
        <v>0</v>
      </c>
      <c r="BA125" s="3">
        <v>1</v>
      </c>
      <c r="BB125" s="3">
        <v>0</v>
      </c>
      <c r="BC125" s="3">
        <v>0</v>
      </c>
      <c r="BD125" s="3">
        <v>1</v>
      </c>
      <c r="BE125" s="3">
        <v>0</v>
      </c>
      <c r="BG125" s="2" t="s">
        <v>158</v>
      </c>
      <c r="BH125" s="3">
        <v>1</v>
      </c>
      <c r="BJ125" s="2" t="s">
        <v>96</v>
      </c>
      <c r="BL125" s="2" t="s">
        <v>979</v>
      </c>
      <c r="BM125" s="2" t="s">
        <v>980</v>
      </c>
      <c r="BN125" s="2" t="s">
        <v>981</v>
      </c>
      <c r="BO125" s="2" t="s">
        <v>982</v>
      </c>
      <c r="BP125" s="2" t="s">
        <v>101</v>
      </c>
      <c r="BQ125" s="2" t="s">
        <v>983</v>
      </c>
      <c r="BR125" s="2" t="s">
        <v>984</v>
      </c>
      <c r="BS125" s="2" t="s">
        <v>450</v>
      </c>
      <c r="BT125" s="2" t="s">
        <v>148</v>
      </c>
      <c r="BU125" s="2" t="s">
        <v>985</v>
      </c>
      <c r="BV125" s="2" t="s">
        <v>107</v>
      </c>
      <c r="BW125" s="2" t="s">
        <v>108</v>
      </c>
      <c r="BX125" s="2" t="s">
        <v>91</v>
      </c>
      <c r="BY12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25" s="2">
        <f>IF(AND(Cases[[#This Row],[Priority Level]]&gt;=3,Cases[[#This Row],[System Role]]&lt;&gt;"Productive"),1,0)</f>
        <v>0</v>
      </c>
      <c r="CA125" s="2">
        <f>IFERROR(IF(Cases[[#This Row],[Days at Customer]]&gt;MAX(1,Cases[[#This Row],[Days at SAP]]*2),1,0),0)</f>
        <v>1</v>
      </c>
      <c r="CB125" s="2">
        <f>IF(AND(Cases[[#This Row],[Initial Component]]&lt;&gt;"",Cases[[#This Row],[Component]]&lt;&gt;"",Cases[[#This Row],[Initial Component]]&lt;&gt;Cases[[#This Row],[Component]]),1,0)</f>
        <v>1</v>
      </c>
      <c r="CC125" s="2">
        <f>IF(OR(Cases[[#This Row],[Is Reopened]]="X",Cases[[#This Row],[No. of Reopenings]]&gt;0),1,0)</f>
        <v>1</v>
      </c>
      <c r="CD125" s="2">
        <f>IF(Cases[[#This Row],[Confirmation Type]]="Automatic",1,0)</f>
        <v>0</v>
      </c>
      <c r="CE125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126" spans="1:83" x14ac:dyDescent="0.2">
      <c r="A126" s="1" t="s">
        <v>986</v>
      </c>
      <c r="B126" s="2" t="s">
        <v>987</v>
      </c>
      <c r="C126" s="2" t="s">
        <v>988</v>
      </c>
      <c r="D126" s="2" t="s">
        <v>238</v>
      </c>
      <c r="E126" s="3">
        <v>1.06</v>
      </c>
      <c r="F126" s="3">
        <v>21.34</v>
      </c>
      <c r="G126" s="2" t="s">
        <v>79</v>
      </c>
      <c r="H126" s="2" t="s">
        <v>80</v>
      </c>
      <c r="I126" s="3" t="s">
        <v>114</v>
      </c>
      <c r="J126" s="3">
        <v>55</v>
      </c>
      <c r="K126" s="2" t="s">
        <v>989</v>
      </c>
      <c r="L126" s="4">
        <v>46096</v>
      </c>
      <c r="M126" s="4">
        <v>46095</v>
      </c>
      <c r="N126" s="2" t="s">
        <v>180</v>
      </c>
      <c r="O126" s="2" t="s">
        <v>181</v>
      </c>
      <c r="P126" s="2" t="s">
        <v>350</v>
      </c>
      <c r="Q126" s="2" t="s">
        <v>86</v>
      </c>
      <c r="R126" s="2" t="s">
        <v>990</v>
      </c>
      <c r="S126" s="4">
        <v>46072</v>
      </c>
      <c r="T126" s="2" t="s">
        <v>677</v>
      </c>
      <c r="U126" s="2" t="s">
        <v>181</v>
      </c>
      <c r="V126" s="2" t="s">
        <v>895</v>
      </c>
      <c r="W126" s="2" t="s">
        <v>86</v>
      </c>
      <c r="X126" s="2" t="s">
        <v>117</v>
      </c>
      <c r="Y126" s="3" t="s">
        <v>118</v>
      </c>
      <c r="Z126" s="3">
        <v>22.4</v>
      </c>
      <c r="AA126" s="2" t="s">
        <v>90</v>
      </c>
      <c r="AB126" s="2" t="s">
        <v>417</v>
      </c>
      <c r="AC126" s="2" t="s">
        <v>418</v>
      </c>
      <c r="AD126" t="str" cm="1">
        <f t="array" ref="AD12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126" s="2" t="s">
        <v>158</v>
      </c>
      <c r="AF126" s="2" t="s">
        <v>92</v>
      </c>
      <c r="AG126" s="2" t="s">
        <v>159</v>
      </c>
      <c r="AH126" s="2" t="s">
        <v>160</v>
      </c>
      <c r="AK126" s="2" t="s">
        <v>991</v>
      </c>
      <c r="AN126" s="3">
        <v>1</v>
      </c>
      <c r="AO126" s="3">
        <v>1</v>
      </c>
      <c r="AP126" s="3">
        <v>1</v>
      </c>
      <c r="AQ126" s="3">
        <v>1</v>
      </c>
      <c r="AR126" s="3">
        <v>0</v>
      </c>
      <c r="AS126" s="3">
        <v>1</v>
      </c>
      <c r="AT126" s="3">
        <v>0</v>
      </c>
      <c r="AU126" s="3">
        <v>0</v>
      </c>
      <c r="AV126" s="3">
        <v>1</v>
      </c>
      <c r="AW126" s="3">
        <v>0</v>
      </c>
      <c r="AX126" s="3">
        <v>0</v>
      </c>
      <c r="AY126" s="3">
        <v>1</v>
      </c>
      <c r="AZ126" s="3">
        <v>0</v>
      </c>
      <c r="BA126" s="3">
        <v>0</v>
      </c>
      <c r="BB126" s="3">
        <v>0</v>
      </c>
      <c r="BC126" s="3">
        <v>1</v>
      </c>
      <c r="BD126" s="3">
        <v>0</v>
      </c>
      <c r="BE126" s="3">
        <v>0</v>
      </c>
      <c r="BG126" s="2" t="s">
        <v>158</v>
      </c>
      <c r="BH126" s="3">
        <v>1</v>
      </c>
      <c r="BJ126" s="2" t="s">
        <v>96</v>
      </c>
      <c r="BL126" s="2" t="s">
        <v>162</v>
      </c>
      <c r="BM126" s="2" t="s">
        <v>163</v>
      </c>
      <c r="BN126" s="2" t="s">
        <v>99</v>
      </c>
      <c r="BO126" s="2" t="s">
        <v>100</v>
      </c>
      <c r="BP126" s="2" t="s">
        <v>242</v>
      </c>
      <c r="BQ126" s="2" t="s">
        <v>102</v>
      </c>
      <c r="BR126" s="2" t="s">
        <v>103</v>
      </c>
      <c r="BS126" s="2" t="s">
        <v>127</v>
      </c>
      <c r="BT126" s="2" t="s">
        <v>398</v>
      </c>
      <c r="BU126" s="2" t="s">
        <v>399</v>
      </c>
      <c r="BV126" s="2" t="s">
        <v>150</v>
      </c>
      <c r="BW126" s="2" t="s">
        <v>151</v>
      </c>
      <c r="BX126" s="2" t="s">
        <v>158</v>
      </c>
      <c r="BY12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26" s="2">
        <f>IF(AND(Cases[[#This Row],[Priority Level]]&gt;=3,Cases[[#This Row],[System Role]]&lt;&gt;"Productive"),1,0)</f>
        <v>0</v>
      </c>
      <c r="CA126" s="2">
        <f>IFERROR(IF(Cases[[#This Row],[Days at Customer]]&gt;MAX(1,Cases[[#This Row],[Days at SAP]]*2),1,0),0)</f>
        <v>1</v>
      </c>
      <c r="CB126" s="2">
        <f>IF(AND(Cases[[#This Row],[Initial Component]]&lt;&gt;"",Cases[[#This Row],[Component]]&lt;&gt;"",Cases[[#This Row],[Initial Component]]&lt;&gt;Cases[[#This Row],[Component]]),1,0)</f>
        <v>1</v>
      </c>
      <c r="CC126" s="2">
        <f>IF(OR(Cases[[#This Row],[Is Reopened]]="X",Cases[[#This Row],[No. of Reopenings]]&gt;0),1,0)</f>
        <v>0</v>
      </c>
      <c r="CD126" s="2">
        <f>IF(Cases[[#This Row],[Confirmation Type]]="Automatic",1,0)</f>
        <v>1</v>
      </c>
      <c r="CE12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27" spans="1:83" x14ac:dyDescent="0.2">
      <c r="A127" s="1" t="s">
        <v>992</v>
      </c>
      <c r="B127" s="2" t="s">
        <v>993</v>
      </c>
      <c r="C127" s="2" t="s">
        <v>994</v>
      </c>
      <c r="D127" s="2" t="s">
        <v>238</v>
      </c>
      <c r="E127" s="3">
        <v>1.85</v>
      </c>
      <c r="F127" s="3">
        <v>39.74</v>
      </c>
      <c r="G127" s="2" t="s">
        <v>133</v>
      </c>
      <c r="H127" s="2" t="s">
        <v>995</v>
      </c>
      <c r="I127" s="3" t="s">
        <v>114</v>
      </c>
      <c r="J127" s="3">
        <v>56</v>
      </c>
      <c r="K127" s="2" t="s">
        <v>996</v>
      </c>
      <c r="L127" s="4">
        <v>46117</v>
      </c>
      <c r="M127" s="4">
        <v>46113</v>
      </c>
      <c r="N127" s="2" t="s">
        <v>83</v>
      </c>
      <c r="O127" s="2" t="s">
        <v>84</v>
      </c>
      <c r="P127" s="2" t="s">
        <v>136</v>
      </c>
      <c r="Q127" s="2" t="s">
        <v>86</v>
      </c>
      <c r="R127" s="2" t="s">
        <v>997</v>
      </c>
      <c r="S127" s="4">
        <v>46071</v>
      </c>
      <c r="T127" s="2" t="s">
        <v>677</v>
      </c>
      <c r="U127" s="2" t="s">
        <v>181</v>
      </c>
      <c r="V127" s="2" t="s">
        <v>895</v>
      </c>
      <c r="W127" s="2" t="s">
        <v>86</v>
      </c>
      <c r="X127" s="2" t="s">
        <v>117</v>
      </c>
      <c r="Y127" s="3" t="s">
        <v>118</v>
      </c>
      <c r="Z127" s="3">
        <v>41.59</v>
      </c>
      <c r="AA127" s="2" t="s">
        <v>90</v>
      </c>
      <c r="AB127" s="2" t="s">
        <v>997</v>
      </c>
      <c r="AC127" s="2" t="s">
        <v>994</v>
      </c>
      <c r="AD127" t="str" cm="1">
        <f t="array" ref="AD12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127" s="2" t="s">
        <v>139</v>
      </c>
      <c r="AF127" s="2" t="s">
        <v>998</v>
      </c>
      <c r="AG127" s="2" t="s">
        <v>119</v>
      </c>
      <c r="AH127" s="2" t="s">
        <v>120</v>
      </c>
      <c r="AK127" s="2" t="s">
        <v>999</v>
      </c>
      <c r="AN127" s="3">
        <v>1</v>
      </c>
      <c r="AO127" s="3">
        <v>1</v>
      </c>
      <c r="AP127" s="3">
        <v>1</v>
      </c>
      <c r="AQ127" s="3">
        <v>1</v>
      </c>
      <c r="AR127" s="3">
        <v>1</v>
      </c>
      <c r="AS127" s="3">
        <v>0</v>
      </c>
      <c r="AT127" s="3">
        <v>0</v>
      </c>
      <c r="AU127" s="3">
        <v>0</v>
      </c>
      <c r="AV127" s="3">
        <v>1</v>
      </c>
      <c r="AW127" s="3">
        <v>0</v>
      </c>
      <c r="AX127" s="3">
        <v>1</v>
      </c>
      <c r="AY127" s="3">
        <v>0</v>
      </c>
      <c r="AZ127" s="3">
        <v>0</v>
      </c>
      <c r="BA127" s="3">
        <v>0</v>
      </c>
      <c r="BB127" s="3">
        <v>0</v>
      </c>
      <c r="BC127" s="3">
        <v>1</v>
      </c>
      <c r="BD127" s="3">
        <v>0</v>
      </c>
      <c r="BE127" s="3">
        <v>0</v>
      </c>
      <c r="BG127" s="2" t="s">
        <v>91</v>
      </c>
      <c r="BH127" s="3">
        <v>3</v>
      </c>
      <c r="BJ127" s="2" t="s">
        <v>96</v>
      </c>
      <c r="BL127" s="2" t="s">
        <v>382</v>
      </c>
      <c r="BM127" s="2" t="s">
        <v>382</v>
      </c>
      <c r="BN127" s="2" t="s">
        <v>99</v>
      </c>
      <c r="BO127" s="2" t="s">
        <v>100</v>
      </c>
      <c r="BP127" s="2" t="s">
        <v>242</v>
      </c>
      <c r="BQ127" s="2" t="s">
        <v>383</v>
      </c>
      <c r="BR127" s="2" t="s">
        <v>384</v>
      </c>
      <c r="BS127" s="2" t="s">
        <v>127</v>
      </c>
      <c r="BT127" s="2" t="s">
        <v>1000</v>
      </c>
      <c r="BU127" s="2" t="s">
        <v>1001</v>
      </c>
      <c r="BV127" s="2" t="s">
        <v>150</v>
      </c>
      <c r="BW127" s="2" t="s">
        <v>151</v>
      </c>
      <c r="BX127" s="2" t="s">
        <v>91</v>
      </c>
      <c r="BY12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27" s="2">
        <f>IF(AND(Cases[[#This Row],[Priority Level]]&gt;=3,Cases[[#This Row],[System Role]]&lt;&gt;"Productive"),1,0)</f>
        <v>0</v>
      </c>
      <c r="CA127" s="2">
        <f>IFERROR(IF(Cases[[#This Row],[Days at Customer]]&gt;MAX(1,Cases[[#This Row],[Days at SAP]]*2),1,0),0)</f>
        <v>1</v>
      </c>
      <c r="CB127" s="2">
        <f>IF(AND(Cases[[#This Row],[Initial Component]]&lt;&gt;"",Cases[[#This Row],[Component]]&lt;&gt;"",Cases[[#This Row],[Initial Component]]&lt;&gt;Cases[[#This Row],[Component]]),1,0)</f>
        <v>0</v>
      </c>
      <c r="CC127" s="2">
        <f>IF(OR(Cases[[#This Row],[Is Reopened]]="X",Cases[[#This Row],[No. of Reopenings]]&gt;0),1,0)</f>
        <v>0</v>
      </c>
      <c r="CD127" s="2">
        <f>IF(Cases[[#This Row],[Confirmation Type]]="Automatic",1,0)</f>
        <v>1</v>
      </c>
      <c r="CE127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28" spans="1:83" x14ac:dyDescent="0.2">
      <c r="A128" s="1" t="s">
        <v>1002</v>
      </c>
      <c r="B128" s="2" t="s">
        <v>1003</v>
      </c>
      <c r="C128" s="2" t="s">
        <v>154</v>
      </c>
      <c r="D128" s="2" t="s">
        <v>78</v>
      </c>
      <c r="E128" s="3">
        <v>0.89</v>
      </c>
      <c r="F128" s="3">
        <v>8.1</v>
      </c>
      <c r="G128" s="2" t="s">
        <v>79</v>
      </c>
      <c r="H128" s="2" t="s">
        <v>178</v>
      </c>
      <c r="I128" s="3" t="s">
        <v>114</v>
      </c>
      <c r="J128" s="3">
        <v>56</v>
      </c>
      <c r="K128" s="2" t="s">
        <v>1004</v>
      </c>
      <c r="L128" s="4">
        <v>46082</v>
      </c>
      <c r="M128" s="4">
        <v>46080</v>
      </c>
      <c r="N128" s="2" t="s">
        <v>677</v>
      </c>
      <c r="O128" s="2" t="s">
        <v>181</v>
      </c>
      <c r="P128" s="2" t="s">
        <v>678</v>
      </c>
      <c r="Q128" s="2" t="s">
        <v>86</v>
      </c>
      <c r="R128" s="2" t="s">
        <v>157</v>
      </c>
      <c r="S128" s="4">
        <v>46071</v>
      </c>
      <c r="T128" s="2" t="s">
        <v>677</v>
      </c>
      <c r="U128" s="2" t="s">
        <v>181</v>
      </c>
      <c r="V128" s="2" t="s">
        <v>895</v>
      </c>
      <c r="W128" s="2" t="s">
        <v>86</v>
      </c>
      <c r="X128" s="2" t="s">
        <v>117</v>
      </c>
      <c r="Y128" s="3" t="s">
        <v>118</v>
      </c>
      <c r="Z128" s="3">
        <v>8.99</v>
      </c>
      <c r="AA128" s="2" t="s">
        <v>90</v>
      </c>
      <c r="AB128" s="2" t="s">
        <v>157</v>
      </c>
      <c r="AC128" s="2" t="s">
        <v>154</v>
      </c>
      <c r="AD128" t="str" cm="1">
        <f t="array" ref="AD12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128" s="2" t="s">
        <v>91</v>
      </c>
      <c r="AF128" s="2" t="s">
        <v>92</v>
      </c>
      <c r="AG128" s="2" t="s">
        <v>159</v>
      </c>
      <c r="AH128" s="2" t="s">
        <v>160</v>
      </c>
      <c r="AK128" s="2" t="s">
        <v>1005</v>
      </c>
      <c r="AN128" s="3">
        <v>1</v>
      </c>
      <c r="AO128" s="3">
        <v>1</v>
      </c>
      <c r="AP128" s="3">
        <v>1</v>
      </c>
      <c r="AQ128" s="3">
        <v>1</v>
      </c>
      <c r="AR128" s="3">
        <v>1</v>
      </c>
      <c r="AS128" s="3">
        <v>0</v>
      </c>
      <c r="AT128" s="3">
        <v>0</v>
      </c>
      <c r="AU128" s="3">
        <v>0</v>
      </c>
      <c r="AV128" s="3">
        <v>0</v>
      </c>
      <c r="AW128" s="3">
        <v>1</v>
      </c>
      <c r="AX128" s="3">
        <v>1</v>
      </c>
      <c r="AY128" s="3">
        <v>0</v>
      </c>
      <c r="AZ128" s="3">
        <v>0</v>
      </c>
      <c r="BA128" s="3">
        <v>0</v>
      </c>
      <c r="BB128" s="3">
        <v>0</v>
      </c>
      <c r="BC128" s="3">
        <v>1</v>
      </c>
      <c r="BD128" s="3">
        <v>0</v>
      </c>
      <c r="BE128" s="3">
        <v>0</v>
      </c>
      <c r="BG128" s="2" t="s">
        <v>91</v>
      </c>
      <c r="BH128" s="3">
        <v>3</v>
      </c>
      <c r="BJ128" s="2" t="s">
        <v>96</v>
      </c>
      <c r="BL128" s="2" t="s">
        <v>162</v>
      </c>
      <c r="BM128" s="2" t="s">
        <v>163</v>
      </c>
      <c r="BN128" s="2" t="s">
        <v>99</v>
      </c>
      <c r="BO128" s="2" t="s">
        <v>100</v>
      </c>
      <c r="BP128" s="2" t="s">
        <v>101</v>
      </c>
      <c r="BQ128" s="2" t="s">
        <v>102</v>
      </c>
      <c r="BR128" s="2" t="s">
        <v>103</v>
      </c>
      <c r="BS128" s="2" t="s">
        <v>127</v>
      </c>
      <c r="BT128" s="2" t="s">
        <v>398</v>
      </c>
      <c r="BU128" s="2" t="s">
        <v>399</v>
      </c>
      <c r="BV128" s="2" t="s">
        <v>150</v>
      </c>
      <c r="BW128" s="2" t="s">
        <v>151</v>
      </c>
      <c r="BX128" s="2" t="s">
        <v>91</v>
      </c>
      <c r="BY12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28" s="2">
        <f>IF(AND(Cases[[#This Row],[Priority Level]]&gt;=3,Cases[[#This Row],[System Role]]&lt;&gt;"Productive"),1,0)</f>
        <v>0</v>
      </c>
      <c r="CA128" s="2">
        <f>IFERROR(IF(Cases[[#This Row],[Days at Customer]]&gt;MAX(1,Cases[[#This Row],[Days at SAP]]*2),1,0),0)</f>
        <v>1</v>
      </c>
      <c r="CB128" s="2">
        <f>IF(AND(Cases[[#This Row],[Initial Component]]&lt;&gt;"",Cases[[#This Row],[Component]]&lt;&gt;"",Cases[[#This Row],[Initial Component]]&lt;&gt;Cases[[#This Row],[Component]]),1,0)</f>
        <v>0</v>
      </c>
      <c r="CC128" s="2">
        <f>IF(OR(Cases[[#This Row],[Is Reopened]]="X",Cases[[#This Row],[No. of Reopenings]]&gt;0),1,0)</f>
        <v>0</v>
      </c>
      <c r="CD128" s="2">
        <f>IF(Cases[[#This Row],[Confirmation Type]]="Automatic",1,0)</f>
        <v>0</v>
      </c>
      <c r="CE128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29" spans="1:83" x14ac:dyDescent="0.2">
      <c r="A129" s="1" t="s">
        <v>2517</v>
      </c>
      <c r="B129" s="2" t="s">
        <v>2518</v>
      </c>
      <c r="C129" s="2" t="s">
        <v>111</v>
      </c>
      <c r="D129" s="2" t="s">
        <v>238</v>
      </c>
      <c r="E129" s="3">
        <v>0</v>
      </c>
      <c r="F129" s="3">
        <v>32.11</v>
      </c>
      <c r="G129" s="2" t="s">
        <v>112</v>
      </c>
      <c r="H129" s="2" t="s">
        <v>113</v>
      </c>
      <c r="I129" s="3" t="s">
        <v>114</v>
      </c>
      <c r="J129" s="3">
        <v>154</v>
      </c>
      <c r="K129" s="2" t="s">
        <v>2519</v>
      </c>
      <c r="L129" s="4">
        <v>46012</v>
      </c>
      <c r="M129" s="4">
        <v>46009</v>
      </c>
      <c r="N129" s="2" t="s">
        <v>1804</v>
      </c>
      <c r="O129" s="2" t="s">
        <v>1805</v>
      </c>
      <c r="P129" s="2" t="s">
        <v>1930</v>
      </c>
      <c r="Q129" s="2" t="s">
        <v>1806</v>
      </c>
      <c r="R129" s="2" t="s">
        <v>116</v>
      </c>
      <c r="S129" s="4">
        <v>45973</v>
      </c>
      <c r="T129" s="2" t="s">
        <v>2274</v>
      </c>
      <c r="U129" s="2" t="s">
        <v>1805</v>
      </c>
      <c r="V129" s="2" t="s">
        <v>2467</v>
      </c>
      <c r="W129" s="2" t="s">
        <v>1806</v>
      </c>
      <c r="X129" s="2" t="s">
        <v>117</v>
      </c>
      <c r="Y129" s="3" t="s">
        <v>118</v>
      </c>
      <c r="Z129" s="3">
        <v>32.11</v>
      </c>
      <c r="AA129" s="2" t="s">
        <v>90</v>
      </c>
      <c r="AB129" s="2" t="s">
        <v>116</v>
      </c>
      <c r="AC129" s="2" t="s">
        <v>111</v>
      </c>
      <c r="AD129" t="str" cm="1">
        <f t="array" ref="AD12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129" s="2" t="s">
        <v>139</v>
      </c>
      <c r="AF129" s="2" t="s">
        <v>92</v>
      </c>
      <c r="AG129" s="2" t="s">
        <v>119</v>
      </c>
      <c r="AH129" s="2" t="s">
        <v>120</v>
      </c>
      <c r="AK129" s="2" t="s">
        <v>2520</v>
      </c>
      <c r="AN129" s="3">
        <v>1</v>
      </c>
      <c r="AO129" s="3">
        <v>1</v>
      </c>
      <c r="AP129" s="3">
        <v>1</v>
      </c>
      <c r="AQ129" s="3">
        <v>1</v>
      </c>
      <c r="AR129" s="3">
        <v>0</v>
      </c>
      <c r="AS129" s="3">
        <v>0</v>
      </c>
      <c r="AT129" s="3">
        <v>1</v>
      </c>
      <c r="AU129" s="3">
        <v>0</v>
      </c>
      <c r="AV129" s="3">
        <v>1</v>
      </c>
      <c r="AW129" s="3">
        <v>0</v>
      </c>
      <c r="AX129" s="3">
        <v>0</v>
      </c>
      <c r="AY129" s="3">
        <v>0</v>
      </c>
      <c r="AZ129" s="3">
        <v>1</v>
      </c>
      <c r="BA129" s="3">
        <v>0</v>
      </c>
      <c r="BB129" s="3">
        <v>0</v>
      </c>
      <c r="BC129" s="3">
        <v>1</v>
      </c>
      <c r="BD129" s="3">
        <v>0</v>
      </c>
      <c r="BE129" s="3">
        <v>0</v>
      </c>
      <c r="BG129" s="2" t="s">
        <v>139</v>
      </c>
      <c r="BH129" s="3">
        <v>2</v>
      </c>
      <c r="BI129" s="2" t="s">
        <v>122</v>
      </c>
      <c r="BJ129" s="2" t="s">
        <v>96</v>
      </c>
      <c r="BL129" s="2" t="s">
        <v>123</v>
      </c>
      <c r="BM129" s="2" t="s">
        <v>123</v>
      </c>
      <c r="BN129" s="2" t="s">
        <v>124</v>
      </c>
      <c r="BO129" s="2" t="s">
        <v>125</v>
      </c>
      <c r="BP129" s="2" t="s">
        <v>242</v>
      </c>
      <c r="BQ129" s="2" t="s">
        <v>124</v>
      </c>
      <c r="BR129" s="2" t="s">
        <v>126</v>
      </c>
      <c r="BS129" s="2" t="s">
        <v>127</v>
      </c>
      <c r="BT129" s="2" t="s">
        <v>207</v>
      </c>
      <c r="BU129" s="2" t="s">
        <v>208</v>
      </c>
      <c r="BV129" s="2" t="s">
        <v>150</v>
      </c>
      <c r="BW129" s="2" t="s">
        <v>151</v>
      </c>
      <c r="BX129" s="2" t="s">
        <v>139</v>
      </c>
      <c r="BY12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29" s="2">
        <f>IF(AND(Cases[[#This Row],[Priority Level]]&gt;=3,Cases[[#This Row],[System Role]]&lt;&gt;"Productive"),1,0)</f>
        <v>0</v>
      </c>
      <c r="CA129" s="2">
        <f>IFERROR(IF(Cases[[#This Row],[Days at Customer]]&gt;MAX(1,Cases[[#This Row],[Days at SAP]]*2),1,0),0)</f>
        <v>1</v>
      </c>
      <c r="CB129" s="2">
        <f>IF(AND(Cases[[#This Row],[Initial Component]]&lt;&gt;"",Cases[[#This Row],[Component]]&lt;&gt;"",Cases[[#This Row],[Initial Component]]&lt;&gt;Cases[[#This Row],[Component]]),1,0)</f>
        <v>0</v>
      </c>
      <c r="CC129" s="2">
        <f>IF(OR(Cases[[#This Row],[Is Reopened]]="X",Cases[[#This Row],[No. of Reopenings]]&gt;0),1,0)</f>
        <v>0</v>
      </c>
      <c r="CD129" s="2">
        <f>IF(Cases[[#This Row],[Confirmation Type]]="Automatic",1,0)</f>
        <v>1</v>
      </c>
      <c r="CE129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30" spans="1:83" x14ac:dyDescent="0.2">
      <c r="A130" s="1" t="s">
        <v>1012</v>
      </c>
      <c r="B130" s="2" t="s">
        <v>1013</v>
      </c>
      <c r="C130" s="2" t="s">
        <v>389</v>
      </c>
      <c r="D130" s="2" t="s">
        <v>238</v>
      </c>
      <c r="E130" s="3">
        <v>1.17</v>
      </c>
      <c r="F130" s="3">
        <v>21.56</v>
      </c>
      <c r="G130" s="2" t="s">
        <v>79</v>
      </c>
      <c r="H130" s="2" t="s">
        <v>178</v>
      </c>
      <c r="I130" s="3" t="s">
        <v>114</v>
      </c>
      <c r="J130" s="3">
        <v>56</v>
      </c>
      <c r="K130" s="2" t="s">
        <v>1014</v>
      </c>
      <c r="L130" s="4">
        <v>46096</v>
      </c>
      <c r="M130" s="4">
        <v>46094</v>
      </c>
      <c r="N130" s="2" t="s">
        <v>180</v>
      </c>
      <c r="O130" s="2" t="s">
        <v>181</v>
      </c>
      <c r="P130" s="2" t="s">
        <v>350</v>
      </c>
      <c r="Q130" s="2" t="s">
        <v>86</v>
      </c>
      <c r="R130" s="2" t="s">
        <v>391</v>
      </c>
      <c r="S130" s="4">
        <v>46071</v>
      </c>
      <c r="T130" s="2" t="s">
        <v>677</v>
      </c>
      <c r="U130" s="2" t="s">
        <v>181</v>
      </c>
      <c r="V130" s="2" t="s">
        <v>895</v>
      </c>
      <c r="W130" s="2" t="s">
        <v>86</v>
      </c>
      <c r="X130" s="2" t="s">
        <v>117</v>
      </c>
      <c r="Y130" s="3" t="s">
        <v>118</v>
      </c>
      <c r="Z130" s="3">
        <v>22.74</v>
      </c>
      <c r="AA130" s="2" t="s">
        <v>90</v>
      </c>
      <c r="AB130" s="2" t="s">
        <v>391</v>
      </c>
      <c r="AC130" s="2" t="s">
        <v>389</v>
      </c>
      <c r="AD130" t="str" cm="1">
        <f t="array" ref="AD13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130" s="2" t="s">
        <v>139</v>
      </c>
      <c r="AF130" s="2" t="s">
        <v>92</v>
      </c>
      <c r="AG130" s="2" t="s">
        <v>119</v>
      </c>
      <c r="AH130" s="2" t="s">
        <v>120</v>
      </c>
      <c r="AK130" s="2" t="s">
        <v>1015</v>
      </c>
      <c r="AN130" s="3">
        <v>1</v>
      </c>
      <c r="AO130" s="3">
        <v>1</v>
      </c>
      <c r="AP130" s="3">
        <v>1</v>
      </c>
      <c r="AQ130" s="3">
        <v>1</v>
      </c>
      <c r="AR130" s="3">
        <v>0</v>
      </c>
      <c r="AS130" s="3">
        <v>0</v>
      </c>
      <c r="AT130" s="3">
        <v>1</v>
      </c>
      <c r="AU130" s="3">
        <v>0</v>
      </c>
      <c r="AV130" s="3">
        <v>1</v>
      </c>
      <c r="AW130" s="3">
        <v>0</v>
      </c>
      <c r="AX130" s="3">
        <v>0</v>
      </c>
      <c r="AY130" s="3">
        <v>0</v>
      </c>
      <c r="AZ130" s="3">
        <v>1</v>
      </c>
      <c r="BA130" s="3">
        <v>1</v>
      </c>
      <c r="BB130" s="3">
        <v>0</v>
      </c>
      <c r="BC130" s="3">
        <v>0</v>
      </c>
      <c r="BD130" s="3">
        <v>0</v>
      </c>
      <c r="BE130" s="3">
        <v>0</v>
      </c>
      <c r="BG130" s="2" t="s">
        <v>139</v>
      </c>
      <c r="BH130" s="3">
        <v>2</v>
      </c>
      <c r="BJ130" s="2" t="s">
        <v>96</v>
      </c>
      <c r="BL130" s="2" t="s">
        <v>123</v>
      </c>
      <c r="BM130" s="2" t="s">
        <v>123</v>
      </c>
      <c r="BN130" s="2" t="s">
        <v>124</v>
      </c>
      <c r="BO130" s="2" t="s">
        <v>125</v>
      </c>
      <c r="BP130" s="2" t="s">
        <v>242</v>
      </c>
      <c r="BQ130" s="2" t="s">
        <v>124</v>
      </c>
      <c r="BR130" s="2" t="s">
        <v>126</v>
      </c>
      <c r="BS130" s="2" t="s">
        <v>127</v>
      </c>
      <c r="BT130" s="2" t="s">
        <v>199</v>
      </c>
      <c r="BU130" s="2" t="s">
        <v>200</v>
      </c>
      <c r="BV130" s="2" t="s">
        <v>166</v>
      </c>
      <c r="BW130" s="2" t="s">
        <v>167</v>
      </c>
      <c r="BX130" s="2" t="s">
        <v>139</v>
      </c>
      <c r="BY13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30" s="2">
        <f>IF(AND(Cases[[#This Row],[Priority Level]]&gt;=3,Cases[[#This Row],[System Role]]&lt;&gt;"Productive"),1,0)</f>
        <v>0</v>
      </c>
      <c r="CA130" s="2">
        <f>IFERROR(IF(Cases[[#This Row],[Days at Customer]]&gt;MAX(1,Cases[[#This Row],[Days at SAP]]*2),1,0),0)</f>
        <v>1</v>
      </c>
      <c r="CB130" s="2">
        <f>IF(AND(Cases[[#This Row],[Initial Component]]&lt;&gt;"",Cases[[#This Row],[Component]]&lt;&gt;"",Cases[[#This Row],[Initial Component]]&lt;&gt;Cases[[#This Row],[Component]]),1,0)</f>
        <v>0</v>
      </c>
      <c r="CC130" s="2">
        <f>IF(OR(Cases[[#This Row],[Is Reopened]]="X",Cases[[#This Row],[No. of Reopenings]]&gt;0),1,0)</f>
        <v>0</v>
      </c>
      <c r="CD130" s="2">
        <f>IF(Cases[[#This Row],[Confirmation Type]]="Automatic",1,0)</f>
        <v>1</v>
      </c>
      <c r="CE13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31" spans="1:83" x14ac:dyDescent="0.2">
      <c r="A131" s="1" t="s">
        <v>1016</v>
      </c>
      <c r="B131" s="2" t="s">
        <v>1017</v>
      </c>
      <c r="C131" s="2" t="s">
        <v>1018</v>
      </c>
      <c r="D131" s="2" t="s">
        <v>238</v>
      </c>
      <c r="E131" s="3">
        <v>5.13</v>
      </c>
      <c r="F131" s="3">
        <v>23.45</v>
      </c>
      <c r="G131" s="2" t="s">
        <v>79</v>
      </c>
      <c r="H131" s="2" t="s">
        <v>80</v>
      </c>
      <c r="I131" s="3" t="s">
        <v>81</v>
      </c>
      <c r="J131" s="3">
        <v>56</v>
      </c>
      <c r="K131" s="2" t="s">
        <v>1019</v>
      </c>
      <c r="L131" s="4">
        <v>46103</v>
      </c>
      <c r="M131" s="4">
        <v>46100</v>
      </c>
      <c r="N131" s="2" t="s">
        <v>180</v>
      </c>
      <c r="O131" s="2" t="s">
        <v>181</v>
      </c>
      <c r="P131" s="2" t="s">
        <v>260</v>
      </c>
      <c r="Q131" s="2" t="s">
        <v>86</v>
      </c>
      <c r="R131" s="2" t="s">
        <v>1020</v>
      </c>
      <c r="S131" s="4">
        <v>46071</v>
      </c>
      <c r="T131" s="2" t="s">
        <v>677</v>
      </c>
      <c r="U131" s="2" t="s">
        <v>181</v>
      </c>
      <c r="V131" s="2" t="s">
        <v>895</v>
      </c>
      <c r="W131" s="2" t="s">
        <v>86</v>
      </c>
      <c r="X131" s="2" t="s">
        <v>88</v>
      </c>
      <c r="Y131" s="3" t="s">
        <v>89</v>
      </c>
      <c r="Z131" s="3">
        <v>28.58</v>
      </c>
      <c r="AA131" s="2" t="s">
        <v>90</v>
      </c>
      <c r="AB131" s="2" t="s">
        <v>1020</v>
      </c>
      <c r="AC131" s="2" t="s">
        <v>1018</v>
      </c>
      <c r="AD131" t="str" cm="1">
        <f t="array" ref="AD13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131" s="2" t="s">
        <v>139</v>
      </c>
      <c r="AF131" s="2" t="s">
        <v>92</v>
      </c>
      <c r="AG131" s="2" t="s">
        <v>93</v>
      </c>
      <c r="AH131" s="2" t="s">
        <v>94</v>
      </c>
      <c r="AK131" s="2" t="s">
        <v>1021</v>
      </c>
      <c r="AN131" s="3">
        <v>1</v>
      </c>
      <c r="AO131" s="3">
        <v>1</v>
      </c>
      <c r="AP131" s="3">
        <v>1</v>
      </c>
      <c r="AQ131" s="3">
        <v>1</v>
      </c>
      <c r="AR131" s="3">
        <v>0</v>
      </c>
      <c r="AS131" s="3">
        <v>0</v>
      </c>
      <c r="AT131" s="3">
        <v>1</v>
      </c>
      <c r="AU131" s="3">
        <v>0</v>
      </c>
      <c r="AV131" s="3">
        <v>1</v>
      </c>
      <c r="AW131" s="3">
        <v>0</v>
      </c>
      <c r="AX131" s="3">
        <v>0</v>
      </c>
      <c r="AY131" s="3">
        <v>0</v>
      </c>
      <c r="AZ131" s="3">
        <v>1</v>
      </c>
      <c r="BA131" s="3">
        <v>0</v>
      </c>
      <c r="BB131" s="3">
        <v>0</v>
      </c>
      <c r="BC131" s="3">
        <v>1</v>
      </c>
      <c r="BD131" s="3">
        <v>0</v>
      </c>
      <c r="BE131" s="3">
        <v>0</v>
      </c>
      <c r="BG131" s="2" t="s">
        <v>139</v>
      </c>
      <c r="BH131" s="3">
        <v>2</v>
      </c>
      <c r="BJ131" s="2" t="s">
        <v>96</v>
      </c>
      <c r="BL131" s="2" t="s">
        <v>184</v>
      </c>
      <c r="BM131" s="2" t="s">
        <v>184</v>
      </c>
      <c r="BN131" s="2" t="s">
        <v>124</v>
      </c>
      <c r="BO131" s="2" t="s">
        <v>125</v>
      </c>
      <c r="BP131" s="2" t="s">
        <v>242</v>
      </c>
      <c r="BQ131" s="2" t="s">
        <v>124</v>
      </c>
      <c r="BR131" s="2" t="s">
        <v>126</v>
      </c>
      <c r="BS131" s="2" t="s">
        <v>104</v>
      </c>
      <c r="BT131" s="2" t="s">
        <v>185</v>
      </c>
      <c r="BU131" s="2" t="s">
        <v>968</v>
      </c>
      <c r="BV131" s="2" t="s">
        <v>150</v>
      </c>
      <c r="BW131" s="2" t="s">
        <v>151</v>
      </c>
      <c r="BX131" s="2" t="s">
        <v>139</v>
      </c>
      <c r="BY13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31" s="2">
        <f>IF(AND(Cases[[#This Row],[Priority Level]]&gt;=3,Cases[[#This Row],[System Role]]&lt;&gt;"Productive"),1,0)</f>
        <v>0</v>
      </c>
      <c r="CA131" s="2">
        <f>IFERROR(IF(Cases[[#This Row],[Days at Customer]]&gt;MAX(1,Cases[[#This Row],[Days at SAP]]*2),1,0),0)</f>
        <v>1</v>
      </c>
      <c r="CB131" s="2">
        <f>IF(AND(Cases[[#This Row],[Initial Component]]&lt;&gt;"",Cases[[#This Row],[Component]]&lt;&gt;"",Cases[[#This Row],[Initial Component]]&lt;&gt;Cases[[#This Row],[Component]]),1,0)</f>
        <v>0</v>
      </c>
      <c r="CC131" s="2">
        <f>IF(OR(Cases[[#This Row],[Is Reopened]]="X",Cases[[#This Row],[No. of Reopenings]]&gt;0),1,0)</f>
        <v>0</v>
      </c>
      <c r="CD131" s="2">
        <f>IF(Cases[[#This Row],[Confirmation Type]]="Automatic",1,0)</f>
        <v>1</v>
      </c>
      <c r="CE131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32" spans="1:83" x14ac:dyDescent="0.2">
      <c r="A132" s="1" t="s">
        <v>1022</v>
      </c>
      <c r="B132" s="2" t="s">
        <v>1023</v>
      </c>
      <c r="C132" s="2" t="s">
        <v>323</v>
      </c>
      <c r="D132" s="2" t="s">
        <v>78</v>
      </c>
      <c r="E132" s="3">
        <v>2.79</v>
      </c>
      <c r="F132" s="3">
        <v>18.28</v>
      </c>
      <c r="G132" s="2" t="s">
        <v>79</v>
      </c>
      <c r="H132" s="2" t="s">
        <v>178</v>
      </c>
      <c r="I132" s="3" t="s">
        <v>114</v>
      </c>
      <c r="J132" s="3">
        <v>56</v>
      </c>
      <c r="K132" s="2" t="s">
        <v>1024</v>
      </c>
      <c r="L132" s="4">
        <v>46096</v>
      </c>
      <c r="M132" s="4">
        <v>46092</v>
      </c>
      <c r="N132" s="2" t="s">
        <v>180</v>
      </c>
      <c r="O132" s="2" t="s">
        <v>181</v>
      </c>
      <c r="P132" s="2" t="s">
        <v>350</v>
      </c>
      <c r="Q132" s="2" t="s">
        <v>86</v>
      </c>
      <c r="R132" s="2" t="s">
        <v>326</v>
      </c>
      <c r="S132" s="4">
        <v>46071</v>
      </c>
      <c r="T132" s="2" t="s">
        <v>677</v>
      </c>
      <c r="U132" s="2" t="s">
        <v>181</v>
      </c>
      <c r="V132" s="2" t="s">
        <v>895</v>
      </c>
      <c r="W132" s="2" t="s">
        <v>86</v>
      </c>
      <c r="X132" s="2" t="s">
        <v>117</v>
      </c>
      <c r="Y132" s="3" t="s">
        <v>118</v>
      </c>
      <c r="Z132" s="3">
        <v>21.07</v>
      </c>
      <c r="AA132" s="2" t="s">
        <v>90</v>
      </c>
      <c r="AB132" s="2" t="s">
        <v>326</v>
      </c>
      <c r="AC132" s="2" t="s">
        <v>323</v>
      </c>
      <c r="AD132" t="str" cm="1">
        <f t="array" ref="AD13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132" s="2" t="s">
        <v>158</v>
      </c>
      <c r="AF132" s="2" t="s">
        <v>92</v>
      </c>
      <c r="AG132" s="2" t="s">
        <v>119</v>
      </c>
      <c r="AH132" s="2" t="s">
        <v>120</v>
      </c>
      <c r="AJ132" s="2" t="s">
        <v>122</v>
      </c>
      <c r="AK132" s="2" t="s">
        <v>1025</v>
      </c>
      <c r="AN132" s="3">
        <v>1</v>
      </c>
      <c r="AO132" s="3">
        <v>1</v>
      </c>
      <c r="AP132" s="3">
        <v>1</v>
      </c>
      <c r="AQ132" s="3">
        <v>1</v>
      </c>
      <c r="AR132" s="3">
        <v>1</v>
      </c>
      <c r="AS132" s="3">
        <v>0</v>
      </c>
      <c r="AT132" s="3">
        <v>0</v>
      </c>
      <c r="AU132" s="3">
        <v>0</v>
      </c>
      <c r="AV132" s="3">
        <v>0</v>
      </c>
      <c r="AW132" s="3">
        <v>1</v>
      </c>
      <c r="AX132" s="3">
        <v>1</v>
      </c>
      <c r="AY132" s="3">
        <v>0</v>
      </c>
      <c r="AZ132" s="3">
        <v>0</v>
      </c>
      <c r="BA132" s="3">
        <v>1</v>
      </c>
      <c r="BB132" s="3">
        <v>0</v>
      </c>
      <c r="BC132" s="3">
        <v>0</v>
      </c>
      <c r="BD132" s="3">
        <v>3</v>
      </c>
      <c r="BE132" s="3">
        <v>0</v>
      </c>
      <c r="BG132" s="2" t="s">
        <v>91</v>
      </c>
      <c r="BH132" s="3">
        <v>3</v>
      </c>
      <c r="BJ132" s="2" t="s">
        <v>96</v>
      </c>
      <c r="BL132" s="2" t="s">
        <v>123</v>
      </c>
      <c r="BM132" s="2" t="s">
        <v>123</v>
      </c>
      <c r="BN132" s="2" t="s">
        <v>124</v>
      </c>
      <c r="BO132" s="2" t="s">
        <v>125</v>
      </c>
      <c r="BP132" s="2" t="s">
        <v>101</v>
      </c>
      <c r="BQ132" s="2" t="s">
        <v>124</v>
      </c>
      <c r="BR132" s="2" t="s">
        <v>126</v>
      </c>
      <c r="BS132" s="2" t="s">
        <v>127</v>
      </c>
      <c r="BT132" s="2" t="s">
        <v>199</v>
      </c>
      <c r="BU132" s="2" t="s">
        <v>200</v>
      </c>
      <c r="BV132" s="2" t="s">
        <v>166</v>
      </c>
      <c r="BW132" s="2" t="s">
        <v>167</v>
      </c>
      <c r="BX132" s="2" t="s">
        <v>91</v>
      </c>
      <c r="BY13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32" s="2">
        <f>IF(AND(Cases[[#This Row],[Priority Level]]&gt;=3,Cases[[#This Row],[System Role]]&lt;&gt;"Productive"),1,0)</f>
        <v>1</v>
      </c>
      <c r="CA132" s="2">
        <f>IFERROR(IF(Cases[[#This Row],[Days at Customer]]&gt;MAX(1,Cases[[#This Row],[Days at SAP]]*2),1,0),0)</f>
        <v>1</v>
      </c>
      <c r="CB132" s="2">
        <f>IF(AND(Cases[[#This Row],[Initial Component]]&lt;&gt;"",Cases[[#This Row],[Component]]&lt;&gt;"",Cases[[#This Row],[Initial Component]]&lt;&gt;Cases[[#This Row],[Component]]),1,0)</f>
        <v>0</v>
      </c>
      <c r="CC132" s="2">
        <f>IF(OR(Cases[[#This Row],[Is Reopened]]="X",Cases[[#This Row],[No. of Reopenings]]&gt;0),1,0)</f>
        <v>1</v>
      </c>
      <c r="CD132" s="2">
        <f>IF(Cases[[#This Row],[Confirmation Type]]="Automatic",1,0)</f>
        <v>0</v>
      </c>
      <c r="CE132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133" spans="1:83" x14ac:dyDescent="0.2">
      <c r="A133" s="1" t="s">
        <v>1026</v>
      </c>
      <c r="B133" s="2" t="s">
        <v>1027</v>
      </c>
      <c r="C133" s="2" t="s">
        <v>866</v>
      </c>
      <c r="D133" s="2" t="s">
        <v>238</v>
      </c>
      <c r="E133" s="3">
        <v>0.56999999999999995</v>
      </c>
      <c r="F133" s="3">
        <v>21.69</v>
      </c>
      <c r="G133" s="2" t="s">
        <v>79</v>
      </c>
      <c r="H133" s="2" t="s">
        <v>178</v>
      </c>
      <c r="I133" s="3" t="s">
        <v>114</v>
      </c>
      <c r="J133" s="3">
        <v>56</v>
      </c>
      <c r="K133" s="2" t="s">
        <v>1028</v>
      </c>
      <c r="L133" s="4">
        <v>46096</v>
      </c>
      <c r="M133" s="4">
        <v>46094</v>
      </c>
      <c r="N133" s="2" t="s">
        <v>180</v>
      </c>
      <c r="O133" s="2" t="s">
        <v>181</v>
      </c>
      <c r="P133" s="2" t="s">
        <v>350</v>
      </c>
      <c r="Q133" s="2" t="s">
        <v>86</v>
      </c>
      <c r="R133" s="2" t="s">
        <v>868</v>
      </c>
      <c r="S133" s="4">
        <v>46071</v>
      </c>
      <c r="T133" s="2" t="s">
        <v>677</v>
      </c>
      <c r="U133" s="2" t="s">
        <v>181</v>
      </c>
      <c r="V133" s="2" t="s">
        <v>895</v>
      </c>
      <c r="W133" s="2" t="s">
        <v>86</v>
      </c>
      <c r="X133" s="2" t="s">
        <v>117</v>
      </c>
      <c r="Y133" s="3" t="s">
        <v>118</v>
      </c>
      <c r="Z133" s="3">
        <v>22.25</v>
      </c>
      <c r="AA133" s="2" t="s">
        <v>138</v>
      </c>
      <c r="AB133" s="2" t="s">
        <v>443</v>
      </c>
      <c r="AC133" s="2" t="s">
        <v>444</v>
      </c>
      <c r="AD133" t="str" cm="1">
        <f t="array" ref="AD13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133" s="2" t="s">
        <v>139</v>
      </c>
      <c r="AF133" s="2" t="s">
        <v>92</v>
      </c>
      <c r="AG133" s="2" t="s">
        <v>274</v>
      </c>
      <c r="AH133" s="2" t="s">
        <v>275</v>
      </c>
      <c r="AK133" s="2" t="s">
        <v>1029</v>
      </c>
      <c r="AN133" s="3">
        <v>1</v>
      </c>
      <c r="AO133" s="3">
        <v>1</v>
      </c>
      <c r="AP133" s="3">
        <v>1</v>
      </c>
      <c r="AQ133" s="3">
        <v>1</v>
      </c>
      <c r="AR133" s="3">
        <v>0</v>
      </c>
      <c r="AS133" s="3">
        <v>0</v>
      </c>
      <c r="AT133" s="3">
        <v>1</v>
      </c>
      <c r="AU133" s="3">
        <v>0</v>
      </c>
      <c r="AV133" s="3">
        <v>1</v>
      </c>
      <c r="AW133" s="3">
        <v>0</v>
      </c>
      <c r="AX133" s="3">
        <v>0</v>
      </c>
      <c r="AY133" s="3">
        <v>0</v>
      </c>
      <c r="AZ133" s="3">
        <v>1</v>
      </c>
      <c r="BA133" s="3">
        <v>1</v>
      </c>
      <c r="BB133" s="3">
        <v>0</v>
      </c>
      <c r="BC133" s="3">
        <v>0</v>
      </c>
      <c r="BD133" s="3">
        <v>0</v>
      </c>
      <c r="BE133" s="3">
        <v>0</v>
      </c>
      <c r="BG133" s="2" t="s">
        <v>139</v>
      </c>
      <c r="BH133" s="3">
        <v>2</v>
      </c>
      <c r="BJ133" s="2" t="s">
        <v>96</v>
      </c>
      <c r="BL133" s="2" t="s">
        <v>446</v>
      </c>
      <c r="BM133" s="2" t="s">
        <v>447</v>
      </c>
      <c r="BN133" s="2" t="s">
        <v>279</v>
      </c>
      <c r="BO133" s="2" t="s">
        <v>280</v>
      </c>
      <c r="BP133" s="2" t="s">
        <v>242</v>
      </c>
      <c r="BQ133" s="2" t="s">
        <v>448</v>
      </c>
      <c r="BR133" s="2" t="s">
        <v>449</v>
      </c>
      <c r="BS133" s="2" t="s">
        <v>450</v>
      </c>
      <c r="BT133" s="2" t="s">
        <v>1030</v>
      </c>
      <c r="BU133" s="2" t="s">
        <v>1031</v>
      </c>
      <c r="BV133" s="2" t="s">
        <v>166</v>
      </c>
      <c r="BW133" s="2" t="s">
        <v>167</v>
      </c>
      <c r="BX133" s="2" t="s">
        <v>139</v>
      </c>
      <c r="BY13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33" s="2">
        <f>IF(AND(Cases[[#This Row],[Priority Level]]&gt;=3,Cases[[#This Row],[System Role]]&lt;&gt;"Productive"),1,0)</f>
        <v>0</v>
      </c>
      <c r="CA133" s="2">
        <f>IFERROR(IF(Cases[[#This Row],[Days at Customer]]&gt;MAX(1,Cases[[#This Row],[Days at SAP]]*2),1,0),0)</f>
        <v>1</v>
      </c>
      <c r="CB133" s="2">
        <f>IF(AND(Cases[[#This Row],[Initial Component]]&lt;&gt;"",Cases[[#This Row],[Component]]&lt;&gt;"",Cases[[#This Row],[Initial Component]]&lt;&gt;Cases[[#This Row],[Component]]),1,0)</f>
        <v>1</v>
      </c>
      <c r="CC133" s="2">
        <f>IF(OR(Cases[[#This Row],[Is Reopened]]="X",Cases[[#This Row],[No. of Reopenings]]&gt;0),1,0)</f>
        <v>0</v>
      </c>
      <c r="CD133" s="2">
        <f>IF(Cases[[#This Row],[Confirmation Type]]="Automatic",1,0)</f>
        <v>1</v>
      </c>
      <c r="CE133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134" spans="1:83" x14ac:dyDescent="0.2">
      <c r="A134" s="1" t="s">
        <v>1032</v>
      </c>
      <c r="B134" s="2" t="s">
        <v>1033</v>
      </c>
      <c r="C134" s="2" t="s">
        <v>77</v>
      </c>
      <c r="D134" s="2" t="s">
        <v>78</v>
      </c>
      <c r="E134" s="3">
        <v>5.31</v>
      </c>
      <c r="F134" s="3">
        <v>8.51</v>
      </c>
      <c r="G134" s="2" t="s">
        <v>79</v>
      </c>
      <c r="H134" s="2" t="s">
        <v>155</v>
      </c>
      <c r="I134" s="3" t="s">
        <v>81</v>
      </c>
      <c r="J134" s="3">
        <v>57</v>
      </c>
      <c r="K134" s="2" t="s">
        <v>1034</v>
      </c>
      <c r="L134" s="4">
        <v>46089</v>
      </c>
      <c r="M134" s="4">
        <v>46084</v>
      </c>
      <c r="N134" s="2" t="s">
        <v>180</v>
      </c>
      <c r="O134" s="2" t="s">
        <v>181</v>
      </c>
      <c r="P134" s="2" t="s">
        <v>526</v>
      </c>
      <c r="Q134" s="2" t="s">
        <v>86</v>
      </c>
      <c r="R134" s="2" t="s">
        <v>87</v>
      </c>
      <c r="S134" s="4">
        <v>46070</v>
      </c>
      <c r="T134" s="2" t="s">
        <v>677</v>
      </c>
      <c r="U134" s="2" t="s">
        <v>181</v>
      </c>
      <c r="V134" s="2" t="s">
        <v>895</v>
      </c>
      <c r="W134" s="2" t="s">
        <v>86</v>
      </c>
      <c r="X134" s="2" t="s">
        <v>88</v>
      </c>
      <c r="Y134" s="3" t="s">
        <v>89</v>
      </c>
      <c r="Z134" s="3">
        <v>13.82</v>
      </c>
      <c r="AA134" s="2" t="s">
        <v>90</v>
      </c>
      <c r="AB134" s="2" t="s">
        <v>87</v>
      </c>
      <c r="AC134" s="2" t="s">
        <v>77</v>
      </c>
      <c r="AD134" t="str" cm="1">
        <f t="array" ref="AD13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134" s="2" t="s">
        <v>91</v>
      </c>
      <c r="AF134" s="2" t="s">
        <v>92</v>
      </c>
      <c r="AG134" s="2" t="s">
        <v>93</v>
      </c>
      <c r="AH134" s="2" t="s">
        <v>94</v>
      </c>
      <c r="AK134" s="2" t="s">
        <v>1035</v>
      </c>
      <c r="AN134" s="3">
        <v>1</v>
      </c>
      <c r="AO134" s="3">
        <v>1</v>
      </c>
      <c r="AP134" s="3">
        <v>1</v>
      </c>
      <c r="AQ134" s="3">
        <v>1</v>
      </c>
      <c r="AR134" s="3">
        <v>1</v>
      </c>
      <c r="AS134" s="3">
        <v>0</v>
      </c>
      <c r="AT134" s="3">
        <v>0</v>
      </c>
      <c r="AU134" s="3">
        <v>0</v>
      </c>
      <c r="AV134" s="3">
        <v>0</v>
      </c>
      <c r="AW134" s="3">
        <v>1</v>
      </c>
      <c r="AX134" s="3">
        <v>1</v>
      </c>
      <c r="AY134" s="3">
        <v>0</v>
      </c>
      <c r="AZ134" s="3">
        <v>0</v>
      </c>
      <c r="BA134" s="3">
        <v>1</v>
      </c>
      <c r="BB134" s="3">
        <v>0</v>
      </c>
      <c r="BC134" s="3">
        <v>0</v>
      </c>
      <c r="BD134" s="3">
        <v>0</v>
      </c>
      <c r="BE134" s="3">
        <v>0</v>
      </c>
      <c r="BG134" s="2" t="s">
        <v>91</v>
      </c>
      <c r="BH134" s="3">
        <v>3</v>
      </c>
      <c r="BJ134" s="2" t="s">
        <v>96</v>
      </c>
      <c r="BL134" s="2" t="s">
        <v>184</v>
      </c>
      <c r="BM134" s="2" t="s">
        <v>184</v>
      </c>
      <c r="BN134" s="2" t="s">
        <v>124</v>
      </c>
      <c r="BO134" s="2" t="s">
        <v>125</v>
      </c>
      <c r="BP134" s="2" t="s">
        <v>101</v>
      </c>
      <c r="BQ134" s="2" t="s">
        <v>124</v>
      </c>
      <c r="BR134" s="2" t="s">
        <v>126</v>
      </c>
      <c r="BS134" s="2" t="s">
        <v>104</v>
      </c>
      <c r="BT134" s="2" t="s">
        <v>343</v>
      </c>
      <c r="BU134" s="2" t="s">
        <v>344</v>
      </c>
      <c r="BV134" s="2" t="s">
        <v>166</v>
      </c>
      <c r="BW134" s="2" t="s">
        <v>167</v>
      </c>
      <c r="BX134" s="2" t="s">
        <v>91</v>
      </c>
      <c r="BY13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34" s="2">
        <f>IF(AND(Cases[[#This Row],[Priority Level]]&gt;=3,Cases[[#This Row],[System Role]]&lt;&gt;"Productive"),1,0)</f>
        <v>1</v>
      </c>
      <c r="CA134" s="2">
        <f>IFERROR(IF(Cases[[#This Row],[Days at Customer]]&gt;MAX(1,Cases[[#This Row],[Days at SAP]]*2),1,0),0)</f>
        <v>0</v>
      </c>
      <c r="CB134" s="2">
        <f>IF(AND(Cases[[#This Row],[Initial Component]]&lt;&gt;"",Cases[[#This Row],[Component]]&lt;&gt;"",Cases[[#This Row],[Initial Component]]&lt;&gt;Cases[[#This Row],[Component]]),1,0)</f>
        <v>0</v>
      </c>
      <c r="CC134" s="2">
        <f>IF(OR(Cases[[#This Row],[Is Reopened]]="X",Cases[[#This Row],[No. of Reopenings]]&gt;0),1,0)</f>
        <v>0</v>
      </c>
      <c r="CD134" s="2">
        <f>IF(Cases[[#This Row],[Confirmation Type]]="Automatic",1,0)</f>
        <v>0</v>
      </c>
      <c r="CE134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35" spans="1:83" x14ac:dyDescent="0.2">
      <c r="A135" s="1" t="s">
        <v>1036</v>
      </c>
      <c r="B135" s="2" t="s">
        <v>1037</v>
      </c>
      <c r="C135" s="2" t="s">
        <v>1038</v>
      </c>
      <c r="D135" s="2" t="s">
        <v>238</v>
      </c>
      <c r="E135" s="3">
        <v>1.08</v>
      </c>
      <c r="F135" s="3">
        <v>21.42</v>
      </c>
      <c r="G135" s="2" t="s">
        <v>79</v>
      </c>
      <c r="H135" s="2" t="s">
        <v>290</v>
      </c>
      <c r="I135" s="3" t="s">
        <v>81</v>
      </c>
      <c r="J135" s="3">
        <v>57</v>
      </c>
      <c r="K135" s="2" t="s">
        <v>1039</v>
      </c>
      <c r="L135" s="4">
        <v>46096</v>
      </c>
      <c r="M135" s="4">
        <v>46093</v>
      </c>
      <c r="N135" s="2" t="s">
        <v>180</v>
      </c>
      <c r="O135" s="2" t="s">
        <v>181</v>
      </c>
      <c r="P135" s="2" t="s">
        <v>350</v>
      </c>
      <c r="Q135" s="2" t="s">
        <v>86</v>
      </c>
      <c r="R135" s="2" t="s">
        <v>1040</v>
      </c>
      <c r="S135" s="4">
        <v>46070</v>
      </c>
      <c r="T135" s="2" t="s">
        <v>677</v>
      </c>
      <c r="U135" s="2" t="s">
        <v>181</v>
      </c>
      <c r="V135" s="2" t="s">
        <v>895</v>
      </c>
      <c r="W135" s="2" t="s">
        <v>86</v>
      </c>
      <c r="X135" s="2" t="s">
        <v>88</v>
      </c>
      <c r="Y135" s="3" t="s">
        <v>89</v>
      </c>
      <c r="Z135" s="3">
        <v>22.5</v>
      </c>
      <c r="AA135" s="2" t="s">
        <v>90</v>
      </c>
      <c r="AB135" s="2" t="s">
        <v>1040</v>
      </c>
      <c r="AC135" s="2" t="s">
        <v>1038</v>
      </c>
      <c r="AD135" t="str" cm="1">
        <f t="array" ref="AD13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135" s="2" t="s">
        <v>91</v>
      </c>
      <c r="AF135" s="2" t="s">
        <v>92</v>
      </c>
      <c r="AG135" s="2" t="s">
        <v>93</v>
      </c>
      <c r="AH135" s="2" t="s">
        <v>94</v>
      </c>
      <c r="AK135" s="2" t="s">
        <v>1041</v>
      </c>
      <c r="AN135" s="3">
        <v>1</v>
      </c>
      <c r="AO135" s="3">
        <v>1</v>
      </c>
      <c r="AP135" s="3">
        <v>1</v>
      </c>
      <c r="AQ135" s="3">
        <v>1</v>
      </c>
      <c r="AR135" s="3">
        <v>1</v>
      </c>
      <c r="AS135" s="3">
        <v>0</v>
      </c>
      <c r="AT135" s="3">
        <v>0</v>
      </c>
      <c r="AU135" s="3">
        <v>0</v>
      </c>
      <c r="AV135" s="3">
        <v>1</v>
      </c>
      <c r="AW135" s="3">
        <v>0</v>
      </c>
      <c r="AX135" s="3">
        <v>1</v>
      </c>
      <c r="AY135" s="3">
        <v>0</v>
      </c>
      <c r="AZ135" s="3">
        <v>0</v>
      </c>
      <c r="BA135" s="3">
        <v>0</v>
      </c>
      <c r="BB135" s="3">
        <v>0</v>
      </c>
      <c r="BC135" s="3">
        <v>1</v>
      </c>
      <c r="BD135" s="3">
        <v>0</v>
      </c>
      <c r="BE135" s="3">
        <v>0</v>
      </c>
      <c r="BG135" s="2" t="s">
        <v>91</v>
      </c>
      <c r="BH135" s="3">
        <v>3</v>
      </c>
      <c r="BJ135" s="2" t="s">
        <v>96</v>
      </c>
      <c r="BL135" s="2" t="s">
        <v>184</v>
      </c>
      <c r="BM135" s="2" t="s">
        <v>184</v>
      </c>
      <c r="BN135" s="2" t="s">
        <v>124</v>
      </c>
      <c r="BO135" s="2" t="s">
        <v>125</v>
      </c>
      <c r="BP135" s="2" t="s">
        <v>242</v>
      </c>
      <c r="BQ135" s="2" t="s">
        <v>124</v>
      </c>
      <c r="BR135" s="2" t="s">
        <v>126</v>
      </c>
      <c r="BS135" s="2" t="s">
        <v>127</v>
      </c>
      <c r="BT135" s="2" t="s">
        <v>185</v>
      </c>
      <c r="BU135" s="2" t="s">
        <v>186</v>
      </c>
      <c r="BV135" s="2" t="s">
        <v>150</v>
      </c>
      <c r="BW135" s="2" t="s">
        <v>151</v>
      </c>
      <c r="BX135" s="2" t="s">
        <v>91</v>
      </c>
      <c r="BY13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35" s="2">
        <f>IF(AND(Cases[[#This Row],[Priority Level]]&gt;=3,Cases[[#This Row],[System Role]]&lt;&gt;"Productive"),1,0)</f>
        <v>0</v>
      </c>
      <c r="CA135" s="2">
        <f>IFERROR(IF(Cases[[#This Row],[Days at Customer]]&gt;MAX(1,Cases[[#This Row],[Days at SAP]]*2),1,0),0)</f>
        <v>1</v>
      </c>
      <c r="CB135" s="2">
        <f>IF(AND(Cases[[#This Row],[Initial Component]]&lt;&gt;"",Cases[[#This Row],[Component]]&lt;&gt;"",Cases[[#This Row],[Initial Component]]&lt;&gt;Cases[[#This Row],[Component]]),1,0)</f>
        <v>0</v>
      </c>
      <c r="CC135" s="2">
        <f>IF(OR(Cases[[#This Row],[Is Reopened]]="X",Cases[[#This Row],[No. of Reopenings]]&gt;0),1,0)</f>
        <v>0</v>
      </c>
      <c r="CD135" s="2">
        <f>IF(Cases[[#This Row],[Confirmation Type]]="Automatic",1,0)</f>
        <v>1</v>
      </c>
      <c r="CE135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36" spans="1:83" x14ac:dyDescent="0.2">
      <c r="A136" s="1" t="s">
        <v>1042</v>
      </c>
      <c r="B136" s="2" t="s">
        <v>1043</v>
      </c>
      <c r="C136" s="2" t="s">
        <v>77</v>
      </c>
      <c r="D136" s="2" t="s">
        <v>78</v>
      </c>
      <c r="E136" s="3">
        <v>0.61</v>
      </c>
      <c r="F136" s="3">
        <v>0</v>
      </c>
      <c r="G136" s="2" t="s">
        <v>79</v>
      </c>
      <c r="H136" s="2" t="s">
        <v>290</v>
      </c>
      <c r="I136" s="3" t="s">
        <v>81</v>
      </c>
      <c r="J136" s="3">
        <v>57</v>
      </c>
      <c r="K136" s="2" t="s">
        <v>1044</v>
      </c>
      <c r="L136" s="4">
        <v>46103</v>
      </c>
      <c r="M136" s="4">
        <v>46071</v>
      </c>
      <c r="N136" s="2" t="s">
        <v>677</v>
      </c>
      <c r="O136" s="2" t="s">
        <v>181</v>
      </c>
      <c r="P136" s="2" t="s">
        <v>895</v>
      </c>
      <c r="Q136" s="2" t="s">
        <v>86</v>
      </c>
      <c r="R136" s="2" t="s">
        <v>87</v>
      </c>
      <c r="S136" s="4">
        <v>46070</v>
      </c>
      <c r="T136" s="2" t="s">
        <v>677</v>
      </c>
      <c r="U136" s="2" t="s">
        <v>181</v>
      </c>
      <c r="V136" s="2" t="s">
        <v>895</v>
      </c>
      <c r="W136" s="2" t="s">
        <v>86</v>
      </c>
      <c r="X136" s="2" t="s">
        <v>88</v>
      </c>
      <c r="Y136" s="3" t="s">
        <v>89</v>
      </c>
      <c r="Z136" s="3">
        <v>0.61</v>
      </c>
      <c r="AA136" s="2" t="s">
        <v>90</v>
      </c>
      <c r="AB136" s="2" t="s">
        <v>87</v>
      </c>
      <c r="AC136" s="2" t="s">
        <v>77</v>
      </c>
      <c r="AD136" t="str" cm="1">
        <f t="array" ref="AD13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136" s="2" t="s">
        <v>91</v>
      </c>
      <c r="AF136" s="2" t="s">
        <v>92</v>
      </c>
      <c r="AG136" s="2" t="s">
        <v>93</v>
      </c>
      <c r="AH136" s="2" t="s">
        <v>94</v>
      </c>
      <c r="AK136" s="2" t="s">
        <v>1045</v>
      </c>
      <c r="AN136" s="3">
        <v>1</v>
      </c>
      <c r="AO136" s="3">
        <v>1</v>
      </c>
      <c r="AP136" s="3">
        <v>1</v>
      </c>
      <c r="AQ136" s="3">
        <v>1</v>
      </c>
      <c r="AR136" s="3">
        <v>1</v>
      </c>
      <c r="AS136" s="3">
        <v>0</v>
      </c>
      <c r="AT136" s="3">
        <v>0</v>
      </c>
      <c r="AU136" s="3">
        <v>0</v>
      </c>
      <c r="AV136" s="3">
        <v>0</v>
      </c>
      <c r="AW136" s="3">
        <v>1</v>
      </c>
      <c r="AX136" s="3">
        <v>1</v>
      </c>
      <c r="AY136" s="3">
        <v>0</v>
      </c>
      <c r="AZ136" s="3">
        <v>0</v>
      </c>
      <c r="BA136" s="3">
        <v>1</v>
      </c>
      <c r="BB136" s="3">
        <v>0</v>
      </c>
      <c r="BC136" s="3">
        <v>0</v>
      </c>
      <c r="BD136" s="3">
        <v>0</v>
      </c>
      <c r="BE136" s="3">
        <v>0</v>
      </c>
      <c r="BG136" s="2" t="s">
        <v>91</v>
      </c>
      <c r="BH136" s="3">
        <v>3</v>
      </c>
      <c r="BJ136" s="2" t="s">
        <v>96</v>
      </c>
      <c r="BL136" s="2" t="s">
        <v>184</v>
      </c>
      <c r="BM136" s="2" t="s">
        <v>184</v>
      </c>
      <c r="BN136" s="2" t="s">
        <v>124</v>
      </c>
      <c r="BO136" s="2" t="s">
        <v>125</v>
      </c>
      <c r="BP136" s="2" t="s">
        <v>101</v>
      </c>
      <c r="BQ136" s="2" t="s">
        <v>124</v>
      </c>
      <c r="BR136" s="2" t="s">
        <v>126</v>
      </c>
      <c r="BS136" s="2" t="s">
        <v>104</v>
      </c>
      <c r="BT136" s="2" t="s">
        <v>343</v>
      </c>
      <c r="BU136" s="2" t="s">
        <v>344</v>
      </c>
      <c r="BV136" s="2" t="s">
        <v>166</v>
      </c>
      <c r="BW136" s="2" t="s">
        <v>167</v>
      </c>
      <c r="BX136" s="2" t="s">
        <v>91</v>
      </c>
      <c r="BY13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36" s="2">
        <f>IF(AND(Cases[[#This Row],[Priority Level]]&gt;=3,Cases[[#This Row],[System Role]]&lt;&gt;"Productive"),1,0)</f>
        <v>1</v>
      </c>
      <c r="CA136" s="2">
        <f>IFERROR(IF(Cases[[#This Row],[Days at Customer]]&gt;MAX(1,Cases[[#This Row],[Days at SAP]]*2),1,0),0)</f>
        <v>0</v>
      </c>
      <c r="CB136" s="2">
        <f>IF(AND(Cases[[#This Row],[Initial Component]]&lt;&gt;"",Cases[[#This Row],[Component]]&lt;&gt;"",Cases[[#This Row],[Initial Component]]&lt;&gt;Cases[[#This Row],[Component]]),1,0)</f>
        <v>0</v>
      </c>
      <c r="CC136" s="2">
        <f>IF(OR(Cases[[#This Row],[Is Reopened]]="X",Cases[[#This Row],[No. of Reopenings]]&gt;0),1,0)</f>
        <v>0</v>
      </c>
      <c r="CD136" s="2">
        <f>IF(Cases[[#This Row],[Confirmation Type]]="Automatic",1,0)</f>
        <v>0</v>
      </c>
      <c r="CE13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37" spans="1:83" x14ac:dyDescent="0.2">
      <c r="A137" s="1" t="s">
        <v>1046</v>
      </c>
      <c r="B137" s="2" t="s">
        <v>1047</v>
      </c>
      <c r="C137" s="2" t="s">
        <v>77</v>
      </c>
      <c r="D137" s="2" t="s">
        <v>238</v>
      </c>
      <c r="E137" s="3">
        <v>0.85</v>
      </c>
      <c r="F137" s="3">
        <v>21.56</v>
      </c>
      <c r="G137" s="2" t="s">
        <v>79</v>
      </c>
      <c r="H137" s="2" t="s">
        <v>178</v>
      </c>
      <c r="I137" s="3" t="s">
        <v>114</v>
      </c>
      <c r="J137" s="3">
        <v>57</v>
      </c>
      <c r="K137" s="2" t="s">
        <v>1048</v>
      </c>
      <c r="L137" s="4">
        <v>46096</v>
      </c>
      <c r="M137" s="4">
        <v>46093</v>
      </c>
      <c r="N137" s="2" t="s">
        <v>180</v>
      </c>
      <c r="O137" s="2" t="s">
        <v>181</v>
      </c>
      <c r="P137" s="2" t="s">
        <v>350</v>
      </c>
      <c r="Q137" s="2" t="s">
        <v>86</v>
      </c>
      <c r="R137" s="2" t="s">
        <v>87</v>
      </c>
      <c r="S137" s="4">
        <v>46070</v>
      </c>
      <c r="T137" s="2" t="s">
        <v>677</v>
      </c>
      <c r="U137" s="2" t="s">
        <v>181</v>
      </c>
      <c r="V137" s="2" t="s">
        <v>895</v>
      </c>
      <c r="W137" s="2" t="s">
        <v>86</v>
      </c>
      <c r="X137" s="2" t="s">
        <v>117</v>
      </c>
      <c r="Y137" s="3" t="s">
        <v>118</v>
      </c>
      <c r="Z137" s="3">
        <v>22.41</v>
      </c>
      <c r="AA137" s="2" t="s">
        <v>90</v>
      </c>
      <c r="AB137" s="2" t="s">
        <v>87</v>
      </c>
      <c r="AC137" s="2" t="s">
        <v>77</v>
      </c>
      <c r="AD137" t="str" cm="1">
        <f t="array" ref="AD13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137" s="2" t="s">
        <v>91</v>
      </c>
      <c r="AF137" s="2" t="s">
        <v>92</v>
      </c>
      <c r="AG137" s="2" t="s">
        <v>119</v>
      </c>
      <c r="AH137" s="2" t="s">
        <v>120</v>
      </c>
      <c r="AJ137" s="2" t="s">
        <v>122</v>
      </c>
      <c r="AK137" s="2" t="s">
        <v>1049</v>
      </c>
      <c r="AN137" s="3">
        <v>1</v>
      </c>
      <c r="AO137" s="3">
        <v>1</v>
      </c>
      <c r="AP137" s="3">
        <v>1</v>
      </c>
      <c r="AQ137" s="3">
        <v>1</v>
      </c>
      <c r="AR137" s="3">
        <v>1</v>
      </c>
      <c r="AS137" s="3">
        <v>0</v>
      </c>
      <c r="AT137" s="3">
        <v>0</v>
      </c>
      <c r="AU137" s="3">
        <v>0</v>
      </c>
      <c r="AV137" s="3">
        <v>1</v>
      </c>
      <c r="AW137" s="3">
        <v>0</v>
      </c>
      <c r="AX137" s="3">
        <v>1</v>
      </c>
      <c r="AY137" s="3">
        <v>0</v>
      </c>
      <c r="AZ137" s="3">
        <v>0</v>
      </c>
      <c r="BA137" s="3">
        <v>1</v>
      </c>
      <c r="BB137" s="3">
        <v>0</v>
      </c>
      <c r="BC137" s="3">
        <v>0</v>
      </c>
      <c r="BD137" s="3">
        <v>1</v>
      </c>
      <c r="BE137" s="3">
        <v>0</v>
      </c>
      <c r="BG137" s="2" t="s">
        <v>91</v>
      </c>
      <c r="BH137" s="3">
        <v>3</v>
      </c>
      <c r="BJ137" s="2" t="s">
        <v>96</v>
      </c>
      <c r="BL137" s="2" t="s">
        <v>123</v>
      </c>
      <c r="BM137" s="2" t="s">
        <v>123</v>
      </c>
      <c r="BN137" s="2" t="s">
        <v>124</v>
      </c>
      <c r="BO137" s="2" t="s">
        <v>125</v>
      </c>
      <c r="BP137" s="2" t="s">
        <v>242</v>
      </c>
      <c r="BQ137" s="2" t="s">
        <v>124</v>
      </c>
      <c r="BR137" s="2" t="s">
        <v>126</v>
      </c>
      <c r="BS137" s="2" t="s">
        <v>127</v>
      </c>
      <c r="BT137" s="2" t="s">
        <v>199</v>
      </c>
      <c r="BU137" s="2" t="s">
        <v>200</v>
      </c>
      <c r="BV137" s="2" t="s">
        <v>166</v>
      </c>
      <c r="BW137" s="2" t="s">
        <v>167</v>
      </c>
      <c r="BX137" s="2" t="s">
        <v>91</v>
      </c>
      <c r="BY13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37" s="2">
        <f>IF(AND(Cases[[#This Row],[Priority Level]]&gt;=3,Cases[[#This Row],[System Role]]&lt;&gt;"Productive"),1,0)</f>
        <v>1</v>
      </c>
      <c r="CA137" s="2">
        <f>IFERROR(IF(Cases[[#This Row],[Days at Customer]]&gt;MAX(1,Cases[[#This Row],[Days at SAP]]*2),1,0),0)</f>
        <v>1</v>
      </c>
      <c r="CB137" s="2">
        <f>IF(AND(Cases[[#This Row],[Initial Component]]&lt;&gt;"",Cases[[#This Row],[Component]]&lt;&gt;"",Cases[[#This Row],[Initial Component]]&lt;&gt;Cases[[#This Row],[Component]]),1,0)</f>
        <v>0</v>
      </c>
      <c r="CC137" s="2">
        <f>IF(OR(Cases[[#This Row],[Is Reopened]]="X",Cases[[#This Row],[No. of Reopenings]]&gt;0),1,0)</f>
        <v>1</v>
      </c>
      <c r="CD137" s="2">
        <f>IF(Cases[[#This Row],[Confirmation Type]]="Automatic",1,0)</f>
        <v>1</v>
      </c>
      <c r="CE137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138" spans="1:83" x14ac:dyDescent="0.2">
      <c r="A138" s="1" t="s">
        <v>2611</v>
      </c>
      <c r="B138" s="2" t="s">
        <v>2612</v>
      </c>
      <c r="C138" s="2" t="s">
        <v>311</v>
      </c>
      <c r="D138" s="2" t="s">
        <v>238</v>
      </c>
      <c r="E138" s="3">
        <v>4.28</v>
      </c>
      <c r="F138" s="3">
        <v>39.450000000000003</v>
      </c>
      <c r="G138" s="2" t="s">
        <v>79</v>
      </c>
      <c r="H138" s="2" t="s">
        <v>732</v>
      </c>
      <c r="I138" s="3" t="s">
        <v>114</v>
      </c>
      <c r="J138" s="3">
        <v>161</v>
      </c>
      <c r="K138" s="2" t="s">
        <v>2613</v>
      </c>
      <c r="L138" s="4">
        <v>46012</v>
      </c>
      <c r="M138" s="4">
        <v>46010</v>
      </c>
      <c r="N138" s="2" t="s">
        <v>1804</v>
      </c>
      <c r="O138" s="2" t="s">
        <v>1805</v>
      </c>
      <c r="P138" s="2" t="s">
        <v>1930</v>
      </c>
      <c r="Q138" s="2" t="s">
        <v>1806</v>
      </c>
      <c r="R138" s="2" t="s">
        <v>310</v>
      </c>
      <c r="S138" s="4">
        <v>45966</v>
      </c>
      <c r="T138" s="2" t="s">
        <v>2274</v>
      </c>
      <c r="U138" s="2" t="s">
        <v>1805</v>
      </c>
      <c r="V138" s="2" t="s">
        <v>2583</v>
      </c>
      <c r="W138" s="2" t="s">
        <v>1806</v>
      </c>
      <c r="X138" s="2" t="s">
        <v>117</v>
      </c>
      <c r="Y138" s="3" t="s">
        <v>118</v>
      </c>
      <c r="Z138" s="3">
        <v>43.74</v>
      </c>
      <c r="AA138" s="2" t="s">
        <v>90</v>
      </c>
      <c r="AB138" s="2" t="s">
        <v>310</v>
      </c>
      <c r="AC138" s="2" t="s">
        <v>311</v>
      </c>
      <c r="AD138" t="str" cm="1">
        <f t="array" ref="AD13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138" s="2" t="s">
        <v>182</v>
      </c>
      <c r="AF138" s="2" t="s">
        <v>92</v>
      </c>
      <c r="AG138" s="2" t="s">
        <v>119</v>
      </c>
      <c r="AH138" s="2" t="s">
        <v>120</v>
      </c>
      <c r="AK138" s="2" t="s">
        <v>2614</v>
      </c>
      <c r="AN138" s="3">
        <v>1</v>
      </c>
      <c r="AO138" s="3">
        <v>1</v>
      </c>
      <c r="AP138" s="3">
        <v>1</v>
      </c>
      <c r="AQ138" s="3">
        <v>1</v>
      </c>
      <c r="AR138" s="3">
        <v>1</v>
      </c>
      <c r="AS138" s="3">
        <v>0</v>
      </c>
      <c r="AT138" s="3">
        <v>0</v>
      </c>
      <c r="AU138" s="3">
        <v>0</v>
      </c>
      <c r="AV138" s="3">
        <v>1</v>
      </c>
      <c r="AW138" s="3">
        <v>0</v>
      </c>
      <c r="AX138" s="3">
        <v>1</v>
      </c>
      <c r="AY138" s="3">
        <v>0</v>
      </c>
      <c r="AZ138" s="3">
        <v>0</v>
      </c>
      <c r="BA138" s="3">
        <v>0</v>
      </c>
      <c r="BB138" s="3">
        <v>0</v>
      </c>
      <c r="BC138" s="3">
        <v>1</v>
      </c>
      <c r="BD138" s="3">
        <v>0</v>
      </c>
      <c r="BE138" s="3">
        <v>0</v>
      </c>
      <c r="BG138" s="2" t="s">
        <v>91</v>
      </c>
      <c r="BH138" s="3">
        <v>3</v>
      </c>
      <c r="BJ138" s="2" t="s">
        <v>96</v>
      </c>
      <c r="BL138" s="2" t="s">
        <v>123</v>
      </c>
      <c r="BM138" s="2" t="s">
        <v>123</v>
      </c>
      <c r="BN138" s="2" t="s">
        <v>124</v>
      </c>
      <c r="BO138" s="2" t="s">
        <v>125</v>
      </c>
      <c r="BP138" s="2" t="s">
        <v>242</v>
      </c>
      <c r="BQ138" s="2" t="s">
        <v>124</v>
      </c>
      <c r="BR138" s="2" t="s">
        <v>126</v>
      </c>
      <c r="BS138" s="2" t="s">
        <v>127</v>
      </c>
      <c r="BT138" s="2" t="s">
        <v>207</v>
      </c>
      <c r="BU138" s="2" t="s">
        <v>208</v>
      </c>
      <c r="BV138" s="2" t="s">
        <v>150</v>
      </c>
      <c r="BW138" s="2" t="s">
        <v>151</v>
      </c>
      <c r="BX138" s="2" t="s">
        <v>182</v>
      </c>
      <c r="BY13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38" s="2">
        <f>IF(AND(Cases[[#This Row],[Priority Level]]&gt;=3,Cases[[#This Row],[System Role]]&lt;&gt;"Productive"),1,0)</f>
        <v>0</v>
      </c>
      <c r="CA138" s="2">
        <f>IFERROR(IF(Cases[[#This Row],[Days at Customer]]&gt;MAX(1,Cases[[#This Row],[Days at SAP]]*2),1,0),0)</f>
        <v>1</v>
      </c>
      <c r="CB138" s="2">
        <f>IF(AND(Cases[[#This Row],[Initial Component]]&lt;&gt;"",Cases[[#This Row],[Component]]&lt;&gt;"",Cases[[#This Row],[Initial Component]]&lt;&gt;Cases[[#This Row],[Component]]),1,0)</f>
        <v>0</v>
      </c>
      <c r="CC138" s="2">
        <f>IF(OR(Cases[[#This Row],[Is Reopened]]="X",Cases[[#This Row],[No. of Reopenings]]&gt;0),1,0)</f>
        <v>0</v>
      </c>
      <c r="CD138" s="2">
        <f>IF(Cases[[#This Row],[Confirmation Type]]="Automatic",1,0)</f>
        <v>1</v>
      </c>
      <c r="CE13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39" spans="1:83" x14ac:dyDescent="0.2">
      <c r="A139" s="1" t="s">
        <v>1054</v>
      </c>
      <c r="B139" s="2" t="s">
        <v>1055</v>
      </c>
      <c r="C139" s="2" t="s">
        <v>1056</v>
      </c>
      <c r="D139" s="2" t="s">
        <v>238</v>
      </c>
      <c r="E139" s="3">
        <v>1.94</v>
      </c>
      <c r="F139" s="3">
        <v>40.47</v>
      </c>
      <c r="G139" s="2" t="s">
        <v>79</v>
      </c>
      <c r="H139" s="2" t="s">
        <v>80</v>
      </c>
      <c r="I139" s="3" t="s">
        <v>114</v>
      </c>
      <c r="J139" s="3">
        <v>58</v>
      </c>
      <c r="K139" s="2" t="s">
        <v>1057</v>
      </c>
      <c r="L139" s="4">
        <v>46117</v>
      </c>
      <c r="M139" s="4">
        <v>46112</v>
      </c>
      <c r="N139" s="2" t="s">
        <v>180</v>
      </c>
      <c r="O139" s="2" t="s">
        <v>181</v>
      </c>
      <c r="P139" s="2" t="s">
        <v>136</v>
      </c>
      <c r="Q139" s="2" t="s">
        <v>86</v>
      </c>
      <c r="R139" s="2" t="s">
        <v>1058</v>
      </c>
      <c r="S139" s="4">
        <v>46069</v>
      </c>
      <c r="T139" s="2" t="s">
        <v>677</v>
      </c>
      <c r="U139" s="2" t="s">
        <v>181</v>
      </c>
      <c r="V139" s="2" t="s">
        <v>895</v>
      </c>
      <c r="W139" s="2" t="s">
        <v>86</v>
      </c>
      <c r="X139" s="2" t="s">
        <v>117</v>
      </c>
      <c r="Y139" s="3" t="s">
        <v>118</v>
      </c>
      <c r="Z139" s="3">
        <v>42.41</v>
      </c>
      <c r="AA139" s="2" t="s">
        <v>90</v>
      </c>
      <c r="AB139" s="2" t="s">
        <v>1059</v>
      </c>
      <c r="AC139" s="2" t="s">
        <v>1060</v>
      </c>
      <c r="AD139" t="str" cm="1">
        <f t="array" ref="AD13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139" s="2" t="s">
        <v>139</v>
      </c>
      <c r="AF139" s="2" t="s">
        <v>92</v>
      </c>
      <c r="AG139" s="2" t="s">
        <v>159</v>
      </c>
      <c r="AH139" s="2" t="s">
        <v>160</v>
      </c>
      <c r="AK139" s="2" t="s">
        <v>1061</v>
      </c>
      <c r="AN139" s="3">
        <v>1</v>
      </c>
      <c r="AO139" s="3">
        <v>1</v>
      </c>
      <c r="AP139" s="3">
        <v>1</v>
      </c>
      <c r="AQ139" s="3">
        <v>1</v>
      </c>
      <c r="AR139" s="3">
        <v>0</v>
      </c>
      <c r="AS139" s="3">
        <v>0</v>
      </c>
      <c r="AT139" s="3">
        <v>1</v>
      </c>
      <c r="AU139" s="3">
        <v>0</v>
      </c>
      <c r="AV139" s="3">
        <v>1</v>
      </c>
      <c r="AW139" s="3">
        <v>0</v>
      </c>
      <c r="AX139" s="3">
        <v>0</v>
      </c>
      <c r="AY139" s="3">
        <v>0</v>
      </c>
      <c r="AZ139" s="3">
        <v>1</v>
      </c>
      <c r="BA139" s="3">
        <v>0</v>
      </c>
      <c r="BB139" s="3">
        <v>0</v>
      </c>
      <c r="BC139" s="3">
        <v>1</v>
      </c>
      <c r="BD139" s="3">
        <v>0</v>
      </c>
      <c r="BE139" s="3">
        <v>0</v>
      </c>
      <c r="BG139" s="2" t="s">
        <v>139</v>
      </c>
      <c r="BH139" s="3">
        <v>2</v>
      </c>
      <c r="BJ139" s="2" t="s">
        <v>96</v>
      </c>
      <c r="BL139" s="2" t="s">
        <v>97</v>
      </c>
      <c r="BM139" s="2" t="s">
        <v>98</v>
      </c>
      <c r="BN139" s="2" t="s">
        <v>99</v>
      </c>
      <c r="BO139" s="2" t="s">
        <v>100</v>
      </c>
      <c r="BP139" s="2" t="s">
        <v>242</v>
      </c>
      <c r="BQ139" s="2" t="s">
        <v>102</v>
      </c>
      <c r="BR139" s="2" t="s">
        <v>103</v>
      </c>
      <c r="BS139" s="2" t="s">
        <v>127</v>
      </c>
      <c r="BT139" s="2" t="s">
        <v>1062</v>
      </c>
      <c r="BU139" s="2" t="s">
        <v>1063</v>
      </c>
      <c r="BV139" s="2" t="s">
        <v>150</v>
      </c>
      <c r="BW139" s="2" t="s">
        <v>151</v>
      </c>
      <c r="BX139" s="2" t="s">
        <v>139</v>
      </c>
      <c r="BY13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39" s="2">
        <f>IF(AND(Cases[[#This Row],[Priority Level]]&gt;=3,Cases[[#This Row],[System Role]]&lt;&gt;"Productive"),1,0)</f>
        <v>0</v>
      </c>
      <c r="CA139" s="2">
        <f>IFERROR(IF(Cases[[#This Row],[Days at Customer]]&gt;MAX(1,Cases[[#This Row],[Days at SAP]]*2),1,0),0)</f>
        <v>1</v>
      </c>
      <c r="CB139" s="2">
        <f>IF(AND(Cases[[#This Row],[Initial Component]]&lt;&gt;"",Cases[[#This Row],[Component]]&lt;&gt;"",Cases[[#This Row],[Initial Component]]&lt;&gt;Cases[[#This Row],[Component]]),1,0)</f>
        <v>1</v>
      </c>
      <c r="CC139" s="2">
        <f>IF(OR(Cases[[#This Row],[Is Reopened]]="X",Cases[[#This Row],[No. of Reopenings]]&gt;0),1,0)</f>
        <v>0</v>
      </c>
      <c r="CD139" s="2">
        <f>IF(Cases[[#This Row],[Confirmation Type]]="Automatic",1,0)</f>
        <v>1</v>
      </c>
      <c r="CE139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40" spans="1:83" x14ac:dyDescent="0.2">
      <c r="A140" s="1" t="s">
        <v>1064</v>
      </c>
      <c r="B140" s="2" t="s">
        <v>1065</v>
      </c>
      <c r="C140" s="2" t="s">
        <v>1066</v>
      </c>
      <c r="D140" s="2" t="s">
        <v>238</v>
      </c>
      <c r="E140" s="3">
        <v>6.23</v>
      </c>
      <c r="F140" s="3">
        <v>26.37</v>
      </c>
      <c r="G140" s="2" t="s">
        <v>79</v>
      </c>
      <c r="H140" s="2" t="s">
        <v>80</v>
      </c>
      <c r="I140" s="3" t="s">
        <v>114</v>
      </c>
      <c r="J140" s="3">
        <v>58</v>
      </c>
      <c r="K140" s="2" t="s">
        <v>1067</v>
      </c>
      <c r="L140" s="4">
        <v>46103</v>
      </c>
      <c r="M140" s="4">
        <v>46102</v>
      </c>
      <c r="N140" s="2" t="s">
        <v>180</v>
      </c>
      <c r="O140" s="2" t="s">
        <v>181</v>
      </c>
      <c r="P140" s="2" t="s">
        <v>260</v>
      </c>
      <c r="Q140" s="2" t="s">
        <v>86</v>
      </c>
      <c r="R140" s="2" t="s">
        <v>1068</v>
      </c>
      <c r="S140" s="4">
        <v>46069</v>
      </c>
      <c r="T140" s="2" t="s">
        <v>677</v>
      </c>
      <c r="U140" s="2" t="s">
        <v>181</v>
      </c>
      <c r="V140" s="2" t="s">
        <v>895</v>
      </c>
      <c r="W140" s="2" t="s">
        <v>86</v>
      </c>
      <c r="X140" s="2" t="s">
        <v>117</v>
      </c>
      <c r="Y140" s="3" t="s">
        <v>118</v>
      </c>
      <c r="Z140" s="3">
        <v>32.590000000000003</v>
      </c>
      <c r="AA140" s="2" t="s">
        <v>90</v>
      </c>
      <c r="AB140" s="2" t="s">
        <v>1068</v>
      </c>
      <c r="AC140" s="2" t="s">
        <v>1066</v>
      </c>
      <c r="AD140" t="str" cm="1">
        <f t="array" ref="AD14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140" s="2" t="s">
        <v>139</v>
      </c>
      <c r="AF140" s="2" t="s">
        <v>92</v>
      </c>
      <c r="AG140" s="2" t="s">
        <v>1069</v>
      </c>
      <c r="AH140" s="2" t="s">
        <v>1070</v>
      </c>
      <c r="AK140" s="2" t="s">
        <v>1071</v>
      </c>
      <c r="AN140" s="3">
        <v>1</v>
      </c>
      <c r="AO140" s="3">
        <v>1</v>
      </c>
      <c r="AP140" s="3">
        <v>1</v>
      </c>
      <c r="AQ140" s="3">
        <v>1</v>
      </c>
      <c r="AR140" s="3">
        <v>1</v>
      </c>
      <c r="AS140" s="3">
        <v>0</v>
      </c>
      <c r="AT140" s="3">
        <v>0</v>
      </c>
      <c r="AU140" s="3">
        <v>0</v>
      </c>
      <c r="AV140" s="3">
        <v>1</v>
      </c>
      <c r="AW140" s="3">
        <v>0</v>
      </c>
      <c r="AX140" s="3">
        <v>1</v>
      </c>
      <c r="AY140" s="3">
        <v>0</v>
      </c>
      <c r="AZ140" s="3">
        <v>0</v>
      </c>
      <c r="BA140" s="3">
        <v>0</v>
      </c>
      <c r="BB140" s="3">
        <v>0</v>
      </c>
      <c r="BC140" s="3">
        <v>1</v>
      </c>
      <c r="BD140" s="3">
        <v>0</v>
      </c>
      <c r="BE140" s="3">
        <v>0</v>
      </c>
      <c r="BG140" s="2" t="s">
        <v>91</v>
      </c>
      <c r="BH140" s="3">
        <v>3</v>
      </c>
      <c r="BJ140" s="2" t="s">
        <v>96</v>
      </c>
      <c r="BL140" s="2" t="s">
        <v>556</v>
      </c>
      <c r="BM140" s="2" t="s">
        <v>557</v>
      </c>
      <c r="BN140" s="2" t="s">
        <v>99</v>
      </c>
      <c r="BO140" s="2" t="s">
        <v>100</v>
      </c>
      <c r="BP140" s="2" t="s">
        <v>242</v>
      </c>
      <c r="BQ140" s="2" t="s">
        <v>102</v>
      </c>
      <c r="BR140" s="2" t="s">
        <v>103</v>
      </c>
      <c r="BS140" s="2" t="s">
        <v>127</v>
      </c>
      <c r="BT140" s="2" t="s">
        <v>1072</v>
      </c>
      <c r="BU140" s="2" t="s">
        <v>1073</v>
      </c>
      <c r="BV140" s="2" t="s">
        <v>150</v>
      </c>
      <c r="BW140" s="2" t="s">
        <v>151</v>
      </c>
      <c r="BX140" s="2" t="s">
        <v>91</v>
      </c>
      <c r="BY14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40" s="2">
        <f>IF(AND(Cases[[#This Row],[Priority Level]]&gt;=3,Cases[[#This Row],[System Role]]&lt;&gt;"Productive"),1,0)</f>
        <v>0</v>
      </c>
      <c r="CA140" s="2">
        <f>IFERROR(IF(Cases[[#This Row],[Days at Customer]]&gt;MAX(1,Cases[[#This Row],[Days at SAP]]*2),1,0),0)</f>
        <v>1</v>
      </c>
      <c r="CB140" s="2">
        <f>IF(AND(Cases[[#This Row],[Initial Component]]&lt;&gt;"",Cases[[#This Row],[Component]]&lt;&gt;"",Cases[[#This Row],[Initial Component]]&lt;&gt;Cases[[#This Row],[Component]]),1,0)</f>
        <v>0</v>
      </c>
      <c r="CC140" s="2">
        <f>IF(OR(Cases[[#This Row],[Is Reopened]]="X",Cases[[#This Row],[No. of Reopenings]]&gt;0),1,0)</f>
        <v>0</v>
      </c>
      <c r="CD140" s="2">
        <f>IF(Cases[[#This Row],[Confirmation Type]]="Automatic",1,0)</f>
        <v>1</v>
      </c>
      <c r="CE140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41" spans="1:83" x14ac:dyDescent="0.2">
      <c r="A141" s="1" t="s">
        <v>1074</v>
      </c>
      <c r="B141" s="2" t="s">
        <v>1075</v>
      </c>
      <c r="C141" s="2" t="s">
        <v>1076</v>
      </c>
      <c r="D141" s="2" t="s">
        <v>238</v>
      </c>
      <c r="E141" s="3">
        <v>9.11</v>
      </c>
      <c r="F141" s="3">
        <v>35.99</v>
      </c>
      <c r="G141" s="2" t="s">
        <v>79</v>
      </c>
      <c r="H141" s="2" t="s">
        <v>155</v>
      </c>
      <c r="I141" s="3" t="s">
        <v>114</v>
      </c>
      <c r="J141" s="3">
        <v>61</v>
      </c>
      <c r="K141" s="2" t="s">
        <v>1077</v>
      </c>
      <c r="L141" s="4">
        <v>46117</v>
      </c>
      <c r="M141" s="4">
        <v>46112</v>
      </c>
      <c r="N141" s="2" t="s">
        <v>180</v>
      </c>
      <c r="O141" s="2" t="s">
        <v>181</v>
      </c>
      <c r="P141" s="2" t="s">
        <v>136</v>
      </c>
      <c r="Q141" s="2" t="s">
        <v>86</v>
      </c>
      <c r="R141" s="2" t="s">
        <v>1078</v>
      </c>
      <c r="S141" s="4">
        <v>46066</v>
      </c>
      <c r="T141" s="2" t="s">
        <v>677</v>
      </c>
      <c r="U141" s="2" t="s">
        <v>181</v>
      </c>
      <c r="V141" s="2" t="s">
        <v>1079</v>
      </c>
      <c r="W141" s="2" t="s">
        <v>86</v>
      </c>
      <c r="X141" s="2" t="s">
        <v>117</v>
      </c>
      <c r="Y141" s="3" t="s">
        <v>118</v>
      </c>
      <c r="Z141" s="3">
        <v>45.1</v>
      </c>
      <c r="AA141" s="2" t="s">
        <v>138</v>
      </c>
      <c r="AB141" s="2" t="s">
        <v>478</v>
      </c>
      <c r="AC141" s="2" t="s">
        <v>479</v>
      </c>
      <c r="AD141" t="str" cm="1">
        <f t="array" ref="AD14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141" s="2" t="s">
        <v>139</v>
      </c>
      <c r="AF141" s="2" t="s">
        <v>92</v>
      </c>
      <c r="AG141" s="2" t="s">
        <v>140</v>
      </c>
      <c r="AH141" s="2" t="s">
        <v>141</v>
      </c>
      <c r="AK141" s="2" t="s">
        <v>1080</v>
      </c>
      <c r="AN141" s="3">
        <v>1</v>
      </c>
      <c r="AO141" s="3">
        <v>1</v>
      </c>
      <c r="AP141" s="3">
        <v>1</v>
      </c>
      <c r="AQ141" s="3">
        <v>1</v>
      </c>
      <c r="AR141" s="3">
        <v>0</v>
      </c>
      <c r="AS141" s="3">
        <v>0</v>
      </c>
      <c r="AT141" s="3">
        <v>1</v>
      </c>
      <c r="AU141" s="3">
        <v>0</v>
      </c>
      <c r="AV141" s="3">
        <v>1</v>
      </c>
      <c r="AW141" s="3">
        <v>0</v>
      </c>
      <c r="AX141" s="3">
        <v>0</v>
      </c>
      <c r="AY141" s="3">
        <v>0</v>
      </c>
      <c r="AZ141" s="3">
        <v>1</v>
      </c>
      <c r="BA141" s="3">
        <v>0</v>
      </c>
      <c r="BB141" s="3">
        <v>0</v>
      </c>
      <c r="BC141" s="3">
        <v>1</v>
      </c>
      <c r="BD141" s="3">
        <v>0</v>
      </c>
      <c r="BE141" s="3">
        <v>0</v>
      </c>
      <c r="BG141" s="2" t="s">
        <v>139</v>
      </c>
      <c r="BH141" s="3">
        <v>2</v>
      </c>
      <c r="BI141" s="2" t="s">
        <v>122</v>
      </c>
      <c r="BJ141" s="2" t="s">
        <v>96</v>
      </c>
      <c r="BL141" s="2" t="s">
        <v>143</v>
      </c>
      <c r="BM141" s="2" t="s">
        <v>144</v>
      </c>
      <c r="BN141" s="2" t="s">
        <v>99</v>
      </c>
      <c r="BO141" s="2" t="s">
        <v>100</v>
      </c>
      <c r="BP141" s="2" t="s">
        <v>242</v>
      </c>
      <c r="BQ141" s="2" t="s">
        <v>145</v>
      </c>
      <c r="BR141" s="2" t="s">
        <v>146</v>
      </c>
      <c r="BS141" s="2" t="s">
        <v>147</v>
      </c>
      <c r="BT141" s="2" t="s">
        <v>148</v>
      </c>
      <c r="BU141" s="2" t="s">
        <v>149</v>
      </c>
      <c r="BV141" s="2" t="s">
        <v>150</v>
      </c>
      <c r="BW141" s="2" t="s">
        <v>151</v>
      </c>
      <c r="BX141" s="2" t="s">
        <v>139</v>
      </c>
      <c r="BY14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41" s="2">
        <f>IF(AND(Cases[[#This Row],[Priority Level]]&gt;=3,Cases[[#This Row],[System Role]]&lt;&gt;"Productive"),1,0)</f>
        <v>0</v>
      </c>
      <c r="CA141" s="2">
        <f>IFERROR(IF(Cases[[#This Row],[Days at Customer]]&gt;MAX(1,Cases[[#This Row],[Days at SAP]]*2),1,0),0)</f>
        <v>1</v>
      </c>
      <c r="CB141" s="2">
        <f>IF(AND(Cases[[#This Row],[Initial Component]]&lt;&gt;"",Cases[[#This Row],[Component]]&lt;&gt;"",Cases[[#This Row],[Initial Component]]&lt;&gt;Cases[[#This Row],[Component]]),1,0)</f>
        <v>1</v>
      </c>
      <c r="CC141" s="2">
        <f>IF(OR(Cases[[#This Row],[Is Reopened]]="X",Cases[[#This Row],[No. of Reopenings]]&gt;0),1,0)</f>
        <v>0</v>
      </c>
      <c r="CD141" s="2">
        <f>IF(Cases[[#This Row],[Confirmation Type]]="Automatic",1,0)</f>
        <v>1</v>
      </c>
      <c r="CE141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142" spans="1:83" x14ac:dyDescent="0.2">
      <c r="A142" s="1" t="s">
        <v>1887</v>
      </c>
      <c r="B142" s="2" t="s">
        <v>1888</v>
      </c>
      <c r="C142" s="2" t="s">
        <v>639</v>
      </c>
      <c r="D142" s="2" t="s">
        <v>78</v>
      </c>
      <c r="E142" s="3">
        <v>0.98</v>
      </c>
      <c r="F142" s="3">
        <v>0.72</v>
      </c>
      <c r="G142" s="2" t="s">
        <v>112</v>
      </c>
      <c r="H142" s="2" t="s">
        <v>113</v>
      </c>
      <c r="I142" s="3" t="s">
        <v>114</v>
      </c>
      <c r="J142" s="3">
        <v>112</v>
      </c>
      <c r="K142" s="2" t="s">
        <v>1889</v>
      </c>
      <c r="L142" s="4">
        <v>46019</v>
      </c>
      <c r="M142" s="4">
        <v>46017</v>
      </c>
      <c r="N142" s="2" t="s">
        <v>1804</v>
      </c>
      <c r="O142" s="2" t="s">
        <v>1805</v>
      </c>
      <c r="P142" s="2" t="s">
        <v>1868</v>
      </c>
      <c r="Q142" s="2" t="s">
        <v>1806</v>
      </c>
      <c r="R142" s="2" t="s">
        <v>641</v>
      </c>
      <c r="S142" s="4">
        <v>46015</v>
      </c>
      <c r="T142" s="2" t="s">
        <v>1804</v>
      </c>
      <c r="U142" s="2" t="s">
        <v>1805</v>
      </c>
      <c r="V142" s="2" t="s">
        <v>1868</v>
      </c>
      <c r="W142" s="2" t="s">
        <v>1806</v>
      </c>
      <c r="X142" s="2" t="s">
        <v>117</v>
      </c>
      <c r="Y142" s="3" t="s">
        <v>118</v>
      </c>
      <c r="Z142" s="3">
        <v>1.7</v>
      </c>
      <c r="AA142" s="2" t="s">
        <v>90</v>
      </c>
      <c r="AB142" s="2" t="s">
        <v>641</v>
      </c>
      <c r="AC142" s="2" t="s">
        <v>639</v>
      </c>
      <c r="AD142" t="str" cm="1">
        <f t="array" ref="AD14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142" s="2" t="s">
        <v>182</v>
      </c>
      <c r="AF142" s="2" t="s">
        <v>92</v>
      </c>
      <c r="AG142" s="2" t="s">
        <v>159</v>
      </c>
      <c r="AH142" s="2" t="s">
        <v>160</v>
      </c>
      <c r="AK142" s="2" t="s">
        <v>1890</v>
      </c>
      <c r="AN142" s="3">
        <v>1</v>
      </c>
      <c r="AO142" s="3">
        <v>1</v>
      </c>
      <c r="AP142" s="3">
        <v>1</v>
      </c>
      <c r="AQ142" s="3">
        <v>1</v>
      </c>
      <c r="AR142" s="3">
        <v>1</v>
      </c>
      <c r="AS142" s="3">
        <v>0</v>
      </c>
      <c r="AT142" s="3">
        <v>0</v>
      </c>
      <c r="AU142" s="3">
        <v>0</v>
      </c>
      <c r="AV142" s="3">
        <v>0</v>
      </c>
      <c r="AW142" s="3">
        <v>1</v>
      </c>
      <c r="AX142" s="3">
        <v>1</v>
      </c>
      <c r="AY142" s="3">
        <v>0</v>
      </c>
      <c r="AZ142" s="3">
        <v>0</v>
      </c>
      <c r="BA142" s="3">
        <v>0</v>
      </c>
      <c r="BB142" s="3">
        <v>0</v>
      </c>
      <c r="BC142" s="3">
        <v>1</v>
      </c>
      <c r="BD142" s="3">
        <v>0</v>
      </c>
      <c r="BE142" s="3">
        <v>0</v>
      </c>
      <c r="BG142" s="2" t="s">
        <v>91</v>
      </c>
      <c r="BH142" s="3">
        <v>3</v>
      </c>
      <c r="BJ142" s="2" t="s">
        <v>96</v>
      </c>
      <c r="BL142" s="2" t="s">
        <v>643</v>
      </c>
      <c r="BM142" s="2" t="s">
        <v>644</v>
      </c>
      <c r="BN142" s="2" t="s">
        <v>99</v>
      </c>
      <c r="BO142" s="2" t="s">
        <v>100</v>
      </c>
      <c r="BP142" s="2" t="s">
        <v>101</v>
      </c>
      <c r="BQ142" s="2" t="s">
        <v>102</v>
      </c>
      <c r="BR142" s="2" t="s">
        <v>103</v>
      </c>
      <c r="BS142" s="2" t="s">
        <v>127</v>
      </c>
      <c r="BT142" s="2" t="s">
        <v>645</v>
      </c>
      <c r="BU142" s="2" t="s">
        <v>646</v>
      </c>
      <c r="BV142" s="2" t="s">
        <v>150</v>
      </c>
      <c r="BW142" s="2" t="s">
        <v>151</v>
      </c>
      <c r="BX142" s="2" t="s">
        <v>182</v>
      </c>
      <c r="BY14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42" s="2">
        <f>IF(AND(Cases[[#This Row],[Priority Level]]&gt;=3,Cases[[#This Row],[System Role]]&lt;&gt;"Productive"),1,0)</f>
        <v>0</v>
      </c>
      <c r="CA142" s="2">
        <f>IFERROR(IF(Cases[[#This Row],[Days at Customer]]&gt;MAX(1,Cases[[#This Row],[Days at SAP]]*2),1,0),0)</f>
        <v>0</v>
      </c>
      <c r="CB142" s="2">
        <f>IF(AND(Cases[[#This Row],[Initial Component]]&lt;&gt;"",Cases[[#This Row],[Component]]&lt;&gt;"",Cases[[#This Row],[Initial Component]]&lt;&gt;Cases[[#This Row],[Component]]),1,0)</f>
        <v>0</v>
      </c>
      <c r="CC142" s="2">
        <f>IF(OR(Cases[[#This Row],[Is Reopened]]="X",Cases[[#This Row],[No. of Reopenings]]&gt;0),1,0)</f>
        <v>0</v>
      </c>
      <c r="CD142" s="2">
        <f>IF(Cases[[#This Row],[Confirmation Type]]="Automatic",1,0)</f>
        <v>0</v>
      </c>
      <c r="CE142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143" spans="1:83" x14ac:dyDescent="0.2">
      <c r="A143" s="1" t="s">
        <v>1085</v>
      </c>
      <c r="B143" s="2" t="s">
        <v>1086</v>
      </c>
      <c r="C143" s="2" t="s">
        <v>77</v>
      </c>
      <c r="D143" s="2" t="s">
        <v>78</v>
      </c>
      <c r="E143" s="3">
        <v>1.24</v>
      </c>
      <c r="F143" s="3">
        <v>3.67</v>
      </c>
      <c r="G143" s="2" t="s">
        <v>79</v>
      </c>
      <c r="H143" s="2" t="s">
        <v>178</v>
      </c>
      <c r="I143" s="3" t="s">
        <v>114</v>
      </c>
      <c r="J143" s="3">
        <v>62</v>
      </c>
      <c r="K143" s="2" t="s">
        <v>1087</v>
      </c>
      <c r="L143" s="4">
        <v>46103</v>
      </c>
      <c r="M143" s="4">
        <v>46070</v>
      </c>
      <c r="N143" s="2" t="s">
        <v>677</v>
      </c>
      <c r="O143" s="2" t="s">
        <v>181</v>
      </c>
      <c r="P143" s="2" t="s">
        <v>895</v>
      </c>
      <c r="Q143" s="2" t="s">
        <v>86</v>
      </c>
      <c r="R143" s="2" t="s">
        <v>87</v>
      </c>
      <c r="S143" s="4">
        <v>46065</v>
      </c>
      <c r="T143" s="2" t="s">
        <v>677</v>
      </c>
      <c r="U143" s="2" t="s">
        <v>181</v>
      </c>
      <c r="V143" s="2" t="s">
        <v>1079</v>
      </c>
      <c r="W143" s="2" t="s">
        <v>86</v>
      </c>
      <c r="X143" s="2" t="s">
        <v>117</v>
      </c>
      <c r="Y143" s="3" t="s">
        <v>118</v>
      </c>
      <c r="Z143" s="3">
        <v>4.91</v>
      </c>
      <c r="AA143" s="2" t="s">
        <v>90</v>
      </c>
      <c r="AB143" s="2" t="s">
        <v>87</v>
      </c>
      <c r="AC143" s="2" t="s">
        <v>77</v>
      </c>
      <c r="AD143" t="str" cm="1">
        <f t="array" ref="AD14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143" s="2" t="s">
        <v>91</v>
      </c>
      <c r="AF143" s="2" t="s">
        <v>92</v>
      </c>
      <c r="AG143" s="2" t="s">
        <v>119</v>
      </c>
      <c r="AH143" s="2" t="s">
        <v>120</v>
      </c>
      <c r="AK143" s="2" t="s">
        <v>1088</v>
      </c>
      <c r="AN143" s="3">
        <v>1</v>
      </c>
      <c r="AO143" s="3">
        <v>1</v>
      </c>
      <c r="AP143" s="3">
        <v>1</v>
      </c>
      <c r="AQ143" s="3">
        <v>1</v>
      </c>
      <c r="AR143" s="3">
        <v>1</v>
      </c>
      <c r="AS143" s="3">
        <v>0</v>
      </c>
      <c r="AT143" s="3">
        <v>0</v>
      </c>
      <c r="AU143" s="3">
        <v>0</v>
      </c>
      <c r="AV143" s="3">
        <v>0</v>
      </c>
      <c r="AW143" s="3">
        <v>1</v>
      </c>
      <c r="AX143" s="3">
        <v>1</v>
      </c>
      <c r="AY143" s="3">
        <v>0</v>
      </c>
      <c r="AZ143" s="3">
        <v>0</v>
      </c>
      <c r="BA143" s="3">
        <v>1</v>
      </c>
      <c r="BB143" s="3">
        <v>0</v>
      </c>
      <c r="BC143" s="3">
        <v>0</v>
      </c>
      <c r="BD143" s="3">
        <v>0</v>
      </c>
      <c r="BE143" s="3">
        <v>0</v>
      </c>
      <c r="BG143" s="2" t="s">
        <v>91</v>
      </c>
      <c r="BH143" s="3">
        <v>3</v>
      </c>
      <c r="BJ143" s="2" t="s">
        <v>96</v>
      </c>
      <c r="BL143" s="2" t="s">
        <v>123</v>
      </c>
      <c r="BM143" s="2" t="s">
        <v>123</v>
      </c>
      <c r="BN143" s="2" t="s">
        <v>124</v>
      </c>
      <c r="BO143" s="2" t="s">
        <v>125</v>
      </c>
      <c r="BP143" s="2" t="s">
        <v>101</v>
      </c>
      <c r="BQ143" s="2" t="s">
        <v>124</v>
      </c>
      <c r="BR143" s="2" t="s">
        <v>126</v>
      </c>
      <c r="BS143" s="2" t="s">
        <v>127</v>
      </c>
      <c r="BT143" s="2" t="s">
        <v>199</v>
      </c>
      <c r="BU143" s="2" t="s">
        <v>200</v>
      </c>
      <c r="BV143" s="2" t="s">
        <v>166</v>
      </c>
      <c r="BW143" s="2" t="s">
        <v>167</v>
      </c>
      <c r="BX143" s="2" t="s">
        <v>91</v>
      </c>
      <c r="BY14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43" s="2">
        <f>IF(AND(Cases[[#This Row],[Priority Level]]&gt;=3,Cases[[#This Row],[System Role]]&lt;&gt;"Productive"),1,0)</f>
        <v>1</v>
      </c>
      <c r="CA143" s="2">
        <f>IFERROR(IF(Cases[[#This Row],[Days at Customer]]&gt;MAX(1,Cases[[#This Row],[Days at SAP]]*2),1,0),0)</f>
        <v>1</v>
      </c>
      <c r="CB143" s="2">
        <f>IF(AND(Cases[[#This Row],[Initial Component]]&lt;&gt;"",Cases[[#This Row],[Component]]&lt;&gt;"",Cases[[#This Row],[Initial Component]]&lt;&gt;Cases[[#This Row],[Component]]),1,0)</f>
        <v>0</v>
      </c>
      <c r="CC143" s="2">
        <f>IF(OR(Cases[[#This Row],[Is Reopened]]="X",Cases[[#This Row],[No. of Reopenings]]&gt;0),1,0)</f>
        <v>0</v>
      </c>
      <c r="CD143" s="2">
        <f>IF(Cases[[#This Row],[Confirmation Type]]="Automatic",1,0)</f>
        <v>0</v>
      </c>
      <c r="CE143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144" spans="1:83" x14ac:dyDescent="0.2">
      <c r="A144" s="1" t="s">
        <v>1089</v>
      </c>
      <c r="B144" s="2" t="s">
        <v>1090</v>
      </c>
      <c r="C144" s="2" t="s">
        <v>1091</v>
      </c>
      <c r="D144" s="2" t="s">
        <v>78</v>
      </c>
      <c r="E144" s="3">
        <v>0</v>
      </c>
      <c r="F144" s="3">
        <v>0</v>
      </c>
      <c r="G144" s="2" t="s">
        <v>113</v>
      </c>
      <c r="H144" s="2" t="s">
        <v>113</v>
      </c>
      <c r="I144" s="3" t="s">
        <v>114</v>
      </c>
      <c r="J144" s="3">
        <v>63</v>
      </c>
      <c r="K144" s="2" t="s">
        <v>1092</v>
      </c>
      <c r="L144" s="4">
        <v>46082</v>
      </c>
      <c r="M144" s="4">
        <v>46064</v>
      </c>
      <c r="N144" s="2" t="s">
        <v>677</v>
      </c>
      <c r="O144" s="2" t="s">
        <v>181</v>
      </c>
      <c r="P144" s="2" t="s">
        <v>1079</v>
      </c>
      <c r="Q144" s="2" t="s">
        <v>86</v>
      </c>
      <c r="R144" s="2" t="s">
        <v>1093</v>
      </c>
      <c r="S144" s="4">
        <v>46064</v>
      </c>
      <c r="T144" s="2" t="s">
        <v>677</v>
      </c>
      <c r="U144" s="2" t="s">
        <v>181</v>
      </c>
      <c r="V144" s="2" t="s">
        <v>1079</v>
      </c>
      <c r="W144" s="2" t="s">
        <v>86</v>
      </c>
      <c r="X144" s="2" t="s">
        <v>117</v>
      </c>
      <c r="Y144" s="3" t="s">
        <v>118</v>
      </c>
      <c r="Z144" s="3">
        <v>0</v>
      </c>
      <c r="AA144" s="2" t="s">
        <v>90</v>
      </c>
      <c r="AB144" s="2" t="s">
        <v>1093</v>
      </c>
      <c r="AC144" s="2" t="s">
        <v>1091</v>
      </c>
      <c r="AD144" t="str" cm="1">
        <f t="array" ref="AD14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144" s="2" t="s">
        <v>139</v>
      </c>
      <c r="AF144" s="2" t="s">
        <v>92</v>
      </c>
      <c r="AG144" s="2" t="s">
        <v>119</v>
      </c>
      <c r="AH144" s="2" t="s">
        <v>120</v>
      </c>
      <c r="AK144" s="2" t="s">
        <v>1094</v>
      </c>
      <c r="AN144" s="3">
        <v>1</v>
      </c>
      <c r="AO144" s="3">
        <v>1</v>
      </c>
      <c r="AP144" s="3">
        <v>1</v>
      </c>
      <c r="AQ144" s="3">
        <v>1</v>
      </c>
      <c r="AR144" s="3">
        <v>0</v>
      </c>
      <c r="AS144" s="3">
        <v>0</v>
      </c>
      <c r="AT144" s="3">
        <v>1</v>
      </c>
      <c r="AU144" s="3">
        <v>0</v>
      </c>
      <c r="AV144" s="3">
        <v>0</v>
      </c>
      <c r="AW144" s="3">
        <v>1</v>
      </c>
      <c r="AX144" s="3">
        <v>0</v>
      </c>
      <c r="AY144" s="3">
        <v>0</v>
      </c>
      <c r="AZ144" s="3">
        <v>1</v>
      </c>
      <c r="BA144" s="3">
        <v>0</v>
      </c>
      <c r="BB144" s="3">
        <v>0</v>
      </c>
      <c r="BC144" s="3">
        <v>1</v>
      </c>
      <c r="BD144" s="3">
        <v>0</v>
      </c>
      <c r="BE144" s="3">
        <v>0</v>
      </c>
      <c r="BG144" s="2" t="s">
        <v>139</v>
      </c>
      <c r="BH144" s="3">
        <v>2</v>
      </c>
      <c r="BJ144" s="2" t="s">
        <v>96</v>
      </c>
      <c r="BL144" s="2" t="s">
        <v>123</v>
      </c>
      <c r="BM144" s="2" t="s">
        <v>123</v>
      </c>
      <c r="BN144" s="2" t="s">
        <v>124</v>
      </c>
      <c r="BO144" s="2" t="s">
        <v>125</v>
      </c>
      <c r="BP144" s="2" t="s">
        <v>101</v>
      </c>
      <c r="BQ144" s="2" t="s">
        <v>124</v>
      </c>
      <c r="BR144" s="2" t="s">
        <v>126</v>
      </c>
      <c r="BS144" s="2" t="s">
        <v>127</v>
      </c>
      <c r="BT144" s="2" t="s">
        <v>207</v>
      </c>
      <c r="BU144" s="2" t="s">
        <v>208</v>
      </c>
      <c r="BV144" s="2" t="s">
        <v>150</v>
      </c>
      <c r="BW144" s="2" t="s">
        <v>151</v>
      </c>
      <c r="BX144" s="2" t="s">
        <v>139</v>
      </c>
      <c r="BY14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44" s="2">
        <f>IF(AND(Cases[[#This Row],[Priority Level]]&gt;=3,Cases[[#This Row],[System Role]]&lt;&gt;"Productive"),1,0)</f>
        <v>0</v>
      </c>
      <c r="CA144" s="2">
        <f>IFERROR(IF(Cases[[#This Row],[Days at Customer]]&gt;MAX(1,Cases[[#This Row],[Days at SAP]]*2),1,0),0)</f>
        <v>0</v>
      </c>
      <c r="CB144" s="2">
        <f>IF(AND(Cases[[#This Row],[Initial Component]]&lt;&gt;"",Cases[[#This Row],[Component]]&lt;&gt;"",Cases[[#This Row],[Initial Component]]&lt;&gt;Cases[[#This Row],[Component]]),1,0)</f>
        <v>0</v>
      </c>
      <c r="CC144" s="2">
        <f>IF(OR(Cases[[#This Row],[Is Reopened]]="X",Cases[[#This Row],[No. of Reopenings]]&gt;0),1,0)</f>
        <v>0</v>
      </c>
      <c r="CD144" s="2">
        <f>IF(Cases[[#This Row],[Confirmation Type]]="Automatic",1,0)</f>
        <v>0</v>
      </c>
      <c r="CE144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145" spans="1:83" x14ac:dyDescent="0.2">
      <c r="A145" s="1" t="s">
        <v>1095</v>
      </c>
      <c r="B145" s="2" t="s">
        <v>1096</v>
      </c>
      <c r="C145" s="2" t="s">
        <v>596</v>
      </c>
      <c r="D145" s="2" t="s">
        <v>78</v>
      </c>
      <c r="E145" s="3">
        <v>0.1</v>
      </c>
      <c r="F145" s="3">
        <v>8.59</v>
      </c>
      <c r="G145" s="2" t="s">
        <v>190</v>
      </c>
      <c r="H145" s="2" t="s">
        <v>666</v>
      </c>
      <c r="I145" s="3" t="s">
        <v>114</v>
      </c>
      <c r="J145" s="3">
        <v>63</v>
      </c>
      <c r="K145" s="2" t="s">
        <v>1097</v>
      </c>
      <c r="L145" s="4">
        <v>46075</v>
      </c>
      <c r="M145" s="4">
        <v>46073</v>
      </c>
      <c r="N145" s="2" t="s">
        <v>677</v>
      </c>
      <c r="O145" s="2" t="s">
        <v>181</v>
      </c>
      <c r="P145" s="2" t="s">
        <v>895</v>
      </c>
      <c r="Q145" s="2" t="s">
        <v>86</v>
      </c>
      <c r="R145" s="2" t="s">
        <v>595</v>
      </c>
      <c r="S145" s="4">
        <v>46064</v>
      </c>
      <c r="T145" s="2" t="s">
        <v>677</v>
      </c>
      <c r="U145" s="2" t="s">
        <v>181</v>
      </c>
      <c r="V145" s="2" t="s">
        <v>1079</v>
      </c>
      <c r="W145" s="2" t="s">
        <v>86</v>
      </c>
      <c r="X145" s="2" t="s">
        <v>117</v>
      </c>
      <c r="Y145" s="3" t="s">
        <v>118</v>
      </c>
      <c r="Z145" s="3">
        <v>8.69</v>
      </c>
      <c r="AA145" s="2" t="s">
        <v>90</v>
      </c>
      <c r="AB145" s="2" t="s">
        <v>595</v>
      </c>
      <c r="AC145" s="2" t="s">
        <v>596</v>
      </c>
      <c r="AD145" t="str" cm="1">
        <f t="array" ref="AD14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OTC</v>
      </c>
      <c r="AE145" s="2" t="s">
        <v>91</v>
      </c>
      <c r="AF145" s="2" t="s">
        <v>92</v>
      </c>
      <c r="AG145" s="2" t="s">
        <v>119</v>
      </c>
      <c r="AH145" s="2" t="s">
        <v>120</v>
      </c>
      <c r="AK145" s="2" t="s">
        <v>1098</v>
      </c>
      <c r="AN145" s="3">
        <v>1</v>
      </c>
      <c r="AO145" s="3">
        <v>1</v>
      </c>
      <c r="AP145" s="3">
        <v>1</v>
      </c>
      <c r="AQ145" s="3">
        <v>1</v>
      </c>
      <c r="AR145" s="3">
        <v>1</v>
      </c>
      <c r="AS145" s="3">
        <v>0</v>
      </c>
      <c r="AT145" s="3">
        <v>0</v>
      </c>
      <c r="AU145" s="3">
        <v>0</v>
      </c>
      <c r="AV145" s="3">
        <v>0</v>
      </c>
      <c r="AW145" s="3">
        <v>1</v>
      </c>
      <c r="AX145" s="3">
        <v>1</v>
      </c>
      <c r="AY145" s="3">
        <v>0</v>
      </c>
      <c r="AZ145" s="3">
        <v>0</v>
      </c>
      <c r="BA145" s="3">
        <v>1</v>
      </c>
      <c r="BB145" s="3">
        <v>0</v>
      </c>
      <c r="BC145" s="3">
        <v>0</v>
      </c>
      <c r="BD145" s="3">
        <v>0</v>
      </c>
      <c r="BE145" s="3">
        <v>0</v>
      </c>
      <c r="BG145" s="2" t="s">
        <v>91</v>
      </c>
      <c r="BH145" s="3">
        <v>3</v>
      </c>
      <c r="BJ145" s="2" t="s">
        <v>96</v>
      </c>
      <c r="BL145" s="2" t="s">
        <v>123</v>
      </c>
      <c r="BM145" s="2" t="s">
        <v>123</v>
      </c>
      <c r="BN145" s="2" t="s">
        <v>124</v>
      </c>
      <c r="BO145" s="2" t="s">
        <v>125</v>
      </c>
      <c r="BP145" s="2" t="s">
        <v>101</v>
      </c>
      <c r="BQ145" s="2" t="s">
        <v>124</v>
      </c>
      <c r="BR145" s="2" t="s">
        <v>126</v>
      </c>
      <c r="BS145" s="2" t="s">
        <v>127</v>
      </c>
      <c r="BT145" s="2" t="s">
        <v>199</v>
      </c>
      <c r="BU145" s="2" t="s">
        <v>200</v>
      </c>
      <c r="BV145" s="2" t="s">
        <v>166</v>
      </c>
      <c r="BW145" s="2" t="s">
        <v>167</v>
      </c>
      <c r="BX145" s="2" t="s">
        <v>91</v>
      </c>
      <c r="BY14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45" s="2">
        <f>IF(AND(Cases[[#This Row],[Priority Level]]&gt;=3,Cases[[#This Row],[System Role]]&lt;&gt;"Productive"),1,0)</f>
        <v>1</v>
      </c>
      <c r="CA145" s="2">
        <f>IFERROR(IF(Cases[[#This Row],[Days at Customer]]&gt;MAX(1,Cases[[#This Row],[Days at SAP]]*2),1,0),0)</f>
        <v>1</v>
      </c>
      <c r="CB145" s="2">
        <f>IF(AND(Cases[[#This Row],[Initial Component]]&lt;&gt;"",Cases[[#This Row],[Component]]&lt;&gt;"",Cases[[#This Row],[Initial Component]]&lt;&gt;Cases[[#This Row],[Component]]),1,0)</f>
        <v>0</v>
      </c>
      <c r="CC145" s="2">
        <f>IF(OR(Cases[[#This Row],[Is Reopened]]="X",Cases[[#This Row],[No. of Reopenings]]&gt;0),1,0)</f>
        <v>0</v>
      </c>
      <c r="CD145" s="2">
        <f>IF(Cases[[#This Row],[Confirmation Type]]="Automatic",1,0)</f>
        <v>0</v>
      </c>
      <c r="CE145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46" spans="1:83" x14ac:dyDescent="0.2">
      <c r="A146" s="1" t="s">
        <v>1099</v>
      </c>
      <c r="B146" s="2" t="s">
        <v>1090</v>
      </c>
      <c r="C146" s="2" t="s">
        <v>1091</v>
      </c>
      <c r="D146" s="2" t="s">
        <v>238</v>
      </c>
      <c r="E146" s="3">
        <v>3.94</v>
      </c>
      <c r="F146" s="3">
        <v>43.49</v>
      </c>
      <c r="G146" s="2" t="s">
        <v>79</v>
      </c>
      <c r="H146" s="2" t="s">
        <v>178</v>
      </c>
      <c r="I146" s="3" t="s">
        <v>114</v>
      </c>
      <c r="J146" s="3">
        <v>63</v>
      </c>
      <c r="K146" s="2" t="s">
        <v>1100</v>
      </c>
      <c r="L146" s="4">
        <v>46117</v>
      </c>
      <c r="M146" s="4">
        <v>46111</v>
      </c>
      <c r="N146" s="2" t="s">
        <v>180</v>
      </c>
      <c r="O146" s="2" t="s">
        <v>181</v>
      </c>
      <c r="P146" s="2" t="s">
        <v>136</v>
      </c>
      <c r="Q146" s="2" t="s">
        <v>86</v>
      </c>
      <c r="R146" s="2" t="s">
        <v>1093</v>
      </c>
      <c r="S146" s="4">
        <v>46064</v>
      </c>
      <c r="T146" s="2" t="s">
        <v>677</v>
      </c>
      <c r="U146" s="2" t="s">
        <v>181</v>
      </c>
      <c r="V146" s="2" t="s">
        <v>1079</v>
      </c>
      <c r="W146" s="2" t="s">
        <v>86</v>
      </c>
      <c r="X146" s="2" t="s">
        <v>117</v>
      </c>
      <c r="Y146" s="3" t="s">
        <v>118</v>
      </c>
      <c r="Z146" s="3">
        <v>47.43</v>
      </c>
      <c r="AA146" s="2" t="s">
        <v>90</v>
      </c>
      <c r="AB146" s="2" t="s">
        <v>1093</v>
      </c>
      <c r="AC146" s="2" t="s">
        <v>1091</v>
      </c>
      <c r="AD146" t="str" cm="1">
        <f t="array" ref="AD14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146" s="2" t="s">
        <v>91</v>
      </c>
      <c r="AF146" s="2" t="s">
        <v>92</v>
      </c>
      <c r="AG146" s="2" t="s">
        <v>119</v>
      </c>
      <c r="AH146" s="2" t="s">
        <v>120</v>
      </c>
      <c r="AK146" s="2" t="s">
        <v>1101</v>
      </c>
      <c r="AN146" s="3">
        <v>1</v>
      </c>
      <c r="AO146" s="3">
        <v>1</v>
      </c>
      <c r="AP146" s="3">
        <v>1</v>
      </c>
      <c r="AQ146" s="3">
        <v>1</v>
      </c>
      <c r="AR146" s="3">
        <v>1</v>
      </c>
      <c r="AS146" s="3">
        <v>0</v>
      </c>
      <c r="AT146" s="3">
        <v>0</v>
      </c>
      <c r="AU146" s="3">
        <v>0</v>
      </c>
      <c r="AV146" s="3">
        <v>1</v>
      </c>
      <c r="AW146" s="3">
        <v>0</v>
      </c>
      <c r="AX146" s="3">
        <v>1</v>
      </c>
      <c r="AY146" s="3">
        <v>0</v>
      </c>
      <c r="AZ146" s="3">
        <v>0</v>
      </c>
      <c r="BA146" s="3">
        <v>0</v>
      </c>
      <c r="BB146" s="3">
        <v>0</v>
      </c>
      <c r="BC146" s="3">
        <v>1</v>
      </c>
      <c r="BD146" s="3">
        <v>0</v>
      </c>
      <c r="BE146" s="3">
        <v>0</v>
      </c>
      <c r="BG146" s="2" t="s">
        <v>91</v>
      </c>
      <c r="BH146" s="3">
        <v>3</v>
      </c>
      <c r="BJ146" s="2" t="s">
        <v>96</v>
      </c>
      <c r="BL146" s="2" t="s">
        <v>123</v>
      </c>
      <c r="BM146" s="2" t="s">
        <v>123</v>
      </c>
      <c r="BN146" s="2" t="s">
        <v>124</v>
      </c>
      <c r="BO146" s="2" t="s">
        <v>125</v>
      </c>
      <c r="BP146" s="2" t="s">
        <v>242</v>
      </c>
      <c r="BQ146" s="2" t="s">
        <v>124</v>
      </c>
      <c r="BR146" s="2" t="s">
        <v>126</v>
      </c>
      <c r="BS146" s="2" t="s">
        <v>127</v>
      </c>
      <c r="BT146" s="2" t="s">
        <v>207</v>
      </c>
      <c r="BU146" s="2" t="s">
        <v>208</v>
      </c>
      <c r="BV146" s="2" t="s">
        <v>150</v>
      </c>
      <c r="BW146" s="2" t="s">
        <v>151</v>
      </c>
      <c r="BX146" s="2" t="s">
        <v>182</v>
      </c>
      <c r="BY14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46" s="2">
        <f>IF(AND(Cases[[#This Row],[Priority Level]]&gt;=3,Cases[[#This Row],[System Role]]&lt;&gt;"Productive"),1,0)</f>
        <v>0</v>
      </c>
      <c r="CA146" s="2">
        <f>IFERROR(IF(Cases[[#This Row],[Days at Customer]]&gt;MAX(1,Cases[[#This Row],[Days at SAP]]*2),1,0),0)</f>
        <v>1</v>
      </c>
      <c r="CB146" s="2">
        <f>IF(AND(Cases[[#This Row],[Initial Component]]&lt;&gt;"",Cases[[#This Row],[Component]]&lt;&gt;"",Cases[[#This Row],[Initial Component]]&lt;&gt;Cases[[#This Row],[Component]]),1,0)</f>
        <v>0</v>
      </c>
      <c r="CC146" s="2">
        <f>IF(OR(Cases[[#This Row],[Is Reopened]]="X",Cases[[#This Row],[No. of Reopenings]]&gt;0),1,0)</f>
        <v>0</v>
      </c>
      <c r="CD146" s="2">
        <f>IF(Cases[[#This Row],[Confirmation Type]]="Automatic",1,0)</f>
        <v>1</v>
      </c>
      <c r="CE14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47" spans="1:83" x14ac:dyDescent="0.2">
      <c r="A147" s="1" t="s">
        <v>1102</v>
      </c>
      <c r="B147" s="2" t="s">
        <v>1103</v>
      </c>
      <c r="C147" s="2" t="s">
        <v>479</v>
      </c>
      <c r="D147" s="2" t="s">
        <v>238</v>
      </c>
      <c r="E147" s="3">
        <v>3.11</v>
      </c>
      <c r="F147" s="3">
        <v>25.59</v>
      </c>
      <c r="G147" s="2" t="s">
        <v>79</v>
      </c>
      <c r="H147" s="2" t="s">
        <v>155</v>
      </c>
      <c r="I147" s="3" t="s">
        <v>114</v>
      </c>
      <c r="J147" s="3">
        <v>63</v>
      </c>
      <c r="K147" s="2" t="s">
        <v>1104</v>
      </c>
      <c r="L147" s="4">
        <v>46096</v>
      </c>
      <c r="M147" s="4">
        <v>46093</v>
      </c>
      <c r="N147" s="2" t="s">
        <v>180</v>
      </c>
      <c r="O147" s="2" t="s">
        <v>181</v>
      </c>
      <c r="P147" s="2" t="s">
        <v>350</v>
      </c>
      <c r="Q147" s="2" t="s">
        <v>86</v>
      </c>
      <c r="R147" s="2" t="s">
        <v>478</v>
      </c>
      <c r="S147" s="4">
        <v>46064</v>
      </c>
      <c r="T147" s="2" t="s">
        <v>677</v>
      </c>
      <c r="U147" s="2" t="s">
        <v>181</v>
      </c>
      <c r="V147" s="2" t="s">
        <v>1079</v>
      </c>
      <c r="W147" s="2" t="s">
        <v>86</v>
      </c>
      <c r="X147" s="2" t="s">
        <v>117</v>
      </c>
      <c r="Y147" s="3" t="s">
        <v>118</v>
      </c>
      <c r="Z147" s="3">
        <v>28.7</v>
      </c>
      <c r="AA147" s="2" t="s">
        <v>138</v>
      </c>
      <c r="AB147" s="2" t="s">
        <v>478</v>
      </c>
      <c r="AC147" s="2" t="s">
        <v>479</v>
      </c>
      <c r="AD147" t="str" cm="1">
        <f t="array" ref="AD14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147" s="2" t="s">
        <v>139</v>
      </c>
      <c r="AF147" s="2" t="s">
        <v>92</v>
      </c>
      <c r="AG147" s="2" t="s">
        <v>140</v>
      </c>
      <c r="AH147" s="2" t="s">
        <v>141</v>
      </c>
      <c r="AK147" s="2" t="s">
        <v>1105</v>
      </c>
      <c r="AN147" s="3">
        <v>1</v>
      </c>
      <c r="AO147" s="3">
        <v>1</v>
      </c>
      <c r="AP147" s="3">
        <v>1</v>
      </c>
      <c r="AQ147" s="3">
        <v>1</v>
      </c>
      <c r="AR147" s="3">
        <v>0</v>
      </c>
      <c r="AS147" s="3">
        <v>0</v>
      </c>
      <c r="AT147" s="3">
        <v>1</v>
      </c>
      <c r="AU147" s="3">
        <v>0</v>
      </c>
      <c r="AV147" s="3">
        <v>1</v>
      </c>
      <c r="AW147" s="3">
        <v>0</v>
      </c>
      <c r="AX147" s="3">
        <v>0</v>
      </c>
      <c r="AY147" s="3">
        <v>0</v>
      </c>
      <c r="AZ147" s="3">
        <v>1</v>
      </c>
      <c r="BA147" s="3">
        <v>0</v>
      </c>
      <c r="BB147" s="3">
        <v>0</v>
      </c>
      <c r="BC147" s="3">
        <v>1</v>
      </c>
      <c r="BD147" s="3">
        <v>0</v>
      </c>
      <c r="BE147" s="3">
        <v>0</v>
      </c>
      <c r="BG147" s="2" t="s">
        <v>139</v>
      </c>
      <c r="BH147" s="3">
        <v>2</v>
      </c>
      <c r="BJ147" s="2" t="s">
        <v>96</v>
      </c>
      <c r="BL147" s="2" t="s">
        <v>143</v>
      </c>
      <c r="BM147" s="2" t="s">
        <v>144</v>
      </c>
      <c r="BN147" s="2" t="s">
        <v>99</v>
      </c>
      <c r="BO147" s="2" t="s">
        <v>100</v>
      </c>
      <c r="BP147" s="2" t="s">
        <v>242</v>
      </c>
      <c r="BQ147" s="2" t="s">
        <v>145</v>
      </c>
      <c r="BR147" s="2" t="s">
        <v>146</v>
      </c>
      <c r="BS147" s="2" t="s">
        <v>147</v>
      </c>
      <c r="BT147" s="2" t="s">
        <v>148</v>
      </c>
      <c r="BU147" s="2" t="s">
        <v>149</v>
      </c>
      <c r="BV147" s="2" t="s">
        <v>150</v>
      </c>
      <c r="BW147" s="2" t="s">
        <v>151</v>
      </c>
      <c r="BX147" s="2" t="s">
        <v>139</v>
      </c>
      <c r="BY14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47" s="2">
        <f>IF(AND(Cases[[#This Row],[Priority Level]]&gt;=3,Cases[[#This Row],[System Role]]&lt;&gt;"Productive"),1,0)</f>
        <v>0</v>
      </c>
      <c r="CA147" s="2">
        <f>IFERROR(IF(Cases[[#This Row],[Days at Customer]]&gt;MAX(1,Cases[[#This Row],[Days at SAP]]*2),1,0),0)</f>
        <v>1</v>
      </c>
      <c r="CB147" s="2">
        <f>IF(AND(Cases[[#This Row],[Initial Component]]&lt;&gt;"",Cases[[#This Row],[Component]]&lt;&gt;"",Cases[[#This Row],[Initial Component]]&lt;&gt;Cases[[#This Row],[Component]]),1,0)</f>
        <v>0</v>
      </c>
      <c r="CC147" s="2">
        <f>IF(OR(Cases[[#This Row],[Is Reopened]]="X",Cases[[#This Row],[No. of Reopenings]]&gt;0),1,0)</f>
        <v>0</v>
      </c>
      <c r="CD147" s="2">
        <f>IF(Cases[[#This Row],[Confirmation Type]]="Automatic",1,0)</f>
        <v>1</v>
      </c>
      <c r="CE14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48" spans="1:83" x14ac:dyDescent="0.2">
      <c r="A148" s="1" t="s">
        <v>1106</v>
      </c>
      <c r="B148" s="2" t="s">
        <v>1107</v>
      </c>
      <c r="C148" s="2" t="s">
        <v>406</v>
      </c>
      <c r="D148" s="2" t="s">
        <v>78</v>
      </c>
      <c r="E148" s="3">
        <v>8.23</v>
      </c>
      <c r="F148" s="3">
        <v>20.75</v>
      </c>
      <c r="G148" s="2" t="s">
        <v>79</v>
      </c>
      <c r="H148" s="2" t="s">
        <v>178</v>
      </c>
      <c r="I148" s="3" t="s">
        <v>114</v>
      </c>
      <c r="J148" s="3">
        <v>63</v>
      </c>
      <c r="K148" s="2" t="s">
        <v>1108</v>
      </c>
      <c r="L148" s="4">
        <v>46096</v>
      </c>
      <c r="M148" s="4">
        <v>46093</v>
      </c>
      <c r="N148" s="2" t="s">
        <v>180</v>
      </c>
      <c r="O148" s="2" t="s">
        <v>181</v>
      </c>
      <c r="P148" s="2" t="s">
        <v>350</v>
      </c>
      <c r="Q148" s="2" t="s">
        <v>86</v>
      </c>
      <c r="R148" s="2" t="s">
        <v>408</v>
      </c>
      <c r="S148" s="4">
        <v>46064</v>
      </c>
      <c r="T148" s="2" t="s">
        <v>677</v>
      </c>
      <c r="U148" s="2" t="s">
        <v>181</v>
      </c>
      <c r="V148" s="2" t="s">
        <v>1079</v>
      </c>
      <c r="W148" s="2" t="s">
        <v>86</v>
      </c>
      <c r="X148" s="2" t="s">
        <v>117</v>
      </c>
      <c r="Y148" s="3" t="s">
        <v>118</v>
      </c>
      <c r="Z148" s="3">
        <v>28.98</v>
      </c>
      <c r="AA148" s="2" t="s">
        <v>90</v>
      </c>
      <c r="AB148" s="2" t="s">
        <v>408</v>
      </c>
      <c r="AC148" s="2" t="s">
        <v>406</v>
      </c>
      <c r="AD148" t="str" cm="1">
        <f t="array" ref="AD14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148" s="2" t="s">
        <v>139</v>
      </c>
      <c r="AF148" s="2" t="s">
        <v>92</v>
      </c>
      <c r="AG148" s="2" t="s">
        <v>119</v>
      </c>
      <c r="AH148" s="2" t="s">
        <v>120</v>
      </c>
      <c r="AK148" s="2" t="s">
        <v>1109</v>
      </c>
      <c r="AN148" s="3">
        <v>1</v>
      </c>
      <c r="AO148" s="3">
        <v>1</v>
      </c>
      <c r="AP148" s="3">
        <v>1</v>
      </c>
      <c r="AQ148" s="3">
        <v>1</v>
      </c>
      <c r="AR148" s="3">
        <v>1</v>
      </c>
      <c r="AS148" s="3">
        <v>0</v>
      </c>
      <c r="AT148" s="3">
        <v>0</v>
      </c>
      <c r="AU148" s="3">
        <v>0</v>
      </c>
      <c r="AV148" s="3">
        <v>0</v>
      </c>
      <c r="AW148" s="3">
        <v>1</v>
      </c>
      <c r="AX148" s="3">
        <v>1</v>
      </c>
      <c r="AY148" s="3">
        <v>0</v>
      </c>
      <c r="AZ148" s="3">
        <v>0</v>
      </c>
      <c r="BA148" s="3">
        <v>0</v>
      </c>
      <c r="BB148" s="3">
        <v>0</v>
      </c>
      <c r="BC148" s="3">
        <v>1</v>
      </c>
      <c r="BD148" s="3">
        <v>0</v>
      </c>
      <c r="BE148" s="3">
        <v>0</v>
      </c>
      <c r="BG148" s="2" t="s">
        <v>91</v>
      </c>
      <c r="BH148" s="3">
        <v>3</v>
      </c>
      <c r="BJ148" s="2" t="s">
        <v>96</v>
      </c>
      <c r="BL148" s="2" t="s">
        <v>123</v>
      </c>
      <c r="BM148" s="2" t="s">
        <v>123</v>
      </c>
      <c r="BN148" s="2" t="s">
        <v>124</v>
      </c>
      <c r="BO148" s="2" t="s">
        <v>125</v>
      </c>
      <c r="BP148" s="2" t="s">
        <v>101</v>
      </c>
      <c r="BQ148" s="2" t="s">
        <v>124</v>
      </c>
      <c r="BR148" s="2" t="s">
        <v>126</v>
      </c>
      <c r="BS148" s="2" t="s">
        <v>127</v>
      </c>
      <c r="BT148" s="2" t="s">
        <v>207</v>
      </c>
      <c r="BU148" s="2" t="s">
        <v>208</v>
      </c>
      <c r="BV148" s="2" t="s">
        <v>150</v>
      </c>
      <c r="BW148" s="2" t="s">
        <v>151</v>
      </c>
      <c r="BX148" s="2" t="s">
        <v>91</v>
      </c>
      <c r="BY14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48" s="2">
        <f>IF(AND(Cases[[#This Row],[Priority Level]]&gt;=3,Cases[[#This Row],[System Role]]&lt;&gt;"Productive"),1,0)</f>
        <v>0</v>
      </c>
      <c r="CA148" s="2">
        <f>IFERROR(IF(Cases[[#This Row],[Days at Customer]]&gt;MAX(1,Cases[[#This Row],[Days at SAP]]*2),1,0),0)</f>
        <v>1</v>
      </c>
      <c r="CB148" s="2">
        <f>IF(AND(Cases[[#This Row],[Initial Component]]&lt;&gt;"",Cases[[#This Row],[Component]]&lt;&gt;"",Cases[[#This Row],[Initial Component]]&lt;&gt;Cases[[#This Row],[Component]]),1,0)</f>
        <v>0</v>
      </c>
      <c r="CC148" s="2">
        <f>IF(OR(Cases[[#This Row],[Is Reopened]]="X",Cases[[#This Row],[No. of Reopenings]]&gt;0),1,0)</f>
        <v>0</v>
      </c>
      <c r="CD148" s="2">
        <f>IF(Cases[[#This Row],[Confirmation Type]]="Automatic",1,0)</f>
        <v>0</v>
      </c>
      <c r="CE148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49" spans="1:83" x14ac:dyDescent="0.2">
      <c r="A149" s="1" t="s">
        <v>1110</v>
      </c>
      <c r="B149" s="2" t="s">
        <v>1111</v>
      </c>
      <c r="C149" s="2" t="s">
        <v>1112</v>
      </c>
      <c r="D149" s="2" t="s">
        <v>78</v>
      </c>
      <c r="E149" s="3">
        <v>0.09</v>
      </c>
      <c r="F149" s="3">
        <v>0</v>
      </c>
      <c r="G149" s="2" t="s">
        <v>190</v>
      </c>
      <c r="H149" s="2" t="s">
        <v>666</v>
      </c>
      <c r="I149" s="3" t="s">
        <v>114</v>
      </c>
      <c r="J149" s="3">
        <v>63</v>
      </c>
      <c r="K149" s="2" t="s">
        <v>1113</v>
      </c>
      <c r="L149" s="4">
        <v>46082</v>
      </c>
      <c r="M149" s="4">
        <v>46064</v>
      </c>
      <c r="N149" s="2" t="s">
        <v>677</v>
      </c>
      <c r="O149" s="2" t="s">
        <v>181</v>
      </c>
      <c r="P149" s="2" t="s">
        <v>1079</v>
      </c>
      <c r="Q149" s="2" t="s">
        <v>86</v>
      </c>
      <c r="R149" s="2" t="s">
        <v>1114</v>
      </c>
      <c r="S149" s="4">
        <v>46064</v>
      </c>
      <c r="T149" s="2" t="s">
        <v>677</v>
      </c>
      <c r="U149" s="2" t="s">
        <v>181</v>
      </c>
      <c r="V149" s="2" t="s">
        <v>1079</v>
      </c>
      <c r="W149" s="2" t="s">
        <v>86</v>
      </c>
      <c r="X149" s="2" t="s">
        <v>117</v>
      </c>
      <c r="Y149" s="3" t="s">
        <v>118</v>
      </c>
      <c r="Z149" s="3">
        <v>0.09</v>
      </c>
      <c r="AA149" s="2" t="s">
        <v>138</v>
      </c>
      <c r="AB149" s="2" t="s">
        <v>1114</v>
      </c>
      <c r="AC149" s="2" t="s">
        <v>1112</v>
      </c>
      <c r="AD149" t="str" cm="1">
        <f t="array" ref="AD14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149" s="2" t="s">
        <v>182</v>
      </c>
      <c r="AF149" s="2" t="s">
        <v>92</v>
      </c>
      <c r="AG149" s="2" t="s">
        <v>140</v>
      </c>
      <c r="AH149" s="2" t="s">
        <v>141</v>
      </c>
      <c r="AK149" s="2" t="s">
        <v>1115</v>
      </c>
      <c r="AN149" s="3">
        <v>1</v>
      </c>
      <c r="AO149" s="3">
        <v>1</v>
      </c>
      <c r="AP149" s="3">
        <v>1</v>
      </c>
      <c r="AQ149" s="3">
        <v>1</v>
      </c>
      <c r="AR149" s="3">
        <v>1</v>
      </c>
      <c r="AS149" s="3">
        <v>0</v>
      </c>
      <c r="AT149" s="3">
        <v>0</v>
      </c>
      <c r="AU149" s="3">
        <v>0</v>
      </c>
      <c r="AV149" s="3">
        <v>0</v>
      </c>
      <c r="AW149" s="3">
        <v>1</v>
      </c>
      <c r="AX149" s="3">
        <v>1</v>
      </c>
      <c r="AY149" s="3">
        <v>0</v>
      </c>
      <c r="AZ149" s="3">
        <v>0</v>
      </c>
      <c r="BA149" s="3">
        <v>1</v>
      </c>
      <c r="BB149" s="3">
        <v>0</v>
      </c>
      <c r="BC149" s="3">
        <v>0</v>
      </c>
      <c r="BD149" s="3">
        <v>0</v>
      </c>
      <c r="BE149" s="3">
        <v>0</v>
      </c>
      <c r="BG149" s="2" t="s">
        <v>91</v>
      </c>
      <c r="BH149" s="3">
        <v>3</v>
      </c>
      <c r="BJ149" s="2" t="s">
        <v>96</v>
      </c>
      <c r="BL149" s="2" t="s">
        <v>143</v>
      </c>
      <c r="BM149" s="2" t="s">
        <v>144</v>
      </c>
      <c r="BN149" s="2" t="s">
        <v>99</v>
      </c>
      <c r="BO149" s="2" t="s">
        <v>100</v>
      </c>
      <c r="BP149" s="2" t="s">
        <v>101</v>
      </c>
      <c r="BQ149" s="2" t="s">
        <v>145</v>
      </c>
      <c r="BR149" s="2" t="s">
        <v>146</v>
      </c>
      <c r="BS149" s="2" t="s">
        <v>147</v>
      </c>
      <c r="BT149" s="2" t="s">
        <v>148</v>
      </c>
      <c r="BU149" s="2" t="s">
        <v>262</v>
      </c>
      <c r="BV149" s="2" t="s">
        <v>107</v>
      </c>
      <c r="BW149" s="2" t="s">
        <v>108</v>
      </c>
      <c r="BX149" s="2" t="s">
        <v>182</v>
      </c>
      <c r="BY14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49" s="2">
        <f>IF(AND(Cases[[#This Row],[Priority Level]]&gt;=3,Cases[[#This Row],[System Role]]&lt;&gt;"Productive"),1,0)</f>
        <v>1</v>
      </c>
      <c r="CA149" s="2">
        <f>IFERROR(IF(Cases[[#This Row],[Days at Customer]]&gt;MAX(1,Cases[[#This Row],[Days at SAP]]*2),1,0),0)</f>
        <v>0</v>
      </c>
      <c r="CB149" s="2">
        <f>IF(AND(Cases[[#This Row],[Initial Component]]&lt;&gt;"",Cases[[#This Row],[Component]]&lt;&gt;"",Cases[[#This Row],[Initial Component]]&lt;&gt;Cases[[#This Row],[Component]]),1,0)</f>
        <v>0</v>
      </c>
      <c r="CC149" s="2">
        <f>IF(OR(Cases[[#This Row],[Is Reopened]]="X",Cases[[#This Row],[No. of Reopenings]]&gt;0),1,0)</f>
        <v>0</v>
      </c>
      <c r="CD149" s="2">
        <f>IF(Cases[[#This Row],[Confirmation Type]]="Automatic",1,0)</f>
        <v>0</v>
      </c>
      <c r="CE149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50" spans="1:83" x14ac:dyDescent="0.2">
      <c r="A150" s="1" t="s">
        <v>1116</v>
      </c>
      <c r="B150" s="2" t="s">
        <v>1117</v>
      </c>
      <c r="C150" s="2" t="s">
        <v>793</v>
      </c>
      <c r="D150" s="2" t="s">
        <v>238</v>
      </c>
      <c r="E150" s="3">
        <v>19.41</v>
      </c>
      <c r="F150" s="3">
        <v>29.64</v>
      </c>
      <c r="G150" s="2" t="s">
        <v>79</v>
      </c>
      <c r="H150" s="2" t="s">
        <v>178</v>
      </c>
      <c r="I150" s="3" t="s">
        <v>114</v>
      </c>
      <c r="J150" s="3">
        <v>63</v>
      </c>
      <c r="K150" s="2" t="s">
        <v>1118</v>
      </c>
      <c r="L150" s="4">
        <v>46117</v>
      </c>
      <c r="M150" s="4">
        <v>46114</v>
      </c>
      <c r="N150" s="2" t="s">
        <v>83</v>
      </c>
      <c r="O150" s="2" t="s">
        <v>84</v>
      </c>
      <c r="P150" s="2" t="s">
        <v>136</v>
      </c>
      <c r="Q150" s="2" t="s">
        <v>86</v>
      </c>
      <c r="R150" s="2" t="s">
        <v>795</v>
      </c>
      <c r="S150" s="4">
        <v>46064</v>
      </c>
      <c r="T150" s="2" t="s">
        <v>677</v>
      </c>
      <c r="U150" s="2" t="s">
        <v>181</v>
      </c>
      <c r="V150" s="2" t="s">
        <v>1079</v>
      </c>
      <c r="W150" s="2" t="s">
        <v>86</v>
      </c>
      <c r="X150" s="2" t="s">
        <v>117</v>
      </c>
      <c r="Y150" s="3" t="s">
        <v>118</v>
      </c>
      <c r="Z150" s="3">
        <v>49.05</v>
      </c>
      <c r="AA150" s="2" t="s">
        <v>138</v>
      </c>
      <c r="AB150" s="2" t="s">
        <v>443</v>
      </c>
      <c r="AC150" s="2" t="s">
        <v>444</v>
      </c>
      <c r="AD150" t="str" cm="1">
        <f t="array" ref="AD15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150" s="2" t="s">
        <v>139</v>
      </c>
      <c r="AF150" s="2" t="s">
        <v>92</v>
      </c>
      <c r="AG150" s="2" t="s">
        <v>274</v>
      </c>
      <c r="AH150" s="2" t="s">
        <v>275</v>
      </c>
      <c r="AK150" s="2" t="s">
        <v>1119</v>
      </c>
      <c r="AN150" s="3">
        <v>1</v>
      </c>
      <c r="AO150" s="3">
        <v>1</v>
      </c>
      <c r="AP150" s="3">
        <v>1</v>
      </c>
      <c r="AQ150" s="3">
        <v>1</v>
      </c>
      <c r="AR150" s="3">
        <v>1</v>
      </c>
      <c r="AS150" s="3">
        <v>0</v>
      </c>
      <c r="AT150" s="3">
        <v>0</v>
      </c>
      <c r="AU150" s="3">
        <v>0</v>
      </c>
      <c r="AV150" s="3">
        <v>1</v>
      </c>
      <c r="AW150" s="3">
        <v>0</v>
      </c>
      <c r="AX150" s="3">
        <v>1</v>
      </c>
      <c r="AY150" s="3">
        <v>0</v>
      </c>
      <c r="AZ150" s="3">
        <v>0</v>
      </c>
      <c r="BA150" s="3">
        <v>1</v>
      </c>
      <c r="BB150" s="3">
        <v>0</v>
      </c>
      <c r="BC150" s="3">
        <v>0</v>
      </c>
      <c r="BD150" s="3">
        <v>0</v>
      </c>
      <c r="BE150" s="3">
        <v>0</v>
      </c>
      <c r="BG150" s="2" t="s">
        <v>91</v>
      </c>
      <c r="BH150" s="3">
        <v>3</v>
      </c>
      <c r="BJ150" s="2" t="s">
        <v>96</v>
      </c>
      <c r="BL150" s="2" t="s">
        <v>446</v>
      </c>
      <c r="BM150" s="2" t="s">
        <v>447</v>
      </c>
      <c r="BN150" s="2" t="s">
        <v>279</v>
      </c>
      <c r="BO150" s="2" t="s">
        <v>280</v>
      </c>
      <c r="BP150" s="2" t="s">
        <v>242</v>
      </c>
      <c r="BQ150" s="2" t="s">
        <v>448</v>
      </c>
      <c r="BR150" s="2" t="s">
        <v>449</v>
      </c>
      <c r="BS150" s="2" t="s">
        <v>450</v>
      </c>
      <c r="BT150" s="2" t="s">
        <v>451</v>
      </c>
      <c r="BU150" s="2" t="s">
        <v>452</v>
      </c>
      <c r="BV150" s="2" t="s">
        <v>166</v>
      </c>
      <c r="BW150" s="2" t="s">
        <v>167</v>
      </c>
      <c r="BX150" s="2" t="s">
        <v>91</v>
      </c>
      <c r="BY15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50" s="2">
        <f>IF(AND(Cases[[#This Row],[Priority Level]]&gt;=3,Cases[[#This Row],[System Role]]&lt;&gt;"Productive"),1,0)</f>
        <v>1</v>
      </c>
      <c r="CA150" s="2">
        <f>IFERROR(IF(Cases[[#This Row],[Days at Customer]]&gt;MAX(1,Cases[[#This Row],[Days at SAP]]*2),1,0),0)</f>
        <v>0</v>
      </c>
      <c r="CB150" s="2">
        <f>IF(AND(Cases[[#This Row],[Initial Component]]&lt;&gt;"",Cases[[#This Row],[Component]]&lt;&gt;"",Cases[[#This Row],[Initial Component]]&lt;&gt;Cases[[#This Row],[Component]]),1,0)</f>
        <v>1</v>
      </c>
      <c r="CC150" s="2">
        <f>IF(OR(Cases[[#This Row],[Is Reopened]]="X",Cases[[#This Row],[No. of Reopenings]]&gt;0),1,0)</f>
        <v>0</v>
      </c>
      <c r="CD150" s="2">
        <f>IF(Cases[[#This Row],[Confirmation Type]]="Automatic",1,0)</f>
        <v>1</v>
      </c>
      <c r="CE150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151" spans="1:83" x14ac:dyDescent="0.2">
      <c r="A151" s="1" t="s">
        <v>1120</v>
      </c>
      <c r="B151" s="2" t="s">
        <v>1121</v>
      </c>
      <c r="C151" s="2" t="s">
        <v>1122</v>
      </c>
      <c r="D151" s="2" t="s">
        <v>238</v>
      </c>
      <c r="E151" s="3">
        <v>4.59</v>
      </c>
      <c r="F151" s="3">
        <v>23.69</v>
      </c>
      <c r="G151" s="2" t="s">
        <v>79</v>
      </c>
      <c r="H151" s="2" t="s">
        <v>80</v>
      </c>
      <c r="I151" s="3" t="s">
        <v>114</v>
      </c>
      <c r="J151" s="3">
        <v>64</v>
      </c>
      <c r="K151" s="2" t="s">
        <v>1123</v>
      </c>
      <c r="L151" s="4">
        <v>46096</v>
      </c>
      <c r="M151" s="4">
        <v>46091</v>
      </c>
      <c r="N151" s="2" t="s">
        <v>180</v>
      </c>
      <c r="O151" s="2" t="s">
        <v>181</v>
      </c>
      <c r="P151" s="2" t="s">
        <v>350</v>
      </c>
      <c r="Q151" s="2" t="s">
        <v>86</v>
      </c>
      <c r="R151" s="2" t="s">
        <v>1124</v>
      </c>
      <c r="S151" s="4">
        <v>46063</v>
      </c>
      <c r="T151" s="2" t="s">
        <v>677</v>
      </c>
      <c r="U151" s="2" t="s">
        <v>181</v>
      </c>
      <c r="V151" s="2" t="s">
        <v>1079</v>
      </c>
      <c r="W151" s="2" t="s">
        <v>86</v>
      </c>
      <c r="X151" s="2" t="s">
        <v>117</v>
      </c>
      <c r="Y151" s="3" t="s">
        <v>118</v>
      </c>
      <c r="Z151" s="3">
        <v>28.27</v>
      </c>
      <c r="AA151" s="2" t="s">
        <v>90</v>
      </c>
      <c r="AB151" s="2" t="s">
        <v>1124</v>
      </c>
      <c r="AC151" s="2" t="s">
        <v>1122</v>
      </c>
      <c r="AD151" t="str" cm="1">
        <f t="array" ref="AD15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151" s="2" t="s">
        <v>91</v>
      </c>
      <c r="AF151" s="2" t="s">
        <v>92</v>
      </c>
      <c r="AG151" s="2" t="s">
        <v>119</v>
      </c>
      <c r="AH151" s="2" t="s">
        <v>120</v>
      </c>
      <c r="AK151" s="2" t="s">
        <v>1125</v>
      </c>
      <c r="AN151" s="3">
        <v>1</v>
      </c>
      <c r="AO151" s="3">
        <v>1</v>
      </c>
      <c r="AP151" s="3">
        <v>1</v>
      </c>
      <c r="AQ151" s="3">
        <v>1</v>
      </c>
      <c r="AR151" s="3">
        <v>1</v>
      </c>
      <c r="AS151" s="3">
        <v>0</v>
      </c>
      <c r="AT151" s="3">
        <v>0</v>
      </c>
      <c r="AU151" s="3">
        <v>0</v>
      </c>
      <c r="AV151" s="3">
        <v>1</v>
      </c>
      <c r="AW151" s="3">
        <v>0</v>
      </c>
      <c r="AX151" s="3">
        <v>1</v>
      </c>
      <c r="AY151" s="3">
        <v>0</v>
      </c>
      <c r="AZ151" s="3">
        <v>0</v>
      </c>
      <c r="BA151" s="3">
        <v>0</v>
      </c>
      <c r="BB151" s="3">
        <v>0</v>
      </c>
      <c r="BC151" s="3">
        <v>1</v>
      </c>
      <c r="BD151" s="3">
        <v>0</v>
      </c>
      <c r="BE151" s="3">
        <v>0</v>
      </c>
      <c r="BG151" s="2" t="s">
        <v>91</v>
      </c>
      <c r="BH151" s="3">
        <v>3</v>
      </c>
      <c r="BJ151" s="2" t="s">
        <v>96</v>
      </c>
      <c r="BL151" s="2" t="s">
        <v>123</v>
      </c>
      <c r="BM151" s="2" t="s">
        <v>123</v>
      </c>
      <c r="BN151" s="2" t="s">
        <v>124</v>
      </c>
      <c r="BO151" s="2" t="s">
        <v>125</v>
      </c>
      <c r="BP151" s="2" t="s">
        <v>242</v>
      </c>
      <c r="BQ151" s="2" t="s">
        <v>124</v>
      </c>
      <c r="BR151" s="2" t="s">
        <v>126</v>
      </c>
      <c r="BS151" s="2" t="s">
        <v>127</v>
      </c>
      <c r="BT151" s="2" t="s">
        <v>207</v>
      </c>
      <c r="BU151" s="2" t="s">
        <v>208</v>
      </c>
      <c r="BV151" s="2" t="s">
        <v>150</v>
      </c>
      <c r="BW151" s="2" t="s">
        <v>151</v>
      </c>
      <c r="BX151" s="2" t="s">
        <v>91</v>
      </c>
      <c r="BY15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51" s="2">
        <f>IF(AND(Cases[[#This Row],[Priority Level]]&gt;=3,Cases[[#This Row],[System Role]]&lt;&gt;"Productive"),1,0)</f>
        <v>0</v>
      </c>
      <c r="CA151" s="2">
        <f>IFERROR(IF(Cases[[#This Row],[Days at Customer]]&gt;MAX(1,Cases[[#This Row],[Days at SAP]]*2),1,0),0)</f>
        <v>1</v>
      </c>
      <c r="CB151" s="2">
        <f>IF(AND(Cases[[#This Row],[Initial Component]]&lt;&gt;"",Cases[[#This Row],[Component]]&lt;&gt;"",Cases[[#This Row],[Initial Component]]&lt;&gt;Cases[[#This Row],[Component]]),1,0)</f>
        <v>0</v>
      </c>
      <c r="CC151" s="2">
        <f>IF(OR(Cases[[#This Row],[Is Reopened]]="X",Cases[[#This Row],[No. of Reopenings]]&gt;0),1,0)</f>
        <v>0</v>
      </c>
      <c r="CD151" s="2">
        <f>IF(Cases[[#This Row],[Confirmation Type]]="Automatic",1,0)</f>
        <v>1</v>
      </c>
      <c r="CE151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52" spans="1:83" x14ac:dyDescent="0.2">
      <c r="A152" s="1" t="s">
        <v>1126</v>
      </c>
      <c r="B152" s="2" t="s">
        <v>1127</v>
      </c>
      <c r="C152" s="2" t="s">
        <v>1128</v>
      </c>
      <c r="D152" s="2" t="s">
        <v>238</v>
      </c>
      <c r="E152" s="3">
        <v>1.28</v>
      </c>
      <c r="F152" s="3">
        <v>21.26</v>
      </c>
      <c r="G152" s="2" t="s">
        <v>79</v>
      </c>
      <c r="H152" s="2" t="s">
        <v>80</v>
      </c>
      <c r="I152" s="3" t="s">
        <v>114</v>
      </c>
      <c r="J152" s="3">
        <v>65</v>
      </c>
      <c r="K152" s="2" t="s">
        <v>1129</v>
      </c>
      <c r="L152" s="4">
        <v>46089</v>
      </c>
      <c r="M152" s="4">
        <v>46085</v>
      </c>
      <c r="N152" s="2" t="s">
        <v>180</v>
      </c>
      <c r="O152" s="2" t="s">
        <v>181</v>
      </c>
      <c r="P152" s="2" t="s">
        <v>526</v>
      </c>
      <c r="Q152" s="2" t="s">
        <v>86</v>
      </c>
      <c r="R152" s="2" t="s">
        <v>1130</v>
      </c>
      <c r="S152" s="4">
        <v>46062</v>
      </c>
      <c r="T152" s="2" t="s">
        <v>677</v>
      </c>
      <c r="U152" s="2" t="s">
        <v>181</v>
      </c>
      <c r="V152" s="2" t="s">
        <v>1079</v>
      </c>
      <c r="W152" s="2" t="s">
        <v>86</v>
      </c>
      <c r="X152" s="2" t="s">
        <v>117</v>
      </c>
      <c r="Y152" s="3" t="s">
        <v>118</v>
      </c>
      <c r="Z152" s="3">
        <v>22.54</v>
      </c>
      <c r="AA152" s="2" t="s">
        <v>90</v>
      </c>
      <c r="AB152" s="2" t="s">
        <v>333</v>
      </c>
      <c r="AC152" s="2" t="s">
        <v>330</v>
      </c>
      <c r="AD152" t="str" cm="1">
        <f t="array" ref="AD15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152" s="2" t="s">
        <v>91</v>
      </c>
      <c r="AF152" s="2" t="s">
        <v>998</v>
      </c>
      <c r="AG152" s="2" t="s">
        <v>540</v>
      </c>
      <c r="AH152" s="2" t="s">
        <v>541</v>
      </c>
      <c r="AK152" s="2" t="s">
        <v>1131</v>
      </c>
      <c r="AN152" s="3">
        <v>1</v>
      </c>
      <c r="AO152" s="3">
        <v>1</v>
      </c>
      <c r="AP152" s="3">
        <v>1</v>
      </c>
      <c r="AQ152" s="3">
        <v>1</v>
      </c>
      <c r="AR152" s="3">
        <v>1</v>
      </c>
      <c r="AS152" s="3">
        <v>0</v>
      </c>
      <c r="AT152" s="3">
        <v>0</v>
      </c>
      <c r="AU152" s="3">
        <v>0</v>
      </c>
      <c r="AV152" s="3">
        <v>1</v>
      </c>
      <c r="AW152" s="3">
        <v>0</v>
      </c>
      <c r="AX152" s="3">
        <v>1</v>
      </c>
      <c r="AY152" s="3">
        <v>0</v>
      </c>
      <c r="AZ152" s="3">
        <v>0</v>
      </c>
      <c r="BA152" s="3">
        <v>0</v>
      </c>
      <c r="BB152" s="3">
        <v>0</v>
      </c>
      <c r="BC152" s="3">
        <v>1</v>
      </c>
      <c r="BD152" s="3">
        <v>0</v>
      </c>
      <c r="BE152" s="3">
        <v>0</v>
      </c>
      <c r="BG152" s="2" t="s">
        <v>91</v>
      </c>
      <c r="BH152" s="3">
        <v>3</v>
      </c>
      <c r="BJ152" s="2" t="s">
        <v>96</v>
      </c>
      <c r="BL152" s="2" t="s">
        <v>382</v>
      </c>
      <c r="BM152" s="2" t="s">
        <v>382</v>
      </c>
      <c r="BN152" s="2" t="s">
        <v>99</v>
      </c>
      <c r="BO152" s="2" t="s">
        <v>100</v>
      </c>
      <c r="BP152" s="2" t="s">
        <v>242</v>
      </c>
      <c r="BQ152" s="2" t="s">
        <v>383</v>
      </c>
      <c r="BR152" s="2" t="s">
        <v>384</v>
      </c>
      <c r="BS152" s="2" t="s">
        <v>713</v>
      </c>
      <c r="BT152" s="2" t="s">
        <v>1132</v>
      </c>
      <c r="BU152" s="2" t="s">
        <v>1133</v>
      </c>
      <c r="BV152" s="2" t="s">
        <v>150</v>
      </c>
      <c r="BW152" s="2" t="s">
        <v>151</v>
      </c>
      <c r="BX152" s="2" t="s">
        <v>91</v>
      </c>
      <c r="BY15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52" s="2">
        <f>IF(AND(Cases[[#This Row],[Priority Level]]&gt;=3,Cases[[#This Row],[System Role]]&lt;&gt;"Productive"),1,0)</f>
        <v>0</v>
      </c>
      <c r="CA152" s="2">
        <f>IFERROR(IF(Cases[[#This Row],[Days at Customer]]&gt;MAX(1,Cases[[#This Row],[Days at SAP]]*2),1,0),0)</f>
        <v>1</v>
      </c>
      <c r="CB152" s="2">
        <f>IF(AND(Cases[[#This Row],[Initial Component]]&lt;&gt;"",Cases[[#This Row],[Component]]&lt;&gt;"",Cases[[#This Row],[Initial Component]]&lt;&gt;Cases[[#This Row],[Component]]),1,0)</f>
        <v>1</v>
      </c>
      <c r="CC152" s="2">
        <f>IF(OR(Cases[[#This Row],[Is Reopened]]="X",Cases[[#This Row],[No. of Reopenings]]&gt;0),1,0)</f>
        <v>0</v>
      </c>
      <c r="CD152" s="2">
        <f>IF(Cases[[#This Row],[Confirmation Type]]="Automatic",1,0)</f>
        <v>1</v>
      </c>
      <c r="CE152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53" spans="1:83" x14ac:dyDescent="0.2">
      <c r="A153" s="1" t="s">
        <v>1134</v>
      </c>
      <c r="B153" s="2" t="s">
        <v>1135</v>
      </c>
      <c r="C153" s="2" t="s">
        <v>1136</v>
      </c>
      <c r="D153" s="2" t="s">
        <v>238</v>
      </c>
      <c r="E153" s="3">
        <v>1.1299999999999999</v>
      </c>
      <c r="F153" s="3">
        <v>21.62</v>
      </c>
      <c r="G153" s="2" t="s">
        <v>79</v>
      </c>
      <c r="H153" s="2" t="s">
        <v>155</v>
      </c>
      <c r="I153" s="3" t="s">
        <v>114</v>
      </c>
      <c r="J153" s="3">
        <v>65</v>
      </c>
      <c r="K153" s="2" t="s">
        <v>1137</v>
      </c>
      <c r="L153" s="4">
        <v>46089</v>
      </c>
      <c r="M153" s="4">
        <v>46085</v>
      </c>
      <c r="N153" s="2" t="s">
        <v>180</v>
      </c>
      <c r="O153" s="2" t="s">
        <v>181</v>
      </c>
      <c r="P153" s="2" t="s">
        <v>526</v>
      </c>
      <c r="Q153" s="2" t="s">
        <v>86</v>
      </c>
      <c r="R153" s="2" t="s">
        <v>1138</v>
      </c>
      <c r="S153" s="4">
        <v>46062</v>
      </c>
      <c r="T153" s="2" t="s">
        <v>677</v>
      </c>
      <c r="U153" s="2" t="s">
        <v>181</v>
      </c>
      <c r="V153" s="2" t="s">
        <v>1079</v>
      </c>
      <c r="W153" s="2" t="s">
        <v>86</v>
      </c>
      <c r="X153" s="2" t="s">
        <v>117</v>
      </c>
      <c r="Y153" s="3" t="s">
        <v>118</v>
      </c>
      <c r="Z153" s="3">
        <v>22.76</v>
      </c>
      <c r="AA153" s="2" t="s">
        <v>90</v>
      </c>
      <c r="AB153" s="2" t="s">
        <v>1139</v>
      </c>
      <c r="AC153" s="2" t="s">
        <v>1140</v>
      </c>
      <c r="AD153" t="str" cm="1">
        <f t="array" ref="AD15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153" s="2" t="s">
        <v>139</v>
      </c>
      <c r="AF153" s="2" t="s">
        <v>92</v>
      </c>
      <c r="AG153" s="2" t="s">
        <v>119</v>
      </c>
      <c r="AH153" s="2" t="s">
        <v>120</v>
      </c>
      <c r="AK153" s="2" t="s">
        <v>1141</v>
      </c>
      <c r="AN153" s="3">
        <v>1</v>
      </c>
      <c r="AO153" s="3">
        <v>1</v>
      </c>
      <c r="AP153" s="3">
        <v>1</v>
      </c>
      <c r="AQ153" s="3">
        <v>1</v>
      </c>
      <c r="AR153" s="3">
        <v>0</v>
      </c>
      <c r="AS153" s="3">
        <v>0</v>
      </c>
      <c r="AT153" s="3">
        <v>1</v>
      </c>
      <c r="AU153" s="3">
        <v>0</v>
      </c>
      <c r="AV153" s="3">
        <v>1</v>
      </c>
      <c r="AW153" s="3">
        <v>0</v>
      </c>
      <c r="AX153" s="3">
        <v>0</v>
      </c>
      <c r="AY153" s="3">
        <v>0</v>
      </c>
      <c r="AZ153" s="3">
        <v>1</v>
      </c>
      <c r="BA153" s="3">
        <v>1</v>
      </c>
      <c r="BB153" s="3">
        <v>0</v>
      </c>
      <c r="BC153" s="3">
        <v>0</v>
      </c>
      <c r="BD153" s="3">
        <v>0</v>
      </c>
      <c r="BE153" s="3">
        <v>0</v>
      </c>
      <c r="BG153" s="2" t="s">
        <v>139</v>
      </c>
      <c r="BH153" s="3">
        <v>2</v>
      </c>
      <c r="BJ153" s="2" t="s">
        <v>96</v>
      </c>
      <c r="BL153" s="2" t="s">
        <v>123</v>
      </c>
      <c r="BM153" s="2" t="s">
        <v>123</v>
      </c>
      <c r="BN153" s="2" t="s">
        <v>124</v>
      </c>
      <c r="BO153" s="2" t="s">
        <v>125</v>
      </c>
      <c r="BP153" s="2" t="s">
        <v>242</v>
      </c>
      <c r="BQ153" s="2" t="s">
        <v>124</v>
      </c>
      <c r="BR153" s="2" t="s">
        <v>126</v>
      </c>
      <c r="BS153" s="2" t="s">
        <v>713</v>
      </c>
      <c r="BT153" s="2" t="s">
        <v>1142</v>
      </c>
      <c r="BU153" s="2" t="s">
        <v>1143</v>
      </c>
      <c r="BV153" s="2" t="s">
        <v>166</v>
      </c>
      <c r="BW153" s="2" t="s">
        <v>167</v>
      </c>
      <c r="BX153" s="2" t="s">
        <v>139</v>
      </c>
      <c r="BY15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53" s="2">
        <f>IF(AND(Cases[[#This Row],[Priority Level]]&gt;=3,Cases[[#This Row],[System Role]]&lt;&gt;"Productive"),1,0)</f>
        <v>0</v>
      </c>
      <c r="CA153" s="2">
        <f>IFERROR(IF(Cases[[#This Row],[Days at Customer]]&gt;MAX(1,Cases[[#This Row],[Days at SAP]]*2),1,0),0)</f>
        <v>1</v>
      </c>
      <c r="CB153" s="2">
        <f>IF(AND(Cases[[#This Row],[Initial Component]]&lt;&gt;"",Cases[[#This Row],[Component]]&lt;&gt;"",Cases[[#This Row],[Initial Component]]&lt;&gt;Cases[[#This Row],[Component]]),1,0)</f>
        <v>1</v>
      </c>
      <c r="CC153" s="2">
        <f>IF(OR(Cases[[#This Row],[Is Reopened]]="X",Cases[[#This Row],[No. of Reopenings]]&gt;0),1,0)</f>
        <v>0</v>
      </c>
      <c r="CD153" s="2">
        <f>IF(Cases[[#This Row],[Confirmation Type]]="Automatic",1,0)</f>
        <v>1</v>
      </c>
      <c r="CE153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154" spans="1:83" x14ac:dyDescent="0.2">
      <c r="A154" s="1" t="s">
        <v>1144</v>
      </c>
      <c r="B154" s="2" t="s">
        <v>1145</v>
      </c>
      <c r="C154" s="2" t="s">
        <v>77</v>
      </c>
      <c r="D154" s="2" t="s">
        <v>78</v>
      </c>
      <c r="E154" s="3">
        <v>4.1900000000000004</v>
      </c>
      <c r="F154" s="3">
        <v>3.94</v>
      </c>
      <c r="G154" s="2" t="s">
        <v>79</v>
      </c>
      <c r="H154" s="2" t="s">
        <v>178</v>
      </c>
      <c r="I154" s="3" t="s">
        <v>114</v>
      </c>
      <c r="J154" s="3">
        <v>65</v>
      </c>
      <c r="K154" s="2" t="s">
        <v>1146</v>
      </c>
      <c r="L154" s="4">
        <v>46075</v>
      </c>
      <c r="M154" s="4">
        <v>46070</v>
      </c>
      <c r="N154" s="2" t="s">
        <v>677</v>
      </c>
      <c r="O154" s="2" t="s">
        <v>181</v>
      </c>
      <c r="P154" s="2" t="s">
        <v>895</v>
      </c>
      <c r="Q154" s="2" t="s">
        <v>86</v>
      </c>
      <c r="R154" s="2" t="s">
        <v>87</v>
      </c>
      <c r="S154" s="4">
        <v>46062</v>
      </c>
      <c r="T154" s="2" t="s">
        <v>677</v>
      </c>
      <c r="U154" s="2" t="s">
        <v>181</v>
      </c>
      <c r="V154" s="2" t="s">
        <v>1079</v>
      </c>
      <c r="W154" s="2" t="s">
        <v>86</v>
      </c>
      <c r="X154" s="2" t="s">
        <v>117</v>
      </c>
      <c r="Y154" s="3" t="s">
        <v>118</v>
      </c>
      <c r="Z154" s="3">
        <v>8.1199999999999992</v>
      </c>
      <c r="AA154" s="2" t="s">
        <v>90</v>
      </c>
      <c r="AB154" s="2" t="s">
        <v>87</v>
      </c>
      <c r="AC154" s="2" t="s">
        <v>77</v>
      </c>
      <c r="AD154" t="str" cm="1">
        <f t="array" ref="AD15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154" s="2" t="s">
        <v>91</v>
      </c>
      <c r="AF154" s="2" t="s">
        <v>92</v>
      </c>
      <c r="AG154" s="2" t="s">
        <v>119</v>
      </c>
      <c r="AH154" s="2" t="s">
        <v>120</v>
      </c>
      <c r="AK154" s="2" t="s">
        <v>1147</v>
      </c>
      <c r="AN154" s="3">
        <v>1</v>
      </c>
      <c r="AO154" s="3">
        <v>1</v>
      </c>
      <c r="AP154" s="3">
        <v>1</v>
      </c>
      <c r="AQ154" s="3">
        <v>1</v>
      </c>
      <c r="AR154" s="3">
        <v>1</v>
      </c>
      <c r="AS154" s="3">
        <v>0</v>
      </c>
      <c r="AT154" s="3">
        <v>0</v>
      </c>
      <c r="AU154" s="3">
        <v>0</v>
      </c>
      <c r="AV154" s="3">
        <v>0</v>
      </c>
      <c r="AW154" s="3">
        <v>1</v>
      </c>
      <c r="AX154" s="3">
        <v>1</v>
      </c>
      <c r="AY154" s="3">
        <v>0</v>
      </c>
      <c r="AZ154" s="3">
        <v>0</v>
      </c>
      <c r="BA154" s="3">
        <v>1</v>
      </c>
      <c r="BB154" s="3">
        <v>0</v>
      </c>
      <c r="BC154" s="3">
        <v>0</v>
      </c>
      <c r="BD154" s="3">
        <v>0</v>
      </c>
      <c r="BE154" s="3">
        <v>0</v>
      </c>
      <c r="BG154" s="2" t="s">
        <v>91</v>
      </c>
      <c r="BH154" s="3">
        <v>3</v>
      </c>
      <c r="BJ154" s="2" t="s">
        <v>96</v>
      </c>
      <c r="BL154" s="2" t="s">
        <v>123</v>
      </c>
      <c r="BM154" s="2" t="s">
        <v>123</v>
      </c>
      <c r="BN154" s="2" t="s">
        <v>124</v>
      </c>
      <c r="BO154" s="2" t="s">
        <v>125</v>
      </c>
      <c r="BP154" s="2" t="s">
        <v>101</v>
      </c>
      <c r="BQ154" s="2" t="s">
        <v>124</v>
      </c>
      <c r="BR154" s="2" t="s">
        <v>126</v>
      </c>
      <c r="BS154" s="2" t="s">
        <v>127</v>
      </c>
      <c r="BT154" s="2" t="s">
        <v>199</v>
      </c>
      <c r="BU154" s="2" t="s">
        <v>200</v>
      </c>
      <c r="BV154" s="2" t="s">
        <v>166</v>
      </c>
      <c r="BW154" s="2" t="s">
        <v>167</v>
      </c>
      <c r="BX154" s="2" t="s">
        <v>91</v>
      </c>
      <c r="BY15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54" s="2">
        <f>IF(AND(Cases[[#This Row],[Priority Level]]&gt;=3,Cases[[#This Row],[System Role]]&lt;&gt;"Productive"),1,0)</f>
        <v>1</v>
      </c>
      <c r="CA154" s="2">
        <f>IFERROR(IF(Cases[[#This Row],[Days at Customer]]&gt;MAX(1,Cases[[#This Row],[Days at SAP]]*2),1,0),0)</f>
        <v>0</v>
      </c>
      <c r="CB154" s="2">
        <f>IF(AND(Cases[[#This Row],[Initial Component]]&lt;&gt;"",Cases[[#This Row],[Component]]&lt;&gt;"",Cases[[#This Row],[Initial Component]]&lt;&gt;Cases[[#This Row],[Component]]),1,0)</f>
        <v>0</v>
      </c>
      <c r="CC154" s="2">
        <f>IF(OR(Cases[[#This Row],[Is Reopened]]="X",Cases[[#This Row],[No. of Reopenings]]&gt;0),1,0)</f>
        <v>0</v>
      </c>
      <c r="CD154" s="2">
        <f>IF(Cases[[#This Row],[Confirmation Type]]="Automatic",1,0)</f>
        <v>0</v>
      </c>
      <c r="CE154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55" spans="1:83" x14ac:dyDescent="0.2">
      <c r="A155" s="1" t="s">
        <v>1148</v>
      </c>
      <c r="B155" s="2" t="s">
        <v>1149</v>
      </c>
      <c r="C155" s="2" t="s">
        <v>1150</v>
      </c>
      <c r="D155" s="2" t="s">
        <v>78</v>
      </c>
      <c r="E155" s="3">
        <v>0.26</v>
      </c>
      <c r="F155" s="3">
        <v>1.61</v>
      </c>
      <c r="G155" s="2" t="s">
        <v>133</v>
      </c>
      <c r="H155" s="2" t="s">
        <v>134</v>
      </c>
      <c r="I155" s="3" t="s">
        <v>114</v>
      </c>
      <c r="J155" s="3">
        <v>65</v>
      </c>
      <c r="K155" s="2" t="s">
        <v>1151</v>
      </c>
      <c r="L155" s="4">
        <v>46082</v>
      </c>
      <c r="M155" s="4">
        <v>46064</v>
      </c>
      <c r="N155" s="2" t="s">
        <v>677</v>
      </c>
      <c r="O155" s="2" t="s">
        <v>181</v>
      </c>
      <c r="P155" s="2" t="s">
        <v>1079</v>
      </c>
      <c r="Q155" s="2" t="s">
        <v>86</v>
      </c>
      <c r="R155" s="2" t="s">
        <v>1152</v>
      </c>
      <c r="S155" s="4">
        <v>46062</v>
      </c>
      <c r="T155" s="2" t="s">
        <v>677</v>
      </c>
      <c r="U155" s="2" t="s">
        <v>181</v>
      </c>
      <c r="V155" s="2" t="s">
        <v>1079</v>
      </c>
      <c r="W155" s="2" t="s">
        <v>86</v>
      </c>
      <c r="X155" s="2" t="s">
        <v>117</v>
      </c>
      <c r="Y155" s="3" t="s">
        <v>118</v>
      </c>
      <c r="Z155" s="3">
        <v>1.87</v>
      </c>
      <c r="AA155" s="2" t="s">
        <v>90</v>
      </c>
      <c r="AB155" s="2" t="s">
        <v>1152</v>
      </c>
      <c r="AC155" s="2" t="s">
        <v>1150</v>
      </c>
      <c r="AD155" t="str" cm="1">
        <f t="array" ref="AD15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155" s="2" t="s">
        <v>139</v>
      </c>
      <c r="AF155" s="2" t="s">
        <v>92</v>
      </c>
      <c r="AG155" s="2" t="s">
        <v>119</v>
      </c>
      <c r="AH155" s="2" t="s">
        <v>120</v>
      </c>
      <c r="AK155" s="2" t="s">
        <v>1153</v>
      </c>
      <c r="AN155" s="3">
        <v>1</v>
      </c>
      <c r="AO155" s="3">
        <v>1</v>
      </c>
      <c r="AP155" s="3">
        <v>1</v>
      </c>
      <c r="AQ155" s="3">
        <v>1</v>
      </c>
      <c r="AR155" s="3">
        <v>0</v>
      </c>
      <c r="AS155" s="3">
        <v>0</v>
      </c>
      <c r="AT155" s="3">
        <v>1</v>
      </c>
      <c r="AU155" s="3">
        <v>0</v>
      </c>
      <c r="AV155" s="3">
        <v>0</v>
      </c>
      <c r="AW155" s="3">
        <v>1</v>
      </c>
      <c r="AX155" s="3">
        <v>0</v>
      </c>
      <c r="AY155" s="3">
        <v>0</v>
      </c>
      <c r="AZ155" s="3">
        <v>1</v>
      </c>
      <c r="BA155" s="3">
        <v>1</v>
      </c>
      <c r="BB155" s="3">
        <v>0</v>
      </c>
      <c r="BC155" s="3">
        <v>0</v>
      </c>
      <c r="BD155" s="3">
        <v>0</v>
      </c>
      <c r="BE155" s="3">
        <v>0</v>
      </c>
      <c r="BG155" s="2" t="s">
        <v>139</v>
      </c>
      <c r="BH155" s="3">
        <v>2</v>
      </c>
      <c r="BJ155" s="2" t="s">
        <v>96</v>
      </c>
      <c r="BL155" s="2" t="s">
        <v>123</v>
      </c>
      <c r="BM155" s="2" t="s">
        <v>123</v>
      </c>
      <c r="BN155" s="2" t="s">
        <v>124</v>
      </c>
      <c r="BO155" s="2" t="s">
        <v>125</v>
      </c>
      <c r="BP155" s="2" t="s">
        <v>101</v>
      </c>
      <c r="BQ155" s="2" t="s">
        <v>124</v>
      </c>
      <c r="BR155" s="2" t="s">
        <v>126</v>
      </c>
      <c r="BS155" s="2" t="s">
        <v>127</v>
      </c>
      <c r="BT155" s="2" t="s">
        <v>199</v>
      </c>
      <c r="BU155" s="2" t="s">
        <v>200</v>
      </c>
      <c r="BV155" s="2" t="s">
        <v>166</v>
      </c>
      <c r="BW155" s="2" t="s">
        <v>167</v>
      </c>
      <c r="BX155" s="2" t="s">
        <v>139</v>
      </c>
      <c r="BY15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55" s="2">
        <f>IF(AND(Cases[[#This Row],[Priority Level]]&gt;=3,Cases[[#This Row],[System Role]]&lt;&gt;"Productive"),1,0)</f>
        <v>0</v>
      </c>
      <c r="CA155" s="2">
        <f>IFERROR(IF(Cases[[#This Row],[Days at Customer]]&gt;MAX(1,Cases[[#This Row],[Days at SAP]]*2),1,0),0)</f>
        <v>1</v>
      </c>
      <c r="CB155" s="2">
        <f>IF(AND(Cases[[#This Row],[Initial Component]]&lt;&gt;"",Cases[[#This Row],[Component]]&lt;&gt;"",Cases[[#This Row],[Initial Component]]&lt;&gt;Cases[[#This Row],[Component]]),1,0)</f>
        <v>0</v>
      </c>
      <c r="CC155" s="2">
        <f>IF(OR(Cases[[#This Row],[Is Reopened]]="X",Cases[[#This Row],[No. of Reopenings]]&gt;0),1,0)</f>
        <v>0</v>
      </c>
      <c r="CD155" s="2">
        <f>IF(Cases[[#This Row],[Confirmation Type]]="Automatic",1,0)</f>
        <v>0</v>
      </c>
      <c r="CE155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56" spans="1:83" x14ac:dyDescent="0.2">
      <c r="A156" s="1" t="s">
        <v>1154</v>
      </c>
      <c r="B156" s="2" t="s">
        <v>1155</v>
      </c>
      <c r="C156" s="2" t="s">
        <v>231</v>
      </c>
      <c r="D156" s="2" t="s">
        <v>238</v>
      </c>
      <c r="E156" s="3">
        <v>2.36</v>
      </c>
      <c r="F156" s="3">
        <v>43.15</v>
      </c>
      <c r="G156" s="2" t="s">
        <v>79</v>
      </c>
      <c r="H156" s="2" t="s">
        <v>178</v>
      </c>
      <c r="I156" s="3" t="s">
        <v>114</v>
      </c>
      <c r="J156" s="3">
        <v>65</v>
      </c>
      <c r="K156" s="2" t="s">
        <v>1156</v>
      </c>
      <c r="L156" s="4">
        <v>46110</v>
      </c>
      <c r="M156" s="4">
        <v>46107</v>
      </c>
      <c r="N156" s="2" t="s">
        <v>180</v>
      </c>
      <c r="O156" s="2" t="s">
        <v>181</v>
      </c>
      <c r="P156" s="2" t="s">
        <v>195</v>
      </c>
      <c r="Q156" s="2" t="s">
        <v>86</v>
      </c>
      <c r="R156" s="2" t="s">
        <v>233</v>
      </c>
      <c r="S156" s="4">
        <v>46062</v>
      </c>
      <c r="T156" s="2" t="s">
        <v>677</v>
      </c>
      <c r="U156" s="2" t="s">
        <v>181</v>
      </c>
      <c r="V156" s="2" t="s">
        <v>1079</v>
      </c>
      <c r="W156" s="2" t="s">
        <v>86</v>
      </c>
      <c r="X156" s="2" t="s">
        <v>117</v>
      </c>
      <c r="Y156" s="3" t="s">
        <v>118</v>
      </c>
      <c r="Z156" s="3">
        <v>45.51</v>
      </c>
      <c r="AA156" s="2" t="s">
        <v>90</v>
      </c>
      <c r="AB156" s="2" t="s">
        <v>233</v>
      </c>
      <c r="AC156" s="2" t="s">
        <v>231</v>
      </c>
      <c r="AD156" t="str" cm="1">
        <f t="array" ref="AD15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156" s="2" t="s">
        <v>139</v>
      </c>
      <c r="AF156" s="2" t="s">
        <v>92</v>
      </c>
      <c r="AG156" s="2" t="s">
        <v>119</v>
      </c>
      <c r="AH156" s="2" t="s">
        <v>120</v>
      </c>
      <c r="AK156" s="2" t="s">
        <v>1157</v>
      </c>
      <c r="AN156" s="3">
        <v>1</v>
      </c>
      <c r="AO156" s="3">
        <v>1</v>
      </c>
      <c r="AP156" s="3">
        <v>1</v>
      </c>
      <c r="AQ156" s="3">
        <v>1</v>
      </c>
      <c r="AR156" s="3">
        <v>0</v>
      </c>
      <c r="AS156" s="3">
        <v>0</v>
      </c>
      <c r="AT156" s="3">
        <v>1</v>
      </c>
      <c r="AU156" s="3">
        <v>0</v>
      </c>
      <c r="AV156" s="3">
        <v>1</v>
      </c>
      <c r="AW156" s="3">
        <v>0</v>
      </c>
      <c r="AX156" s="3">
        <v>0</v>
      </c>
      <c r="AY156" s="3">
        <v>0</v>
      </c>
      <c r="AZ156" s="3">
        <v>1</v>
      </c>
      <c r="BA156" s="3">
        <v>0</v>
      </c>
      <c r="BB156" s="3">
        <v>0</v>
      </c>
      <c r="BC156" s="3">
        <v>1</v>
      </c>
      <c r="BD156" s="3">
        <v>0</v>
      </c>
      <c r="BE156" s="3">
        <v>0</v>
      </c>
      <c r="BG156" s="2" t="s">
        <v>139</v>
      </c>
      <c r="BH156" s="3">
        <v>2</v>
      </c>
      <c r="BJ156" s="2" t="s">
        <v>96</v>
      </c>
      <c r="BL156" s="2" t="s">
        <v>123</v>
      </c>
      <c r="BM156" s="2" t="s">
        <v>123</v>
      </c>
      <c r="BN156" s="2" t="s">
        <v>124</v>
      </c>
      <c r="BO156" s="2" t="s">
        <v>125</v>
      </c>
      <c r="BP156" s="2" t="s">
        <v>242</v>
      </c>
      <c r="BQ156" s="2" t="s">
        <v>124</v>
      </c>
      <c r="BR156" s="2" t="s">
        <v>126</v>
      </c>
      <c r="BS156" s="2" t="s">
        <v>127</v>
      </c>
      <c r="BT156" s="2" t="s">
        <v>207</v>
      </c>
      <c r="BU156" s="2" t="s">
        <v>208</v>
      </c>
      <c r="BV156" s="2" t="s">
        <v>150</v>
      </c>
      <c r="BW156" s="2" t="s">
        <v>151</v>
      </c>
      <c r="BX156" s="2" t="s">
        <v>139</v>
      </c>
      <c r="BY15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56" s="2">
        <f>IF(AND(Cases[[#This Row],[Priority Level]]&gt;=3,Cases[[#This Row],[System Role]]&lt;&gt;"Productive"),1,0)</f>
        <v>0</v>
      </c>
      <c r="CA156" s="2">
        <f>IFERROR(IF(Cases[[#This Row],[Days at Customer]]&gt;MAX(1,Cases[[#This Row],[Days at SAP]]*2),1,0),0)</f>
        <v>1</v>
      </c>
      <c r="CB156" s="2">
        <f>IF(AND(Cases[[#This Row],[Initial Component]]&lt;&gt;"",Cases[[#This Row],[Component]]&lt;&gt;"",Cases[[#This Row],[Initial Component]]&lt;&gt;Cases[[#This Row],[Component]]),1,0)</f>
        <v>0</v>
      </c>
      <c r="CC156" s="2">
        <f>IF(OR(Cases[[#This Row],[Is Reopened]]="X",Cases[[#This Row],[No. of Reopenings]]&gt;0),1,0)</f>
        <v>0</v>
      </c>
      <c r="CD156" s="2">
        <f>IF(Cases[[#This Row],[Confirmation Type]]="Automatic",1,0)</f>
        <v>1</v>
      </c>
      <c r="CE15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57" spans="1:83" x14ac:dyDescent="0.2">
      <c r="A157" s="1" t="s">
        <v>1158</v>
      </c>
      <c r="B157" s="2" t="s">
        <v>1159</v>
      </c>
      <c r="C157" s="2" t="s">
        <v>876</v>
      </c>
      <c r="D157" s="2" t="s">
        <v>78</v>
      </c>
      <c r="E157" s="3">
        <v>34.729999999999997</v>
      </c>
      <c r="F157" s="3">
        <v>17.03</v>
      </c>
      <c r="G157" s="2" t="s">
        <v>190</v>
      </c>
      <c r="H157" s="2" t="s">
        <v>666</v>
      </c>
      <c r="I157" s="3" t="s">
        <v>114</v>
      </c>
      <c r="J157" s="3">
        <v>65</v>
      </c>
      <c r="K157" s="2" t="s">
        <v>1160</v>
      </c>
      <c r="L157" s="4">
        <v>46117</v>
      </c>
      <c r="M157" s="4">
        <v>46114</v>
      </c>
      <c r="N157" s="2" t="s">
        <v>83</v>
      </c>
      <c r="O157" s="2" t="s">
        <v>84</v>
      </c>
      <c r="P157" s="2" t="s">
        <v>136</v>
      </c>
      <c r="Q157" s="2" t="s">
        <v>86</v>
      </c>
      <c r="R157" s="2" t="s">
        <v>878</v>
      </c>
      <c r="S157" s="4">
        <v>46062</v>
      </c>
      <c r="T157" s="2" t="s">
        <v>677</v>
      </c>
      <c r="U157" s="2" t="s">
        <v>181</v>
      </c>
      <c r="V157" s="2" t="s">
        <v>1079</v>
      </c>
      <c r="W157" s="2" t="s">
        <v>86</v>
      </c>
      <c r="X157" s="2" t="s">
        <v>117</v>
      </c>
      <c r="Y157" s="3" t="s">
        <v>118</v>
      </c>
      <c r="Z157" s="3">
        <v>51.75</v>
      </c>
      <c r="AA157" s="2" t="s">
        <v>90</v>
      </c>
      <c r="AB157" s="2" t="s">
        <v>878</v>
      </c>
      <c r="AC157" s="2" t="s">
        <v>876</v>
      </c>
      <c r="AD157" t="str" cm="1">
        <f t="array" ref="AD15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157" s="2" t="s">
        <v>139</v>
      </c>
      <c r="AF157" s="2" t="s">
        <v>92</v>
      </c>
      <c r="AG157" s="2" t="s">
        <v>119</v>
      </c>
      <c r="AH157" s="2" t="s">
        <v>120</v>
      </c>
      <c r="AK157" s="2" t="s">
        <v>1161</v>
      </c>
      <c r="AN157" s="3">
        <v>1</v>
      </c>
      <c r="AO157" s="3">
        <v>1</v>
      </c>
      <c r="AP157" s="3">
        <v>1</v>
      </c>
      <c r="AQ157" s="3">
        <v>1</v>
      </c>
      <c r="AR157" s="3">
        <v>0</v>
      </c>
      <c r="AS157" s="3">
        <v>1</v>
      </c>
      <c r="AT157" s="3">
        <v>0</v>
      </c>
      <c r="AU157" s="3">
        <v>0</v>
      </c>
      <c r="AV157" s="3">
        <v>0</v>
      </c>
      <c r="AW157" s="3">
        <v>1</v>
      </c>
      <c r="AX157" s="3">
        <v>0</v>
      </c>
      <c r="AY157" s="3">
        <v>1</v>
      </c>
      <c r="AZ157" s="3">
        <v>0</v>
      </c>
      <c r="BA157" s="3">
        <v>0</v>
      </c>
      <c r="BB157" s="3">
        <v>0</v>
      </c>
      <c r="BC157" s="3">
        <v>1</v>
      </c>
      <c r="BD157" s="3">
        <v>0</v>
      </c>
      <c r="BE157" s="3">
        <v>0</v>
      </c>
      <c r="BG157" s="2" t="s">
        <v>158</v>
      </c>
      <c r="BH157" s="3">
        <v>1</v>
      </c>
      <c r="BJ157" s="2" t="s">
        <v>96</v>
      </c>
      <c r="BL157" s="2" t="s">
        <v>123</v>
      </c>
      <c r="BM157" s="2" t="s">
        <v>123</v>
      </c>
      <c r="BN157" s="2" t="s">
        <v>124</v>
      </c>
      <c r="BO157" s="2" t="s">
        <v>125</v>
      </c>
      <c r="BP157" s="2" t="s">
        <v>101</v>
      </c>
      <c r="BQ157" s="2" t="s">
        <v>124</v>
      </c>
      <c r="BR157" s="2" t="s">
        <v>126</v>
      </c>
      <c r="BS157" s="2" t="s">
        <v>127</v>
      </c>
      <c r="BT157" s="2" t="s">
        <v>207</v>
      </c>
      <c r="BU157" s="2" t="s">
        <v>208</v>
      </c>
      <c r="BV157" s="2" t="s">
        <v>150</v>
      </c>
      <c r="BW157" s="2" t="s">
        <v>151</v>
      </c>
      <c r="BX157" s="2" t="s">
        <v>139</v>
      </c>
      <c r="BY15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57" s="2">
        <f>IF(AND(Cases[[#This Row],[Priority Level]]&gt;=3,Cases[[#This Row],[System Role]]&lt;&gt;"Productive"),1,0)</f>
        <v>0</v>
      </c>
      <c r="CA157" s="2">
        <f>IFERROR(IF(Cases[[#This Row],[Days at Customer]]&gt;MAX(1,Cases[[#This Row],[Days at SAP]]*2),1,0),0)</f>
        <v>0</v>
      </c>
      <c r="CB157" s="2">
        <f>IF(AND(Cases[[#This Row],[Initial Component]]&lt;&gt;"",Cases[[#This Row],[Component]]&lt;&gt;"",Cases[[#This Row],[Initial Component]]&lt;&gt;Cases[[#This Row],[Component]]),1,0)</f>
        <v>0</v>
      </c>
      <c r="CC157" s="2">
        <f>IF(OR(Cases[[#This Row],[Is Reopened]]="X",Cases[[#This Row],[No. of Reopenings]]&gt;0),1,0)</f>
        <v>0</v>
      </c>
      <c r="CD157" s="2">
        <f>IF(Cases[[#This Row],[Confirmation Type]]="Automatic",1,0)</f>
        <v>0</v>
      </c>
      <c r="CE157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158" spans="1:83" x14ac:dyDescent="0.2">
      <c r="A158" s="1" t="s">
        <v>2257</v>
      </c>
      <c r="B158" s="2" t="s">
        <v>2258</v>
      </c>
      <c r="C158" s="2" t="s">
        <v>203</v>
      </c>
      <c r="D158" s="2" t="s">
        <v>238</v>
      </c>
      <c r="E158" s="3">
        <v>0</v>
      </c>
      <c r="F158" s="3">
        <v>22.24</v>
      </c>
      <c r="G158" s="2" t="s">
        <v>112</v>
      </c>
      <c r="H158" s="2" t="s">
        <v>113</v>
      </c>
      <c r="I158" s="3" t="s">
        <v>114</v>
      </c>
      <c r="J158" s="3">
        <v>135</v>
      </c>
      <c r="K158" s="2" t="s">
        <v>2259</v>
      </c>
      <c r="L158" s="4">
        <v>46019</v>
      </c>
      <c r="M158" s="4">
        <v>46016</v>
      </c>
      <c r="N158" s="2" t="s">
        <v>1804</v>
      </c>
      <c r="O158" s="2" t="s">
        <v>1805</v>
      </c>
      <c r="P158" s="2" t="s">
        <v>1868</v>
      </c>
      <c r="Q158" s="2" t="s">
        <v>1806</v>
      </c>
      <c r="R158" s="2" t="s">
        <v>205</v>
      </c>
      <c r="S158" s="4">
        <v>45992</v>
      </c>
      <c r="T158" s="2" t="s">
        <v>1804</v>
      </c>
      <c r="U158" s="2" t="s">
        <v>1805</v>
      </c>
      <c r="V158" s="2" t="s">
        <v>2169</v>
      </c>
      <c r="W158" s="2" t="s">
        <v>1806</v>
      </c>
      <c r="X158" s="2" t="s">
        <v>117</v>
      </c>
      <c r="Y158" s="3" t="s">
        <v>118</v>
      </c>
      <c r="Z158" s="3">
        <v>22.24</v>
      </c>
      <c r="AA158" s="2" t="s">
        <v>90</v>
      </c>
      <c r="AB158" s="2" t="s">
        <v>116</v>
      </c>
      <c r="AC158" s="2" t="s">
        <v>111</v>
      </c>
      <c r="AD158" t="str" cm="1">
        <f t="array" ref="AD15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158" s="2" t="s">
        <v>139</v>
      </c>
      <c r="AF158" s="2" t="s">
        <v>92</v>
      </c>
      <c r="AG158" s="2" t="s">
        <v>119</v>
      </c>
      <c r="AH158" s="2" t="s">
        <v>120</v>
      </c>
      <c r="AK158" s="2" t="s">
        <v>2260</v>
      </c>
      <c r="AN158" s="3">
        <v>1</v>
      </c>
      <c r="AO158" s="3">
        <v>1</v>
      </c>
      <c r="AP158" s="3">
        <v>1</v>
      </c>
      <c r="AQ158" s="3">
        <v>1</v>
      </c>
      <c r="AR158" s="3">
        <v>0</v>
      </c>
      <c r="AS158" s="3">
        <v>0</v>
      </c>
      <c r="AT158" s="3">
        <v>1</v>
      </c>
      <c r="AU158" s="3">
        <v>0</v>
      </c>
      <c r="AV158" s="3">
        <v>1</v>
      </c>
      <c r="AW158" s="3">
        <v>0</v>
      </c>
      <c r="AX158" s="3">
        <v>0</v>
      </c>
      <c r="AY158" s="3">
        <v>0</v>
      </c>
      <c r="AZ158" s="3">
        <v>1</v>
      </c>
      <c r="BA158" s="3">
        <v>0</v>
      </c>
      <c r="BB158" s="3">
        <v>0</v>
      </c>
      <c r="BC158" s="3">
        <v>1</v>
      </c>
      <c r="BD158" s="3">
        <v>0</v>
      </c>
      <c r="BE158" s="3">
        <v>0</v>
      </c>
      <c r="BG158" s="2" t="s">
        <v>139</v>
      </c>
      <c r="BH158" s="3">
        <v>2</v>
      </c>
      <c r="BI158" s="2" t="s">
        <v>122</v>
      </c>
      <c r="BJ158" s="2" t="s">
        <v>96</v>
      </c>
      <c r="BL158" s="2" t="s">
        <v>123</v>
      </c>
      <c r="BM158" s="2" t="s">
        <v>123</v>
      </c>
      <c r="BN158" s="2" t="s">
        <v>124</v>
      </c>
      <c r="BO158" s="2" t="s">
        <v>125</v>
      </c>
      <c r="BP158" s="2" t="s">
        <v>242</v>
      </c>
      <c r="BQ158" s="2" t="s">
        <v>124</v>
      </c>
      <c r="BR158" s="2" t="s">
        <v>126</v>
      </c>
      <c r="BS158" s="2" t="s">
        <v>127</v>
      </c>
      <c r="BT158" s="2" t="s">
        <v>207</v>
      </c>
      <c r="BU158" s="2" t="s">
        <v>208</v>
      </c>
      <c r="BV158" s="2" t="s">
        <v>150</v>
      </c>
      <c r="BW158" s="2" t="s">
        <v>151</v>
      </c>
      <c r="BX158" s="2" t="s">
        <v>139</v>
      </c>
      <c r="BY15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58" s="2">
        <f>IF(AND(Cases[[#This Row],[Priority Level]]&gt;=3,Cases[[#This Row],[System Role]]&lt;&gt;"Productive"),1,0)</f>
        <v>0</v>
      </c>
      <c r="CA158" s="2">
        <f>IFERROR(IF(Cases[[#This Row],[Days at Customer]]&gt;MAX(1,Cases[[#This Row],[Days at SAP]]*2),1,0),0)</f>
        <v>1</v>
      </c>
      <c r="CB158" s="2">
        <f>IF(AND(Cases[[#This Row],[Initial Component]]&lt;&gt;"",Cases[[#This Row],[Component]]&lt;&gt;"",Cases[[#This Row],[Initial Component]]&lt;&gt;Cases[[#This Row],[Component]]),1,0)</f>
        <v>1</v>
      </c>
      <c r="CC158" s="2">
        <f>IF(OR(Cases[[#This Row],[Is Reopened]]="X",Cases[[#This Row],[No. of Reopenings]]&gt;0),1,0)</f>
        <v>0</v>
      </c>
      <c r="CD158" s="2">
        <f>IF(Cases[[#This Row],[Confirmation Type]]="Automatic",1,0)</f>
        <v>1</v>
      </c>
      <c r="CE158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59" spans="1:83" x14ac:dyDescent="0.2">
      <c r="A159" s="1" t="s">
        <v>1167</v>
      </c>
      <c r="B159" s="2" t="s">
        <v>1168</v>
      </c>
      <c r="C159" s="2" t="s">
        <v>550</v>
      </c>
      <c r="D159" s="2" t="s">
        <v>78</v>
      </c>
      <c r="E159" s="3">
        <v>0.13</v>
      </c>
      <c r="F159" s="3">
        <v>17.84</v>
      </c>
      <c r="G159" s="2" t="s">
        <v>190</v>
      </c>
      <c r="H159" s="2" t="s">
        <v>191</v>
      </c>
      <c r="I159" s="3" t="s">
        <v>114</v>
      </c>
      <c r="J159" s="3">
        <v>68</v>
      </c>
      <c r="K159" s="2" t="s">
        <v>1169</v>
      </c>
      <c r="L159" s="4">
        <v>46082</v>
      </c>
      <c r="M159" s="4">
        <v>46077</v>
      </c>
      <c r="N159" s="2" t="s">
        <v>677</v>
      </c>
      <c r="O159" s="2" t="s">
        <v>181</v>
      </c>
      <c r="P159" s="2" t="s">
        <v>678</v>
      </c>
      <c r="Q159" s="2" t="s">
        <v>86</v>
      </c>
      <c r="R159" s="2" t="s">
        <v>552</v>
      </c>
      <c r="S159" s="4">
        <v>46059</v>
      </c>
      <c r="T159" s="2" t="s">
        <v>677</v>
      </c>
      <c r="U159" s="2" t="s">
        <v>181</v>
      </c>
      <c r="V159" s="2" t="s">
        <v>1165</v>
      </c>
      <c r="W159" s="2" t="s">
        <v>86</v>
      </c>
      <c r="X159" s="2" t="s">
        <v>117</v>
      </c>
      <c r="Y159" s="3" t="s">
        <v>118</v>
      </c>
      <c r="Z159" s="3">
        <v>17.97</v>
      </c>
      <c r="AA159" s="2" t="s">
        <v>90</v>
      </c>
      <c r="AB159" s="2" t="s">
        <v>552</v>
      </c>
      <c r="AC159" s="2" t="s">
        <v>550</v>
      </c>
      <c r="AD159" t="str" cm="1">
        <f t="array" ref="AD15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159" s="2" t="s">
        <v>91</v>
      </c>
      <c r="AF159" s="2" t="s">
        <v>998</v>
      </c>
      <c r="AG159" s="2" t="s">
        <v>553</v>
      </c>
      <c r="AH159" s="2" t="s">
        <v>554</v>
      </c>
      <c r="AK159" s="2" t="s">
        <v>1170</v>
      </c>
      <c r="AN159" s="3">
        <v>1</v>
      </c>
      <c r="AO159" s="3">
        <v>1</v>
      </c>
      <c r="AP159" s="3">
        <v>1</v>
      </c>
      <c r="AQ159" s="3">
        <v>1</v>
      </c>
      <c r="AR159" s="3">
        <v>1</v>
      </c>
      <c r="AS159" s="3">
        <v>0</v>
      </c>
      <c r="AT159" s="3">
        <v>0</v>
      </c>
      <c r="AU159" s="3">
        <v>0</v>
      </c>
      <c r="AV159" s="3">
        <v>0</v>
      </c>
      <c r="AW159" s="3">
        <v>1</v>
      </c>
      <c r="AX159" s="3">
        <v>1</v>
      </c>
      <c r="AY159" s="3">
        <v>0</v>
      </c>
      <c r="AZ159" s="3">
        <v>0</v>
      </c>
      <c r="BA159" s="3">
        <v>0</v>
      </c>
      <c r="BB159" s="3">
        <v>0</v>
      </c>
      <c r="BC159" s="3">
        <v>1</v>
      </c>
      <c r="BD159" s="3">
        <v>0</v>
      </c>
      <c r="BE159" s="3">
        <v>0</v>
      </c>
      <c r="BG159" s="2" t="s">
        <v>91</v>
      </c>
      <c r="BH159" s="3">
        <v>3</v>
      </c>
      <c r="BJ159" s="2" t="s">
        <v>96</v>
      </c>
      <c r="BL159" s="2" t="s">
        <v>556</v>
      </c>
      <c r="BM159" s="2" t="s">
        <v>557</v>
      </c>
      <c r="BN159" s="2" t="s">
        <v>99</v>
      </c>
      <c r="BO159" s="2" t="s">
        <v>100</v>
      </c>
      <c r="BP159" s="2" t="s">
        <v>101</v>
      </c>
      <c r="BQ159" s="2" t="s">
        <v>102</v>
      </c>
      <c r="BR159" s="2" t="s">
        <v>103</v>
      </c>
      <c r="BS159" s="2" t="s">
        <v>127</v>
      </c>
      <c r="BT159" s="2" t="s">
        <v>1171</v>
      </c>
      <c r="BU159" s="2" t="s">
        <v>1172</v>
      </c>
      <c r="BV159" s="2" t="s">
        <v>150</v>
      </c>
      <c r="BW159" s="2" t="s">
        <v>151</v>
      </c>
      <c r="BX159" s="2" t="s">
        <v>91</v>
      </c>
      <c r="BY15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59" s="2">
        <f>IF(AND(Cases[[#This Row],[Priority Level]]&gt;=3,Cases[[#This Row],[System Role]]&lt;&gt;"Productive"),1,0)</f>
        <v>0</v>
      </c>
      <c r="CA159" s="2">
        <f>IFERROR(IF(Cases[[#This Row],[Days at Customer]]&gt;MAX(1,Cases[[#This Row],[Days at SAP]]*2),1,0),0)</f>
        <v>1</v>
      </c>
      <c r="CB159" s="2">
        <f>IF(AND(Cases[[#This Row],[Initial Component]]&lt;&gt;"",Cases[[#This Row],[Component]]&lt;&gt;"",Cases[[#This Row],[Initial Component]]&lt;&gt;Cases[[#This Row],[Component]]),1,0)</f>
        <v>0</v>
      </c>
      <c r="CC159" s="2">
        <f>IF(OR(Cases[[#This Row],[Is Reopened]]="X",Cases[[#This Row],[No. of Reopenings]]&gt;0),1,0)</f>
        <v>0</v>
      </c>
      <c r="CD159" s="2">
        <f>IF(Cases[[#This Row],[Confirmation Type]]="Automatic",1,0)</f>
        <v>0</v>
      </c>
      <c r="CE159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60" spans="1:83" x14ac:dyDescent="0.2">
      <c r="A160" s="1" t="s">
        <v>1173</v>
      </c>
      <c r="B160" s="2" t="s">
        <v>1174</v>
      </c>
      <c r="C160" s="2" t="s">
        <v>1175</v>
      </c>
      <c r="D160" s="2" t="s">
        <v>78</v>
      </c>
      <c r="E160" s="3">
        <v>32.380000000000003</v>
      </c>
      <c r="F160" s="3">
        <v>2.77</v>
      </c>
      <c r="G160" s="2" t="s">
        <v>79</v>
      </c>
      <c r="H160" s="2" t="s">
        <v>155</v>
      </c>
      <c r="I160" s="3" t="s">
        <v>114</v>
      </c>
      <c r="J160" s="3">
        <v>68</v>
      </c>
      <c r="K160" s="2" t="s">
        <v>1176</v>
      </c>
      <c r="L160" s="4">
        <v>46103</v>
      </c>
      <c r="M160" s="4">
        <v>46094</v>
      </c>
      <c r="N160" s="2" t="s">
        <v>180</v>
      </c>
      <c r="O160" s="2" t="s">
        <v>181</v>
      </c>
      <c r="P160" s="2" t="s">
        <v>350</v>
      </c>
      <c r="Q160" s="2" t="s">
        <v>86</v>
      </c>
      <c r="R160" s="2" t="s">
        <v>1177</v>
      </c>
      <c r="S160" s="4">
        <v>46059</v>
      </c>
      <c r="T160" s="2" t="s">
        <v>677</v>
      </c>
      <c r="U160" s="2" t="s">
        <v>181</v>
      </c>
      <c r="V160" s="2" t="s">
        <v>1165</v>
      </c>
      <c r="W160" s="2" t="s">
        <v>86</v>
      </c>
      <c r="X160" s="2" t="s">
        <v>117</v>
      </c>
      <c r="Y160" s="3" t="s">
        <v>118</v>
      </c>
      <c r="Z160" s="3">
        <v>35.15</v>
      </c>
      <c r="AA160" s="2" t="s">
        <v>90</v>
      </c>
      <c r="AB160" s="2" t="s">
        <v>87</v>
      </c>
      <c r="AC160" s="2" t="s">
        <v>77</v>
      </c>
      <c r="AD160" t="str" cm="1">
        <f t="array" ref="AD16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160" s="2" t="s">
        <v>91</v>
      </c>
      <c r="AF160" s="2" t="s">
        <v>92</v>
      </c>
      <c r="AG160" s="2" t="s">
        <v>119</v>
      </c>
      <c r="AH160" s="2" t="s">
        <v>120</v>
      </c>
      <c r="AK160" s="2" t="s">
        <v>1178</v>
      </c>
      <c r="AN160" s="3">
        <v>1</v>
      </c>
      <c r="AO160" s="3">
        <v>1</v>
      </c>
      <c r="AP160" s="3">
        <v>1</v>
      </c>
      <c r="AQ160" s="3">
        <v>1</v>
      </c>
      <c r="AR160" s="3">
        <v>1</v>
      </c>
      <c r="AS160" s="3">
        <v>0</v>
      </c>
      <c r="AT160" s="3">
        <v>0</v>
      </c>
      <c r="AU160" s="3">
        <v>0</v>
      </c>
      <c r="AV160" s="3">
        <v>0</v>
      </c>
      <c r="AW160" s="3">
        <v>1</v>
      </c>
      <c r="AX160" s="3">
        <v>1</v>
      </c>
      <c r="AY160" s="3">
        <v>0</v>
      </c>
      <c r="AZ160" s="3">
        <v>0</v>
      </c>
      <c r="BA160" s="3">
        <v>1</v>
      </c>
      <c r="BB160" s="3">
        <v>0</v>
      </c>
      <c r="BC160" s="3">
        <v>0</v>
      </c>
      <c r="BD160" s="3">
        <v>0</v>
      </c>
      <c r="BE160" s="3">
        <v>0</v>
      </c>
      <c r="BG160" s="2" t="s">
        <v>91</v>
      </c>
      <c r="BH160" s="3">
        <v>3</v>
      </c>
      <c r="BJ160" s="2" t="s">
        <v>96</v>
      </c>
      <c r="BL160" s="2" t="s">
        <v>123</v>
      </c>
      <c r="BM160" s="2" t="s">
        <v>123</v>
      </c>
      <c r="BN160" s="2" t="s">
        <v>124</v>
      </c>
      <c r="BO160" s="2" t="s">
        <v>125</v>
      </c>
      <c r="BP160" s="2" t="s">
        <v>101</v>
      </c>
      <c r="BQ160" s="2" t="s">
        <v>124</v>
      </c>
      <c r="BR160" s="2" t="s">
        <v>126</v>
      </c>
      <c r="BS160" s="2" t="s">
        <v>127</v>
      </c>
      <c r="BT160" s="2" t="s">
        <v>199</v>
      </c>
      <c r="BU160" s="2" t="s">
        <v>200</v>
      </c>
      <c r="BV160" s="2" t="s">
        <v>166</v>
      </c>
      <c r="BW160" s="2" t="s">
        <v>167</v>
      </c>
      <c r="BX160" s="2" t="s">
        <v>91</v>
      </c>
      <c r="BY16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60" s="2">
        <f>IF(AND(Cases[[#This Row],[Priority Level]]&gt;=3,Cases[[#This Row],[System Role]]&lt;&gt;"Productive"),1,0)</f>
        <v>1</v>
      </c>
      <c r="CA160" s="2">
        <f>IFERROR(IF(Cases[[#This Row],[Days at Customer]]&gt;MAX(1,Cases[[#This Row],[Days at SAP]]*2),1,0),0)</f>
        <v>0</v>
      </c>
      <c r="CB160" s="2">
        <f>IF(AND(Cases[[#This Row],[Initial Component]]&lt;&gt;"",Cases[[#This Row],[Component]]&lt;&gt;"",Cases[[#This Row],[Initial Component]]&lt;&gt;Cases[[#This Row],[Component]]),1,0)</f>
        <v>1</v>
      </c>
      <c r="CC160" s="2">
        <f>IF(OR(Cases[[#This Row],[Is Reopened]]="X",Cases[[#This Row],[No. of Reopenings]]&gt;0),1,0)</f>
        <v>0</v>
      </c>
      <c r="CD160" s="2">
        <f>IF(Cases[[#This Row],[Confirmation Type]]="Automatic",1,0)</f>
        <v>0</v>
      </c>
      <c r="CE160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161" spans="1:83" x14ac:dyDescent="0.2">
      <c r="A161" s="1" t="s">
        <v>1179</v>
      </c>
      <c r="B161" s="2" t="s">
        <v>1180</v>
      </c>
      <c r="C161" s="2" t="s">
        <v>775</v>
      </c>
      <c r="D161" s="2" t="s">
        <v>238</v>
      </c>
      <c r="E161" s="3">
        <v>0.7</v>
      </c>
      <c r="F161" s="3">
        <v>30.81</v>
      </c>
      <c r="G161" s="2" t="s">
        <v>79</v>
      </c>
      <c r="H161" s="2" t="s">
        <v>80</v>
      </c>
      <c r="I161" s="3" t="s">
        <v>114</v>
      </c>
      <c r="J161" s="3">
        <v>68</v>
      </c>
      <c r="K161" s="2" t="s">
        <v>1181</v>
      </c>
      <c r="L161" s="4">
        <v>46117</v>
      </c>
      <c r="M161" s="4">
        <v>46090</v>
      </c>
      <c r="N161" s="2" t="s">
        <v>180</v>
      </c>
      <c r="O161" s="2" t="s">
        <v>181</v>
      </c>
      <c r="P161" s="2" t="s">
        <v>350</v>
      </c>
      <c r="Q161" s="2" t="s">
        <v>86</v>
      </c>
      <c r="R161" s="2" t="s">
        <v>777</v>
      </c>
      <c r="S161" s="4">
        <v>46059</v>
      </c>
      <c r="T161" s="2" t="s">
        <v>677</v>
      </c>
      <c r="U161" s="2" t="s">
        <v>181</v>
      </c>
      <c r="V161" s="2" t="s">
        <v>1165</v>
      </c>
      <c r="W161" s="2" t="s">
        <v>86</v>
      </c>
      <c r="X161" s="2" t="s">
        <v>117</v>
      </c>
      <c r="Y161" s="3" t="s">
        <v>118</v>
      </c>
      <c r="Z161" s="3">
        <v>31.51</v>
      </c>
      <c r="AA161" s="2" t="s">
        <v>90</v>
      </c>
      <c r="AB161" s="2" t="s">
        <v>777</v>
      </c>
      <c r="AC161" s="2" t="s">
        <v>775</v>
      </c>
      <c r="AD161" t="str" cm="1">
        <f t="array" ref="AD16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161" s="2" t="s">
        <v>139</v>
      </c>
      <c r="AF161" s="2" t="s">
        <v>92</v>
      </c>
      <c r="AG161" s="2" t="s">
        <v>159</v>
      </c>
      <c r="AH161" s="2" t="s">
        <v>160</v>
      </c>
      <c r="AJ161" s="2" t="s">
        <v>122</v>
      </c>
      <c r="AK161" s="2" t="s">
        <v>1182</v>
      </c>
      <c r="AN161" s="3">
        <v>1</v>
      </c>
      <c r="AO161" s="3">
        <v>1</v>
      </c>
      <c r="AP161" s="3">
        <v>1</v>
      </c>
      <c r="AQ161" s="3">
        <v>1</v>
      </c>
      <c r="AR161" s="3">
        <v>0</v>
      </c>
      <c r="AS161" s="3">
        <v>0</v>
      </c>
      <c r="AT161" s="3">
        <v>1</v>
      </c>
      <c r="AU161" s="3">
        <v>0</v>
      </c>
      <c r="AV161" s="3">
        <v>1</v>
      </c>
      <c r="AW161" s="3">
        <v>0</v>
      </c>
      <c r="AX161" s="3">
        <v>0</v>
      </c>
      <c r="AY161" s="3">
        <v>0</v>
      </c>
      <c r="AZ161" s="3">
        <v>1</v>
      </c>
      <c r="BA161" s="3">
        <v>0</v>
      </c>
      <c r="BB161" s="3">
        <v>0</v>
      </c>
      <c r="BC161" s="3">
        <v>1</v>
      </c>
      <c r="BD161" s="3">
        <v>2</v>
      </c>
      <c r="BE161" s="3">
        <v>0</v>
      </c>
      <c r="BG161" s="2" t="s">
        <v>139</v>
      </c>
      <c r="BH161" s="3">
        <v>2</v>
      </c>
      <c r="BJ161" s="2" t="s">
        <v>96</v>
      </c>
      <c r="BL161" s="2" t="s">
        <v>97</v>
      </c>
      <c r="BM161" s="2" t="s">
        <v>98</v>
      </c>
      <c r="BN161" s="2" t="s">
        <v>99</v>
      </c>
      <c r="BO161" s="2" t="s">
        <v>100</v>
      </c>
      <c r="BP161" s="2" t="s">
        <v>242</v>
      </c>
      <c r="BQ161" s="2" t="s">
        <v>102</v>
      </c>
      <c r="BR161" s="2" t="s">
        <v>103</v>
      </c>
      <c r="BS161" s="2" t="s">
        <v>127</v>
      </c>
      <c r="BT161" s="2" t="s">
        <v>1183</v>
      </c>
      <c r="BU161" s="2" t="s">
        <v>1184</v>
      </c>
      <c r="BV161" s="2" t="s">
        <v>150</v>
      </c>
      <c r="BW161" s="2" t="s">
        <v>151</v>
      </c>
      <c r="BX161" s="2" t="s">
        <v>139</v>
      </c>
      <c r="BY16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61" s="2">
        <f>IF(AND(Cases[[#This Row],[Priority Level]]&gt;=3,Cases[[#This Row],[System Role]]&lt;&gt;"Productive"),1,0)</f>
        <v>0</v>
      </c>
      <c r="CA161" s="2">
        <f>IFERROR(IF(Cases[[#This Row],[Days at Customer]]&gt;MAX(1,Cases[[#This Row],[Days at SAP]]*2),1,0),0)</f>
        <v>1</v>
      </c>
      <c r="CB161" s="2">
        <f>IF(AND(Cases[[#This Row],[Initial Component]]&lt;&gt;"",Cases[[#This Row],[Component]]&lt;&gt;"",Cases[[#This Row],[Initial Component]]&lt;&gt;Cases[[#This Row],[Component]]),1,0)</f>
        <v>0</v>
      </c>
      <c r="CC161" s="2">
        <f>IF(OR(Cases[[#This Row],[Is Reopened]]="X",Cases[[#This Row],[No. of Reopenings]]&gt;0),1,0)</f>
        <v>1</v>
      </c>
      <c r="CD161" s="2">
        <f>IF(Cases[[#This Row],[Confirmation Type]]="Automatic",1,0)</f>
        <v>1</v>
      </c>
      <c r="CE161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62" spans="1:83" x14ac:dyDescent="0.2">
      <c r="A162" s="1" t="s">
        <v>1185</v>
      </c>
      <c r="B162" s="2" t="s">
        <v>1186</v>
      </c>
      <c r="C162" s="2" t="s">
        <v>775</v>
      </c>
      <c r="D162" s="2" t="s">
        <v>78</v>
      </c>
      <c r="E162" s="3">
        <v>1.97</v>
      </c>
      <c r="F162" s="3">
        <v>1.28</v>
      </c>
      <c r="G162" s="2" t="s">
        <v>79</v>
      </c>
      <c r="H162" s="2" t="s">
        <v>80</v>
      </c>
      <c r="I162" s="3" t="s">
        <v>114</v>
      </c>
      <c r="J162" s="3">
        <v>68</v>
      </c>
      <c r="K162" s="2" t="s">
        <v>1187</v>
      </c>
      <c r="L162" s="4">
        <v>46068</v>
      </c>
      <c r="M162" s="4">
        <v>46062</v>
      </c>
      <c r="N162" s="2" t="s">
        <v>677</v>
      </c>
      <c r="O162" s="2" t="s">
        <v>181</v>
      </c>
      <c r="P162" s="2" t="s">
        <v>1079</v>
      </c>
      <c r="Q162" s="2" t="s">
        <v>86</v>
      </c>
      <c r="R162" s="2" t="s">
        <v>777</v>
      </c>
      <c r="S162" s="4">
        <v>46059</v>
      </c>
      <c r="T162" s="2" t="s">
        <v>677</v>
      </c>
      <c r="U162" s="2" t="s">
        <v>181</v>
      </c>
      <c r="V162" s="2" t="s">
        <v>1165</v>
      </c>
      <c r="W162" s="2" t="s">
        <v>86</v>
      </c>
      <c r="X162" s="2" t="s">
        <v>117</v>
      </c>
      <c r="Y162" s="3" t="s">
        <v>118</v>
      </c>
      <c r="Z162" s="3">
        <v>3.25</v>
      </c>
      <c r="AA162" s="2" t="s">
        <v>90</v>
      </c>
      <c r="AB162" s="2" t="s">
        <v>777</v>
      </c>
      <c r="AC162" s="2" t="s">
        <v>775</v>
      </c>
      <c r="AD162" t="str" cm="1">
        <f t="array" ref="AD16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162" s="2" t="s">
        <v>139</v>
      </c>
      <c r="AF162" s="2" t="s">
        <v>92</v>
      </c>
      <c r="AG162" s="2" t="s">
        <v>119</v>
      </c>
      <c r="AH162" s="2" t="s">
        <v>120</v>
      </c>
      <c r="AK162" s="2" t="s">
        <v>1188</v>
      </c>
      <c r="AN162" s="3">
        <v>1</v>
      </c>
      <c r="AO162" s="3">
        <v>1</v>
      </c>
      <c r="AP162" s="3">
        <v>1</v>
      </c>
      <c r="AQ162" s="3">
        <v>1</v>
      </c>
      <c r="AR162" s="3">
        <v>0</v>
      </c>
      <c r="AS162" s="3">
        <v>0</v>
      </c>
      <c r="AT162" s="3">
        <v>1</v>
      </c>
      <c r="AU162" s="3">
        <v>0</v>
      </c>
      <c r="AV162" s="3">
        <v>0</v>
      </c>
      <c r="AW162" s="3">
        <v>1</v>
      </c>
      <c r="AX162" s="3">
        <v>0</v>
      </c>
      <c r="AY162" s="3">
        <v>0</v>
      </c>
      <c r="AZ162" s="3">
        <v>1</v>
      </c>
      <c r="BA162" s="3">
        <v>0</v>
      </c>
      <c r="BB162" s="3">
        <v>0</v>
      </c>
      <c r="BC162" s="3">
        <v>1</v>
      </c>
      <c r="BD162" s="3">
        <v>0</v>
      </c>
      <c r="BE162" s="3">
        <v>0</v>
      </c>
      <c r="BG162" s="2" t="s">
        <v>139</v>
      </c>
      <c r="BH162" s="3">
        <v>2</v>
      </c>
      <c r="BJ162" s="2" t="s">
        <v>96</v>
      </c>
      <c r="BL162" s="2" t="s">
        <v>123</v>
      </c>
      <c r="BM162" s="2" t="s">
        <v>123</v>
      </c>
      <c r="BN162" s="2" t="s">
        <v>124</v>
      </c>
      <c r="BO162" s="2" t="s">
        <v>125</v>
      </c>
      <c r="BP162" s="2" t="s">
        <v>101</v>
      </c>
      <c r="BQ162" s="2" t="s">
        <v>124</v>
      </c>
      <c r="BR162" s="2" t="s">
        <v>126</v>
      </c>
      <c r="BS162" s="2" t="s">
        <v>127</v>
      </c>
      <c r="BT162" s="2" t="s">
        <v>207</v>
      </c>
      <c r="BU162" s="2" t="s">
        <v>208</v>
      </c>
      <c r="BV162" s="2" t="s">
        <v>150</v>
      </c>
      <c r="BW162" s="2" t="s">
        <v>151</v>
      </c>
      <c r="BX162" s="2" t="s">
        <v>139</v>
      </c>
      <c r="BY16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62" s="2">
        <f>IF(AND(Cases[[#This Row],[Priority Level]]&gt;=3,Cases[[#This Row],[System Role]]&lt;&gt;"Productive"),1,0)</f>
        <v>0</v>
      </c>
      <c r="CA162" s="2">
        <f>IFERROR(IF(Cases[[#This Row],[Days at Customer]]&gt;MAX(1,Cases[[#This Row],[Days at SAP]]*2),1,0),0)</f>
        <v>0</v>
      </c>
      <c r="CB162" s="2">
        <f>IF(AND(Cases[[#This Row],[Initial Component]]&lt;&gt;"",Cases[[#This Row],[Component]]&lt;&gt;"",Cases[[#This Row],[Initial Component]]&lt;&gt;Cases[[#This Row],[Component]]),1,0)</f>
        <v>0</v>
      </c>
      <c r="CC162" s="2">
        <f>IF(OR(Cases[[#This Row],[Is Reopened]]="X",Cases[[#This Row],[No. of Reopenings]]&gt;0),1,0)</f>
        <v>0</v>
      </c>
      <c r="CD162" s="2">
        <f>IF(Cases[[#This Row],[Confirmation Type]]="Automatic",1,0)</f>
        <v>0</v>
      </c>
      <c r="CE162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163" spans="1:83" x14ac:dyDescent="0.2">
      <c r="A163" s="1" t="s">
        <v>1189</v>
      </c>
      <c r="B163" s="2" t="s">
        <v>1190</v>
      </c>
      <c r="C163" s="2" t="s">
        <v>1191</v>
      </c>
      <c r="D163" s="2" t="s">
        <v>238</v>
      </c>
      <c r="E163" s="3">
        <v>0.05</v>
      </c>
      <c r="F163" s="3">
        <v>21.43</v>
      </c>
      <c r="G163" s="2" t="s">
        <v>251</v>
      </c>
      <c r="H163" s="2" t="s">
        <v>252</v>
      </c>
      <c r="I163" s="3" t="s">
        <v>114</v>
      </c>
      <c r="J163" s="3">
        <v>68</v>
      </c>
      <c r="K163" s="2" t="s">
        <v>1192</v>
      </c>
      <c r="L163" s="4">
        <v>46082</v>
      </c>
      <c r="M163" s="4">
        <v>46081</v>
      </c>
      <c r="N163" s="2" t="s">
        <v>677</v>
      </c>
      <c r="O163" s="2" t="s">
        <v>181</v>
      </c>
      <c r="P163" s="2" t="s">
        <v>678</v>
      </c>
      <c r="Q163" s="2" t="s">
        <v>86</v>
      </c>
      <c r="R163" s="2" t="s">
        <v>1193</v>
      </c>
      <c r="S163" s="4">
        <v>46059</v>
      </c>
      <c r="T163" s="2" t="s">
        <v>677</v>
      </c>
      <c r="U163" s="2" t="s">
        <v>181</v>
      </c>
      <c r="V163" s="2" t="s">
        <v>1165</v>
      </c>
      <c r="W163" s="2" t="s">
        <v>86</v>
      </c>
      <c r="X163" s="2" t="s">
        <v>117</v>
      </c>
      <c r="Y163" s="3" t="s">
        <v>118</v>
      </c>
      <c r="Z163" s="3">
        <v>21.47</v>
      </c>
      <c r="AA163" s="2" t="s">
        <v>90</v>
      </c>
      <c r="AB163" s="2" t="s">
        <v>1193</v>
      </c>
      <c r="AC163" s="2" t="s">
        <v>1191</v>
      </c>
      <c r="AD163" t="str" cm="1">
        <f t="array" ref="AD16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163" s="2" t="s">
        <v>91</v>
      </c>
      <c r="AF163" s="2" t="s">
        <v>92</v>
      </c>
      <c r="AG163" s="2" t="s">
        <v>159</v>
      </c>
      <c r="AH163" s="2" t="s">
        <v>160</v>
      </c>
      <c r="AK163" s="2" t="s">
        <v>1194</v>
      </c>
      <c r="AN163" s="3">
        <v>1</v>
      </c>
      <c r="AO163" s="3">
        <v>1</v>
      </c>
      <c r="AP163" s="3">
        <v>1</v>
      </c>
      <c r="AQ163" s="3">
        <v>1</v>
      </c>
      <c r="AR163" s="3">
        <v>1</v>
      </c>
      <c r="AS163" s="3">
        <v>0</v>
      </c>
      <c r="AT163" s="3">
        <v>0</v>
      </c>
      <c r="AU163" s="3">
        <v>0</v>
      </c>
      <c r="AV163" s="3">
        <v>1</v>
      </c>
      <c r="AW163" s="3">
        <v>0</v>
      </c>
      <c r="AX163" s="3">
        <v>1</v>
      </c>
      <c r="AY163" s="3">
        <v>0</v>
      </c>
      <c r="AZ163" s="3">
        <v>0</v>
      </c>
      <c r="BA163" s="3">
        <v>0</v>
      </c>
      <c r="BB163" s="3">
        <v>0</v>
      </c>
      <c r="BC163" s="3">
        <v>1</v>
      </c>
      <c r="BD163" s="3">
        <v>0</v>
      </c>
      <c r="BE163" s="3">
        <v>0</v>
      </c>
      <c r="BG163" s="2" t="s">
        <v>91</v>
      </c>
      <c r="BH163" s="3">
        <v>3</v>
      </c>
      <c r="BJ163" s="2" t="s">
        <v>96</v>
      </c>
      <c r="BL163" s="2" t="s">
        <v>97</v>
      </c>
      <c r="BM163" s="2" t="s">
        <v>98</v>
      </c>
      <c r="BN163" s="2" t="s">
        <v>99</v>
      </c>
      <c r="BO163" s="2" t="s">
        <v>100</v>
      </c>
      <c r="BP163" s="2" t="s">
        <v>242</v>
      </c>
      <c r="BQ163" s="2" t="s">
        <v>102</v>
      </c>
      <c r="BR163" s="2" t="s">
        <v>103</v>
      </c>
      <c r="BS163" s="2" t="s">
        <v>127</v>
      </c>
      <c r="BT163" s="2" t="s">
        <v>661</v>
      </c>
      <c r="BU163" s="2" t="s">
        <v>662</v>
      </c>
      <c r="BV163" s="2" t="s">
        <v>150</v>
      </c>
      <c r="BW163" s="2" t="s">
        <v>151</v>
      </c>
      <c r="BX163" s="2" t="s">
        <v>91</v>
      </c>
      <c r="BY16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63" s="2">
        <f>IF(AND(Cases[[#This Row],[Priority Level]]&gt;=3,Cases[[#This Row],[System Role]]&lt;&gt;"Productive"),1,0)</f>
        <v>0</v>
      </c>
      <c r="CA163" s="2">
        <f>IFERROR(IF(Cases[[#This Row],[Days at Customer]]&gt;MAX(1,Cases[[#This Row],[Days at SAP]]*2),1,0),0)</f>
        <v>1</v>
      </c>
      <c r="CB163" s="2">
        <f>IF(AND(Cases[[#This Row],[Initial Component]]&lt;&gt;"",Cases[[#This Row],[Component]]&lt;&gt;"",Cases[[#This Row],[Initial Component]]&lt;&gt;Cases[[#This Row],[Component]]),1,0)</f>
        <v>0</v>
      </c>
      <c r="CC163" s="2">
        <f>IF(OR(Cases[[#This Row],[Is Reopened]]="X",Cases[[#This Row],[No. of Reopenings]]&gt;0),1,0)</f>
        <v>0</v>
      </c>
      <c r="CD163" s="2">
        <f>IF(Cases[[#This Row],[Confirmation Type]]="Automatic",1,0)</f>
        <v>1</v>
      </c>
      <c r="CE163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64" spans="1:83" x14ac:dyDescent="0.2">
      <c r="A164" s="1" t="s">
        <v>1195</v>
      </c>
      <c r="B164" s="2" t="s">
        <v>1196</v>
      </c>
      <c r="C164" s="2" t="s">
        <v>929</v>
      </c>
      <c r="D164" s="2" t="s">
        <v>238</v>
      </c>
      <c r="E164" s="3">
        <v>0.22</v>
      </c>
      <c r="F164" s="3">
        <v>21.49</v>
      </c>
      <c r="G164" s="2" t="s">
        <v>79</v>
      </c>
      <c r="H164" s="2" t="s">
        <v>178</v>
      </c>
      <c r="I164" s="3" t="s">
        <v>114</v>
      </c>
      <c r="J164" s="3">
        <v>68</v>
      </c>
      <c r="K164" s="2" t="s">
        <v>1197</v>
      </c>
      <c r="L164" s="4">
        <v>46082</v>
      </c>
      <c r="M164" s="4">
        <v>46081</v>
      </c>
      <c r="N164" s="2" t="s">
        <v>677</v>
      </c>
      <c r="O164" s="2" t="s">
        <v>181</v>
      </c>
      <c r="P164" s="2" t="s">
        <v>678</v>
      </c>
      <c r="Q164" s="2" t="s">
        <v>86</v>
      </c>
      <c r="R164" s="2" t="s">
        <v>928</v>
      </c>
      <c r="S164" s="4">
        <v>46059</v>
      </c>
      <c r="T164" s="2" t="s">
        <v>677</v>
      </c>
      <c r="U164" s="2" t="s">
        <v>181</v>
      </c>
      <c r="V164" s="2" t="s">
        <v>1165</v>
      </c>
      <c r="W164" s="2" t="s">
        <v>86</v>
      </c>
      <c r="X164" s="2" t="s">
        <v>117</v>
      </c>
      <c r="Y164" s="3" t="s">
        <v>118</v>
      </c>
      <c r="Z164" s="3">
        <v>21.71</v>
      </c>
      <c r="AA164" s="2" t="s">
        <v>138</v>
      </c>
      <c r="AB164" s="2" t="s">
        <v>928</v>
      </c>
      <c r="AC164" s="2" t="s">
        <v>929</v>
      </c>
      <c r="AD164" t="str" cm="1">
        <f t="array" ref="AD16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EAM</v>
      </c>
      <c r="AE164" s="2" t="s">
        <v>91</v>
      </c>
      <c r="AF164" s="2" t="s">
        <v>92</v>
      </c>
      <c r="AG164" s="2" t="s">
        <v>274</v>
      </c>
      <c r="AH164" s="2" t="s">
        <v>275</v>
      </c>
      <c r="AK164" s="2" t="s">
        <v>1198</v>
      </c>
      <c r="AN164" s="3">
        <v>1</v>
      </c>
      <c r="AO164" s="3">
        <v>1</v>
      </c>
      <c r="AP164" s="3">
        <v>1</v>
      </c>
      <c r="AQ164" s="3">
        <v>1</v>
      </c>
      <c r="AR164" s="3">
        <v>1</v>
      </c>
      <c r="AS164" s="3">
        <v>0</v>
      </c>
      <c r="AT164" s="3">
        <v>0</v>
      </c>
      <c r="AU164" s="3">
        <v>0</v>
      </c>
      <c r="AV164" s="3">
        <v>1</v>
      </c>
      <c r="AW164" s="3">
        <v>0</v>
      </c>
      <c r="AX164" s="3">
        <v>1</v>
      </c>
      <c r="AY164" s="3">
        <v>0</v>
      </c>
      <c r="AZ164" s="3">
        <v>0</v>
      </c>
      <c r="BA164" s="3">
        <v>0</v>
      </c>
      <c r="BB164" s="3">
        <v>0</v>
      </c>
      <c r="BC164" s="3">
        <v>1</v>
      </c>
      <c r="BD164" s="3">
        <v>0</v>
      </c>
      <c r="BE164" s="3">
        <v>0</v>
      </c>
      <c r="BG164" s="2" t="s">
        <v>91</v>
      </c>
      <c r="BH164" s="3">
        <v>3</v>
      </c>
      <c r="BJ164" s="2" t="s">
        <v>96</v>
      </c>
      <c r="BL164" s="2" t="s">
        <v>931</v>
      </c>
      <c r="BM164" s="2" t="s">
        <v>932</v>
      </c>
      <c r="BN164" s="2" t="s">
        <v>279</v>
      </c>
      <c r="BO164" s="2" t="s">
        <v>280</v>
      </c>
      <c r="BP164" s="2" t="s">
        <v>242</v>
      </c>
      <c r="BQ164" s="2" t="s">
        <v>448</v>
      </c>
      <c r="BR164" s="2" t="s">
        <v>449</v>
      </c>
      <c r="BS164" s="2" t="s">
        <v>450</v>
      </c>
      <c r="BT164" s="2" t="s">
        <v>148</v>
      </c>
      <c r="BU164" s="2" t="s">
        <v>933</v>
      </c>
      <c r="BV164" s="2" t="s">
        <v>150</v>
      </c>
      <c r="BW164" s="2" t="s">
        <v>151</v>
      </c>
      <c r="BX164" s="2" t="s">
        <v>91</v>
      </c>
      <c r="BY16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64" s="2">
        <f>IF(AND(Cases[[#This Row],[Priority Level]]&gt;=3,Cases[[#This Row],[System Role]]&lt;&gt;"Productive"),1,0)</f>
        <v>0</v>
      </c>
      <c r="CA164" s="2">
        <f>IFERROR(IF(Cases[[#This Row],[Days at Customer]]&gt;MAX(1,Cases[[#This Row],[Days at SAP]]*2),1,0),0)</f>
        <v>1</v>
      </c>
      <c r="CB164" s="2">
        <f>IF(AND(Cases[[#This Row],[Initial Component]]&lt;&gt;"",Cases[[#This Row],[Component]]&lt;&gt;"",Cases[[#This Row],[Initial Component]]&lt;&gt;Cases[[#This Row],[Component]]),1,0)</f>
        <v>0</v>
      </c>
      <c r="CC164" s="2">
        <f>IF(OR(Cases[[#This Row],[Is Reopened]]="X",Cases[[#This Row],[No. of Reopenings]]&gt;0),1,0)</f>
        <v>0</v>
      </c>
      <c r="CD164" s="2">
        <f>IF(Cases[[#This Row],[Confirmation Type]]="Automatic",1,0)</f>
        <v>1</v>
      </c>
      <c r="CE164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65" spans="1:83" x14ac:dyDescent="0.2">
      <c r="A165" s="1" t="s">
        <v>1199</v>
      </c>
      <c r="B165" s="2" t="s">
        <v>1200</v>
      </c>
      <c r="C165" s="2" t="s">
        <v>77</v>
      </c>
      <c r="D165" s="2" t="s">
        <v>78</v>
      </c>
      <c r="E165" s="3">
        <v>0.7</v>
      </c>
      <c r="F165" s="3">
        <v>4.3499999999999996</v>
      </c>
      <c r="G165" s="2" t="s">
        <v>79</v>
      </c>
      <c r="H165" s="2" t="s">
        <v>80</v>
      </c>
      <c r="I165" s="3" t="s">
        <v>114</v>
      </c>
      <c r="J165" s="3">
        <v>68</v>
      </c>
      <c r="K165" s="2" t="s">
        <v>1201</v>
      </c>
      <c r="L165" s="4">
        <v>46068</v>
      </c>
      <c r="M165" s="4">
        <v>46064</v>
      </c>
      <c r="N165" s="2" t="s">
        <v>677</v>
      </c>
      <c r="O165" s="2" t="s">
        <v>181</v>
      </c>
      <c r="P165" s="2" t="s">
        <v>1079</v>
      </c>
      <c r="Q165" s="2" t="s">
        <v>86</v>
      </c>
      <c r="R165" s="2" t="s">
        <v>87</v>
      </c>
      <c r="S165" s="4">
        <v>46059</v>
      </c>
      <c r="T165" s="2" t="s">
        <v>677</v>
      </c>
      <c r="U165" s="2" t="s">
        <v>181</v>
      </c>
      <c r="V165" s="2" t="s">
        <v>1165</v>
      </c>
      <c r="W165" s="2" t="s">
        <v>86</v>
      </c>
      <c r="X165" s="2" t="s">
        <v>117</v>
      </c>
      <c r="Y165" s="3" t="s">
        <v>118</v>
      </c>
      <c r="Z165" s="3">
        <v>5.05</v>
      </c>
      <c r="AA165" s="2" t="s">
        <v>90</v>
      </c>
      <c r="AB165" s="2" t="s">
        <v>87</v>
      </c>
      <c r="AC165" s="2" t="s">
        <v>77</v>
      </c>
      <c r="AD165" t="str" cm="1">
        <f t="array" ref="AD16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165" s="2" t="s">
        <v>91</v>
      </c>
      <c r="AF165" s="2" t="s">
        <v>92</v>
      </c>
      <c r="AG165" s="2" t="s">
        <v>527</v>
      </c>
      <c r="AH165" s="2" t="s">
        <v>528</v>
      </c>
      <c r="AJ165" s="2" t="s">
        <v>122</v>
      </c>
      <c r="AK165" s="2" t="s">
        <v>1202</v>
      </c>
      <c r="AN165" s="3">
        <v>1</v>
      </c>
      <c r="AO165" s="3">
        <v>1</v>
      </c>
      <c r="AP165" s="3">
        <v>1</v>
      </c>
      <c r="AQ165" s="3">
        <v>1</v>
      </c>
      <c r="AR165" s="3">
        <v>0</v>
      </c>
      <c r="AS165" s="3">
        <v>0</v>
      </c>
      <c r="AT165" s="3">
        <v>0</v>
      </c>
      <c r="AU165" s="3">
        <v>1</v>
      </c>
      <c r="AV165" s="3">
        <v>0</v>
      </c>
      <c r="AW165" s="3">
        <v>1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1</v>
      </c>
      <c r="BD165" s="3">
        <v>1</v>
      </c>
      <c r="BE165" s="3">
        <v>1</v>
      </c>
      <c r="BG165" s="2" t="s">
        <v>182</v>
      </c>
      <c r="BH165" s="3">
        <v>4</v>
      </c>
      <c r="BJ165" s="2" t="s">
        <v>96</v>
      </c>
      <c r="BL165" s="2" t="s">
        <v>184</v>
      </c>
      <c r="BM165" s="2" t="s">
        <v>184</v>
      </c>
      <c r="BN165" s="2" t="s">
        <v>124</v>
      </c>
      <c r="BO165" s="2" t="s">
        <v>125</v>
      </c>
      <c r="BP165" s="2" t="s">
        <v>101</v>
      </c>
      <c r="BQ165" s="2" t="s">
        <v>124</v>
      </c>
      <c r="BR165" s="2" t="s">
        <v>126</v>
      </c>
      <c r="BS165" s="2" t="s">
        <v>127</v>
      </c>
      <c r="BT165" s="2" t="s">
        <v>185</v>
      </c>
      <c r="BU165" s="2" t="s">
        <v>530</v>
      </c>
      <c r="BV165" s="2" t="s">
        <v>150</v>
      </c>
      <c r="BW165" s="2" t="s">
        <v>151</v>
      </c>
      <c r="BX165" s="2" t="s">
        <v>182</v>
      </c>
      <c r="BY16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65" s="2">
        <f>IF(AND(Cases[[#This Row],[Priority Level]]&gt;=3,Cases[[#This Row],[System Role]]&lt;&gt;"Productive"),1,0)</f>
        <v>0</v>
      </c>
      <c r="CA165" s="2">
        <f>IFERROR(IF(Cases[[#This Row],[Days at Customer]]&gt;MAX(1,Cases[[#This Row],[Days at SAP]]*2),1,0),0)</f>
        <v>1</v>
      </c>
      <c r="CB165" s="2">
        <f>IF(AND(Cases[[#This Row],[Initial Component]]&lt;&gt;"",Cases[[#This Row],[Component]]&lt;&gt;"",Cases[[#This Row],[Initial Component]]&lt;&gt;Cases[[#This Row],[Component]]),1,0)</f>
        <v>0</v>
      </c>
      <c r="CC165" s="2">
        <f>IF(OR(Cases[[#This Row],[Is Reopened]]="X",Cases[[#This Row],[No. of Reopenings]]&gt;0),1,0)</f>
        <v>1</v>
      </c>
      <c r="CD165" s="2">
        <f>IF(Cases[[#This Row],[Confirmation Type]]="Automatic",1,0)</f>
        <v>0</v>
      </c>
      <c r="CE165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66" spans="1:83" x14ac:dyDescent="0.2">
      <c r="A166" s="1" t="s">
        <v>1203</v>
      </c>
      <c r="B166" s="2" t="s">
        <v>1204</v>
      </c>
      <c r="C166" s="2" t="s">
        <v>432</v>
      </c>
      <c r="D166" s="2" t="s">
        <v>238</v>
      </c>
      <c r="E166" s="3">
        <v>6.34</v>
      </c>
      <c r="F166" s="3">
        <v>21.42</v>
      </c>
      <c r="G166" s="2" t="s">
        <v>190</v>
      </c>
      <c r="H166" s="2" t="s">
        <v>1205</v>
      </c>
      <c r="I166" s="3" t="s">
        <v>114</v>
      </c>
      <c r="J166" s="3">
        <v>69</v>
      </c>
      <c r="K166" s="2" t="s">
        <v>1206</v>
      </c>
      <c r="L166" s="4">
        <v>46089</v>
      </c>
      <c r="M166" s="4">
        <v>46086</v>
      </c>
      <c r="N166" s="2" t="s">
        <v>180</v>
      </c>
      <c r="O166" s="2" t="s">
        <v>181</v>
      </c>
      <c r="P166" s="2" t="s">
        <v>526</v>
      </c>
      <c r="Q166" s="2" t="s">
        <v>86</v>
      </c>
      <c r="R166" s="2" t="s">
        <v>434</v>
      </c>
      <c r="S166" s="4">
        <v>46058</v>
      </c>
      <c r="T166" s="2" t="s">
        <v>677</v>
      </c>
      <c r="U166" s="2" t="s">
        <v>181</v>
      </c>
      <c r="V166" s="2" t="s">
        <v>1165</v>
      </c>
      <c r="W166" s="2" t="s">
        <v>86</v>
      </c>
      <c r="X166" s="2" t="s">
        <v>117</v>
      </c>
      <c r="Y166" s="3" t="s">
        <v>118</v>
      </c>
      <c r="Z166" s="3">
        <v>27.77</v>
      </c>
      <c r="AA166" s="2" t="s">
        <v>90</v>
      </c>
      <c r="AB166" s="2" t="s">
        <v>434</v>
      </c>
      <c r="AC166" s="2" t="s">
        <v>432</v>
      </c>
      <c r="AD166" t="str" cm="1">
        <f t="array" ref="AD16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166" s="2" t="s">
        <v>139</v>
      </c>
      <c r="AF166" s="2" t="s">
        <v>92</v>
      </c>
      <c r="AG166" s="2" t="s">
        <v>119</v>
      </c>
      <c r="AH166" s="2" t="s">
        <v>120</v>
      </c>
      <c r="AK166" s="2" t="s">
        <v>1207</v>
      </c>
      <c r="AN166" s="3">
        <v>1</v>
      </c>
      <c r="AO166" s="3">
        <v>1</v>
      </c>
      <c r="AP166" s="3">
        <v>1</v>
      </c>
      <c r="AQ166" s="3">
        <v>1</v>
      </c>
      <c r="AR166" s="3">
        <v>0</v>
      </c>
      <c r="AS166" s="3">
        <v>0</v>
      </c>
      <c r="AT166" s="3">
        <v>1</v>
      </c>
      <c r="AU166" s="3">
        <v>0</v>
      </c>
      <c r="AV166" s="3">
        <v>1</v>
      </c>
      <c r="AW166" s="3">
        <v>0</v>
      </c>
      <c r="AX166" s="3">
        <v>0</v>
      </c>
      <c r="AY166" s="3">
        <v>0</v>
      </c>
      <c r="AZ166" s="3">
        <v>1</v>
      </c>
      <c r="BA166" s="3">
        <v>1</v>
      </c>
      <c r="BB166" s="3">
        <v>0</v>
      </c>
      <c r="BC166" s="3">
        <v>0</v>
      </c>
      <c r="BD166" s="3">
        <v>0</v>
      </c>
      <c r="BE166" s="3">
        <v>0</v>
      </c>
      <c r="BG166" s="2" t="s">
        <v>139</v>
      </c>
      <c r="BH166" s="3">
        <v>2</v>
      </c>
      <c r="BJ166" s="2" t="s">
        <v>96</v>
      </c>
      <c r="BL166" s="2" t="s">
        <v>123</v>
      </c>
      <c r="BM166" s="2" t="s">
        <v>123</v>
      </c>
      <c r="BN166" s="2" t="s">
        <v>124</v>
      </c>
      <c r="BO166" s="2" t="s">
        <v>125</v>
      </c>
      <c r="BP166" s="2" t="s">
        <v>242</v>
      </c>
      <c r="BQ166" s="2" t="s">
        <v>124</v>
      </c>
      <c r="BR166" s="2" t="s">
        <v>126</v>
      </c>
      <c r="BS166" s="2" t="s">
        <v>127</v>
      </c>
      <c r="BT166" s="2" t="s">
        <v>199</v>
      </c>
      <c r="BU166" s="2" t="s">
        <v>200</v>
      </c>
      <c r="BV166" s="2" t="s">
        <v>166</v>
      </c>
      <c r="BW166" s="2" t="s">
        <v>167</v>
      </c>
      <c r="BX166" s="2" t="s">
        <v>139</v>
      </c>
      <c r="BY16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66" s="2">
        <f>IF(AND(Cases[[#This Row],[Priority Level]]&gt;=3,Cases[[#This Row],[System Role]]&lt;&gt;"Productive"),1,0)</f>
        <v>0</v>
      </c>
      <c r="CA166" s="2">
        <f>IFERROR(IF(Cases[[#This Row],[Days at Customer]]&gt;MAX(1,Cases[[#This Row],[Days at SAP]]*2),1,0),0)</f>
        <v>1</v>
      </c>
      <c r="CB166" s="2">
        <f>IF(AND(Cases[[#This Row],[Initial Component]]&lt;&gt;"",Cases[[#This Row],[Component]]&lt;&gt;"",Cases[[#This Row],[Initial Component]]&lt;&gt;Cases[[#This Row],[Component]]),1,0)</f>
        <v>0</v>
      </c>
      <c r="CC166" s="2">
        <f>IF(OR(Cases[[#This Row],[Is Reopened]]="X",Cases[[#This Row],[No. of Reopenings]]&gt;0),1,0)</f>
        <v>0</v>
      </c>
      <c r="CD166" s="2">
        <f>IF(Cases[[#This Row],[Confirmation Type]]="Automatic",1,0)</f>
        <v>1</v>
      </c>
      <c r="CE166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67" spans="1:83" x14ac:dyDescent="0.2">
      <c r="A167" s="1" t="s">
        <v>1208</v>
      </c>
      <c r="B167" s="2" t="s">
        <v>1209</v>
      </c>
      <c r="C167" s="2" t="s">
        <v>1210</v>
      </c>
      <c r="D167" s="2" t="s">
        <v>238</v>
      </c>
      <c r="E167" s="3">
        <v>2.5499999999999998</v>
      </c>
      <c r="F167" s="3">
        <v>21.06</v>
      </c>
      <c r="G167" s="2" t="s">
        <v>79</v>
      </c>
      <c r="H167" s="2" t="s">
        <v>155</v>
      </c>
      <c r="I167" s="3" t="s">
        <v>114</v>
      </c>
      <c r="J167" s="3">
        <v>69</v>
      </c>
      <c r="K167" s="2" t="s">
        <v>1211</v>
      </c>
      <c r="L167" s="4">
        <v>46089</v>
      </c>
      <c r="M167" s="4">
        <v>46081</v>
      </c>
      <c r="N167" s="2" t="s">
        <v>677</v>
      </c>
      <c r="O167" s="2" t="s">
        <v>181</v>
      </c>
      <c r="P167" s="2" t="s">
        <v>678</v>
      </c>
      <c r="Q167" s="2" t="s">
        <v>86</v>
      </c>
      <c r="R167" s="2" t="s">
        <v>1212</v>
      </c>
      <c r="S167" s="4">
        <v>46058</v>
      </c>
      <c r="T167" s="2" t="s">
        <v>677</v>
      </c>
      <c r="U167" s="2" t="s">
        <v>181</v>
      </c>
      <c r="V167" s="2" t="s">
        <v>1165</v>
      </c>
      <c r="W167" s="2" t="s">
        <v>86</v>
      </c>
      <c r="X167" s="2" t="s">
        <v>117</v>
      </c>
      <c r="Y167" s="3" t="s">
        <v>118</v>
      </c>
      <c r="Z167" s="3">
        <v>23.61</v>
      </c>
      <c r="AA167" s="2" t="s">
        <v>90</v>
      </c>
      <c r="AB167" s="2" t="s">
        <v>1213</v>
      </c>
      <c r="AC167" s="2" t="s">
        <v>1214</v>
      </c>
      <c r="AD167" t="str" cm="1">
        <f t="array" ref="AD16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167" s="2" t="s">
        <v>139</v>
      </c>
      <c r="AF167" s="2" t="s">
        <v>92</v>
      </c>
      <c r="AG167" s="2" t="s">
        <v>119</v>
      </c>
      <c r="AH167" s="2" t="s">
        <v>120</v>
      </c>
      <c r="AK167" s="2" t="s">
        <v>1215</v>
      </c>
      <c r="AN167" s="3">
        <v>1</v>
      </c>
      <c r="AO167" s="3">
        <v>1</v>
      </c>
      <c r="AP167" s="3">
        <v>1</v>
      </c>
      <c r="AQ167" s="3">
        <v>1</v>
      </c>
      <c r="AR167" s="3">
        <v>0</v>
      </c>
      <c r="AS167" s="3">
        <v>0</v>
      </c>
      <c r="AT167" s="3">
        <v>1</v>
      </c>
      <c r="AU167" s="3">
        <v>0</v>
      </c>
      <c r="AV167" s="3">
        <v>1</v>
      </c>
      <c r="AW167" s="3">
        <v>0</v>
      </c>
      <c r="AX167" s="3">
        <v>0</v>
      </c>
      <c r="AY167" s="3">
        <v>0</v>
      </c>
      <c r="AZ167" s="3">
        <v>1</v>
      </c>
      <c r="BA167" s="3">
        <v>1</v>
      </c>
      <c r="BB167" s="3">
        <v>0</v>
      </c>
      <c r="BC167" s="3">
        <v>0</v>
      </c>
      <c r="BD167" s="3">
        <v>0</v>
      </c>
      <c r="BE167" s="3">
        <v>0</v>
      </c>
      <c r="BG167" s="2" t="s">
        <v>139</v>
      </c>
      <c r="BH167" s="3">
        <v>2</v>
      </c>
      <c r="BJ167" s="2" t="s">
        <v>96</v>
      </c>
      <c r="BL167" s="2" t="s">
        <v>123</v>
      </c>
      <c r="BM167" s="2" t="s">
        <v>123</v>
      </c>
      <c r="BN167" s="2" t="s">
        <v>124</v>
      </c>
      <c r="BO167" s="2" t="s">
        <v>125</v>
      </c>
      <c r="BP167" s="2" t="s">
        <v>242</v>
      </c>
      <c r="BQ167" s="2" t="s">
        <v>124</v>
      </c>
      <c r="BR167" s="2" t="s">
        <v>126</v>
      </c>
      <c r="BS167" s="2" t="s">
        <v>127</v>
      </c>
      <c r="BT167" s="2" t="s">
        <v>199</v>
      </c>
      <c r="BU167" s="2" t="s">
        <v>200</v>
      </c>
      <c r="BV167" s="2" t="s">
        <v>166</v>
      </c>
      <c r="BW167" s="2" t="s">
        <v>167</v>
      </c>
      <c r="BX167" s="2" t="s">
        <v>139</v>
      </c>
      <c r="BY16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67" s="2">
        <f>IF(AND(Cases[[#This Row],[Priority Level]]&gt;=3,Cases[[#This Row],[System Role]]&lt;&gt;"Productive"),1,0)</f>
        <v>0</v>
      </c>
      <c r="CA167" s="2">
        <f>IFERROR(IF(Cases[[#This Row],[Days at Customer]]&gt;MAX(1,Cases[[#This Row],[Days at SAP]]*2),1,0),0)</f>
        <v>1</v>
      </c>
      <c r="CB167" s="2">
        <f>IF(AND(Cases[[#This Row],[Initial Component]]&lt;&gt;"",Cases[[#This Row],[Component]]&lt;&gt;"",Cases[[#This Row],[Initial Component]]&lt;&gt;Cases[[#This Row],[Component]]),1,0)</f>
        <v>1</v>
      </c>
      <c r="CC167" s="2">
        <f>IF(OR(Cases[[#This Row],[Is Reopened]]="X",Cases[[#This Row],[No. of Reopenings]]&gt;0),1,0)</f>
        <v>0</v>
      </c>
      <c r="CD167" s="2">
        <f>IF(Cases[[#This Row],[Confirmation Type]]="Automatic",1,0)</f>
        <v>1</v>
      </c>
      <c r="CE167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168" spans="1:83" x14ac:dyDescent="0.2">
      <c r="A168" s="1" t="s">
        <v>2098</v>
      </c>
      <c r="B168" s="2" t="s">
        <v>2099</v>
      </c>
      <c r="C168" s="2" t="s">
        <v>203</v>
      </c>
      <c r="D168" s="2" t="s">
        <v>238</v>
      </c>
      <c r="E168" s="3">
        <v>0</v>
      </c>
      <c r="F168" s="3">
        <v>22.39</v>
      </c>
      <c r="G168" s="2" t="s">
        <v>112</v>
      </c>
      <c r="H168" s="2" t="s">
        <v>113</v>
      </c>
      <c r="I168" s="3" t="s">
        <v>114</v>
      </c>
      <c r="J168" s="3">
        <v>126</v>
      </c>
      <c r="K168" s="2" t="s">
        <v>2100</v>
      </c>
      <c r="L168" s="4">
        <v>46026</v>
      </c>
      <c r="M168" s="4">
        <v>46025</v>
      </c>
      <c r="N168" s="2" t="s">
        <v>1334</v>
      </c>
      <c r="O168" s="2" t="s">
        <v>181</v>
      </c>
      <c r="P168" s="2" t="s">
        <v>1334</v>
      </c>
      <c r="Q168" s="2" t="s">
        <v>86</v>
      </c>
      <c r="R168" s="2" t="s">
        <v>205</v>
      </c>
      <c r="S168" s="4">
        <v>46001</v>
      </c>
      <c r="T168" s="2" t="s">
        <v>1804</v>
      </c>
      <c r="U168" s="2" t="s">
        <v>1805</v>
      </c>
      <c r="V168" s="2" t="s">
        <v>2037</v>
      </c>
      <c r="W168" s="2" t="s">
        <v>1806</v>
      </c>
      <c r="X168" s="2" t="s">
        <v>117</v>
      </c>
      <c r="Y168" s="3" t="s">
        <v>118</v>
      </c>
      <c r="Z168" s="3">
        <v>22.39</v>
      </c>
      <c r="AA168" s="2" t="s">
        <v>90</v>
      </c>
      <c r="AB168" s="2" t="s">
        <v>205</v>
      </c>
      <c r="AC168" s="2" t="s">
        <v>203</v>
      </c>
      <c r="AD168" t="str" cm="1">
        <f t="array" ref="AD16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168" s="2" t="s">
        <v>91</v>
      </c>
      <c r="AF168" s="2" t="s">
        <v>92</v>
      </c>
      <c r="AG168" s="2" t="s">
        <v>119</v>
      </c>
      <c r="AH168" s="2" t="s">
        <v>120</v>
      </c>
      <c r="AK168" s="2" t="s">
        <v>2101</v>
      </c>
      <c r="AN168" s="3">
        <v>1</v>
      </c>
      <c r="AO168" s="3">
        <v>1</v>
      </c>
      <c r="AP168" s="3">
        <v>1</v>
      </c>
      <c r="AQ168" s="3">
        <v>1</v>
      </c>
      <c r="AR168" s="3">
        <v>1</v>
      </c>
      <c r="AS168" s="3">
        <v>0</v>
      </c>
      <c r="AT168" s="3">
        <v>0</v>
      </c>
      <c r="AU168" s="3">
        <v>0</v>
      </c>
      <c r="AV168" s="3">
        <v>1</v>
      </c>
      <c r="AW168" s="3">
        <v>0</v>
      </c>
      <c r="AX168" s="3">
        <v>1</v>
      </c>
      <c r="AY168" s="3">
        <v>0</v>
      </c>
      <c r="AZ168" s="3">
        <v>0</v>
      </c>
      <c r="BA168" s="3">
        <v>0</v>
      </c>
      <c r="BB168" s="3">
        <v>0</v>
      </c>
      <c r="BC168" s="3">
        <v>1</v>
      </c>
      <c r="BD168" s="3">
        <v>0</v>
      </c>
      <c r="BE168" s="3">
        <v>0</v>
      </c>
      <c r="BG168" s="2" t="s">
        <v>91</v>
      </c>
      <c r="BH168" s="3">
        <v>3</v>
      </c>
      <c r="BI168" s="2" t="s">
        <v>122</v>
      </c>
      <c r="BJ168" s="2" t="s">
        <v>96</v>
      </c>
      <c r="BL168" s="2" t="s">
        <v>123</v>
      </c>
      <c r="BM168" s="2" t="s">
        <v>123</v>
      </c>
      <c r="BN168" s="2" t="s">
        <v>124</v>
      </c>
      <c r="BO168" s="2" t="s">
        <v>125</v>
      </c>
      <c r="BP168" s="2" t="s">
        <v>242</v>
      </c>
      <c r="BQ168" s="2" t="s">
        <v>124</v>
      </c>
      <c r="BR168" s="2" t="s">
        <v>126</v>
      </c>
      <c r="BS168" s="2" t="s">
        <v>127</v>
      </c>
      <c r="BT168" s="2" t="s">
        <v>207</v>
      </c>
      <c r="BU168" s="2" t="s">
        <v>208</v>
      </c>
      <c r="BV168" s="2" t="s">
        <v>150</v>
      </c>
      <c r="BW168" s="2" t="s">
        <v>151</v>
      </c>
      <c r="BX168" s="2" t="s">
        <v>182</v>
      </c>
      <c r="BY16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68" s="2">
        <f>IF(AND(Cases[[#This Row],[Priority Level]]&gt;=3,Cases[[#This Row],[System Role]]&lt;&gt;"Productive"),1,0)</f>
        <v>0</v>
      </c>
      <c r="CA168" s="2">
        <f>IFERROR(IF(Cases[[#This Row],[Days at Customer]]&gt;MAX(1,Cases[[#This Row],[Days at SAP]]*2),1,0),0)</f>
        <v>1</v>
      </c>
      <c r="CB168" s="2">
        <f>IF(AND(Cases[[#This Row],[Initial Component]]&lt;&gt;"",Cases[[#This Row],[Component]]&lt;&gt;"",Cases[[#This Row],[Initial Component]]&lt;&gt;Cases[[#This Row],[Component]]),1,0)</f>
        <v>0</v>
      </c>
      <c r="CC168" s="2">
        <f>IF(OR(Cases[[#This Row],[Is Reopened]]="X",Cases[[#This Row],[No. of Reopenings]]&gt;0),1,0)</f>
        <v>0</v>
      </c>
      <c r="CD168" s="2">
        <f>IF(Cases[[#This Row],[Confirmation Type]]="Automatic",1,0)</f>
        <v>1</v>
      </c>
      <c r="CE16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69" spans="1:83" x14ac:dyDescent="0.2">
      <c r="A169" s="1" t="s">
        <v>1223</v>
      </c>
      <c r="B169" s="2" t="s">
        <v>1224</v>
      </c>
      <c r="C169" s="2" t="s">
        <v>962</v>
      </c>
      <c r="D169" s="2" t="s">
        <v>78</v>
      </c>
      <c r="E169" s="3">
        <v>0.15</v>
      </c>
      <c r="F169" s="3">
        <v>5.79</v>
      </c>
      <c r="G169" s="2" t="s">
        <v>588</v>
      </c>
      <c r="H169" s="2" t="s">
        <v>113</v>
      </c>
      <c r="I169" s="3" t="s">
        <v>81</v>
      </c>
      <c r="J169" s="3">
        <v>69</v>
      </c>
      <c r="K169" s="2" t="s">
        <v>1225</v>
      </c>
      <c r="L169" s="4">
        <v>46075</v>
      </c>
      <c r="M169" s="4">
        <v>46064</v>
      </c>
      <c r="N169" s="2" t="s">
        <v>677</v>
      </c>
      <c r="O169" s="2" t="s">
        <v>181</v>
      </c>
      <c r="P169" s="2" t="s">
        <v>1079</v>
      </c>
      <c r="Q169" s="2" t="s">
        <v>86</v>
      </c>
      <c r="R169" s="2" t="s">
        <v>964</v>
      </c>
      <c r="S169" s="4">
        <v>46058</v>
      </c>
      <c r="T169" s="2" t="s">
        <v>677</v>
      </c>
      <c r="U169" s="2" t="s">
        <v>181</v>
      </c>
      <c r="V169" s="2" t="s">
        <v>1165</v>
      </c>
      <c r="W169" s="2" t="s">
        <v>86</v>
      </c>
      <c r="X169" s="2" t="s">
        <v>88</v>
      </c>
      <c r="Y169" s="3" t="s">
        <v>89</v>
      </c>
      <c r="Z169" s="3">
        <v>5.94</v>
      </c>
      <c r="AA169" s="2" t="s">
        <v>90</v>
      </c>
      <c r="AB169" s="2" t="s">
        <v>612</v>
      </c>
      <c r="AC169" s="2" t="s">
        <v>610</v>
      </c>
      <c r="AD169" t="str" cm="1">
        <f t="array" ref="AD16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169" s="2" t="s">
        <v>182</v>
      </c>
      <c r="AF169" s="2" t="s">
        <v>92</v>
      </c>
      <c r="AG169" s="2" t="s">
        <v>93</v>
      </c>
      <c r="AH169" s="2" t="s">
        <v>94</v>
      </c>
      <c r="AJ169" s="2" t="s">
        <v>122</v>
      </c>
      <c r="AK169" s="2" t="s">
        <v>1226</v>
      </c>
      <c r="AN169" s="3">
        <v>1</v>
      </c>
      <c r="AO169" s="3">
        <v>1</v>
      </c>
      <c r="AP169" s="3">
        <v>1</v>
      </c>
      <c r="AQ169" s="3">
        <v>1</v>
      </c>
      <c r="AR169" s="3">
        <v>0</v>
      </c>
      <c r="AS169" s="3">
        <v>0</v>
      </c>
      <c r="AT169" s="3">
        <v>0</v>
      </c>
      <c r="AU169" s="3">
        <v>1</v>
      </c>
      <c r="AV169" s="3">
        <v>0</v>
      </c>
      <c r="AW169" s="3">
        <v>1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1</v>
      </c>
      <c r="BD169" s="3">
        <v>1</v>
      </c>
      <c r="BE169" s="3">
        <v>1</v>
      </c>
      <c r="BG169" s="2" t="s">
        <v>182</v>
      </c>
      <c r="BH169" s="3">
        <v>4</v>
      </c>
      <c r="BJ169" s="2" t="s">
        <v>96</v>
      </c>
      <c r="BL169" s="2" t="s">
        <v>184</v>
      </c>
      <c r="BM169" s="2" t="s">
        <v>184</v>
      </c>
      <c r="BN169" s="2" t="s">
        <v>124</v>
      </c>
      <c r="BO169" s="2" t="s">
        <v>125</v>
      </c>
      <c r="BP169" s="2" t="s">
        <v>101</v>
      </c>
      <c r="BQ169" s="2" t="s">
        <v>124</v>
      </c>
      <c r="BR169" s="2" t="s">
        <v>126</v>
      </c>
      <c r="BS169" s="2" t="s">
        <v>104</v>
      </c>
      <c r="BT169" s="2" t="s">
        <v>185</v>
      </c>
      <c r="BU169" s="2" t="s">
        <v>968</v>
      </c>
      <c r="BV169" s="2" t="s">
        <v>150</v>
      </c>
      <c r="BW169" s="2" t="s">
        <v>151</v>
      </c>
      <c r="BX169" s="2" t="s">
        <v>182</v>
      </c>
      <c r="BY16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69" s="2">
        <f>IF(AND(Cases[[#This Row],[Priority Level]]&gt;=3,Cases[[#This Row],[System Role]]&lt;&gt;"Productive"),1,0)</f>
        <v>0</v>
      </c>
      <c r="CA169" s="2">
        <f>IFERROR(IF(Cases[[#This Row],[Days at Customer]]&gt;MAX(1,Cases[[#This Row],[Days at SAP]]*2),1,0),0)</f>
        <v>1</v>
      </c>
      <c r="CB169" s="2">
        <f>IF(AND(Cases[[#This Row],[Initial Component]]&lt;&gt;"",Cases[[#This Row],[Component]]&lt;&gt;"",Cases[[#This Row],[Initial Component]]&lt;&gt;Cases[[#This Row],[Component]]),1,0)</f>
        <v>1</v>
      </c>
      <c r="CC169" s="2">
        <f>IF(OR(Cases[[#This Row],[Is Reopened]]="X",Cases[[#This Row],[No. of Reopenings]]&gt;0),1,0)</f>
        <v>1</v>
      </c>
      <c r="CD169" s="2">
        <f>IF(Cases[[#This Row],[Confirmation Type]]="Automatic",1,0)</f>
        <v>0</v>
      </c>
      <c r="CE169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170" spans="1:83" x14ac:dyDescent="0.2">
      <c r="A170" s="1" t="s">
        <v>1227</v>
      </c>
      <c r="B170" s="2" t="s">
        <v>1228</v>
      </c>
      <c r="C170" s="2" t="s">
        <v>231</v>
      </c>
      <c r="D170" s="2" t="s">
        <v>78</v>
      </c>
      <c r="E170" s="3">
        <v>18.940000000000001</v>
      </c>
      <c r="F170" s="3">
        <v>26.97</v>
      </c>
      <c r="G170" s="2" t="s">
        <v>190</v>
      </c>
      <c r="H170" s="2" t="s">
        <v>308</v>
      </c>
      <c r="I170" s="3" t="s">
        <v>114</v>
      </c>
      <c r="J170" s="3">
        <v>69</v>
      </c>
      <c r="K170" s="2" t="s">
        <v>1229</v>
      </c>
      <c r="L170" s="4">
        <v>46110</v>
      </c>
      <c r="M170" s="4">
        <v>46104</v>
      </c>
      <c r="N170" s="2" t="s">
        <v>180</v>
      </c>
      <c r="O170" s="2" t="s">
        <v>181</v>
      </c>
      <c r="P170" s="2" t="s">
        <v>195</v>
      </c>
      <c r="Q170" s="2" t="s">
        <v>86</v>
      </c>
      <c r="R170" s="2" t="s">
        <v>233</v>
      </c>
      <c r="S170" s="4">
        <v>46058</v>
      </c>
      <c r="T170" s="2" t="s">
        <v>677</v>
      </c>
      <c r="U170" s="2" t="s">
        <v>181</v>
      </c>
      <c r="V170" s="2" t="s">
        <v>1165</v>
      </c>
      <c r="W170" s="2" t="s">
        <v>86</v>
      </c>
      <c r="X170" s="2" t="s">
        <v>117</v>
      </c>
      <c r="Y170" s="3" t="s">
        <v>118</v>
      </c>
      <c r="Z170" s="3">
        <v>45.91</v>
      </c>
      <c r="AA170" s="2" t="s">
        <v>90</v>
      </c>
      <c r="AB170" s="2" t="s">
        <v>233</v>
      </c>
      <c r="AC170" s="2" t="s">
        <v>231</v>
      </c>
      <c r="AD170" t="str" cm="1">
        <f t="array" ref="AD17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170" s="2" t="s">
        <v>91</v>
      </c>
      <c r="AF170" s="2" t="s">
        <v>92</v>
      </c>
      <c r="AG170" s="2" t="s">
        <v>540</v>
      </c>
      <c r="AH170" s="2" t="s">
        <v>541</v>
      </c>
      <c r="AK170" s="2" t="s">
        <v>1230</v>
      </c>
      <c r="AN170" s="3">
        <v>1</v>
      </c>
      <c r="AO170" s="3">
        <v>1</v>
      </c>
      <c r="AP170" s="3">
        <v>1</v>
      </c>
      <c r="AQ170" s="3">
        <v>1</v>
      </c>
      <c r="AR170" s="3">
        <v>1</v>
      </c>
      <c r="AS170" s="3">
        <v>0</v>
      </c>
      <c r="AT170" s="3">
        <v>0</v>
      </c>
      <c r="AU170" s="3">
        <v>0</v>
      </c>
      <c r="AV170" s="3">
        <v>0</v>
      </c>
      <c r="AW170" s="3">
        <v>1</v>
      </c>
      <c r="AX170" s="3">
        <v>1</v>
      </c>
      <c r="AY170" s="3">
        <v>0</v>
      </c>
      <c r="AZ170" s="3">
        <v>0</v>
      </c>
      <c r="BA170" s="3">
        <v>0</v>
      </c>
      <c r="BB170" s="3">
        <v>0</v>
      </c>
      <c r="BC170" s="3">
        <v>1</v>
      </c>
      <c r="BD170" s="3">
        <v>0</v>
      </c>
      <c r="BE170" s="3">
        <v>0</v>
      </c>
      <c r="BG170" s="2" t="s">
        <v>91</v>
      </c>
      <c r="BH170" s="3">
        <v>3</v>
      </c>
      <c r="BJ170" s="2" t="s">
        <v>96</v>
      </c>
      <c r="BL170" s="2" t="s">
        <v>779</v>
      </c>
      <c r="BM170" s="2" t="s">
        <v>780</v>
      </c>
      <c r="BN170" s="2" t="s">
        <v>99</v>
      </c>
      <c r="BO170" s="2" t="s">
        <v>100</v>
      </c>
      <c r="BP170" s="2" t="s">
        <v>101</v>
      </c>
      <c r="BQ170" s="2" t="s">
        <v>102</v>
      </c>
      <c r="BR170" s="2" t="s">
        <v>103</v>
      </c>
      <c r="BS170" s="2" t="s">
        <v>713</v>
      </c>
      <c r="BT170" s="2" t="s">
        <v>1132</v>
      </c>
      <c r="BU170" s="2" t="s">
        <v>1231</v>
      </c>
      <c r="BV170" s="2" t="s">
        <v>150</v>
      </c>
      <c r="BW170" s="2" t="s">
        <v>151</v>
      </c>
      <c r="BX170" s="2" t="s">
        <v>91</v>
      </c>
      <c r="BY17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70" s="2">
        <f>IF(AND(Cases[[#This Row],[Priority Level]]&gt;=3,Cases[[#This Row],[System Role]]&lt;&gt;"Productive"),1,0)</f>
        <v>0</v>
      </c>
      <c r="CA170" s="2">
        <f>IFERROR(IF(Cases[[#This Row],[Days at Customer]]&gt;MAX(1,Cases[[#This Row],[Days at SAP]]*2),1,0),0)</f>
        <v>0</v>
      </c>
      <c r="CB170" s="2">
        <f>IF(AND(Cases[[#This Row],[Initial Component]]&lt;&gt;"",Cases[[#This Row],[Component]]&lt;&gt;"",Cases[[#This Row],[Initial Component]]&lt;&gt;Cases[[#This Row],[Component]]),1,0)</f>
        <v>0</v>
      </c>
      <c r="CC170" s="2">
        <f>IF(OR(Cases[[#This Row],[Is Reopened]]="X",Cases[[#This Row],[No. of Reopenings]]&gt;0),1,0)</f>
        <v>0</v>
      </c>
      <c r="CD170" s="2">
        <f>IF(Cases[[#This Row],[Confirmation Type]]="Automatic",1,0)</f>
        <v>0</v>
      </c>
      <c r="CE170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171" spans="1:83" x14ac:dyDescent="0.2">
      <c r="A171" s="1" t="s">
        <v>1232</v>
      </c>
      <c r="B171" s="2" t="s">
        <v>1233</v>
      </c>
      <c r="C171" s="2" t="s">
        <v>655</v>
      </c>
      <c r="D171" s="2" t="s">
        <v>238</v>
      </c>
      <c r="E171" s="3">
        <v>10.71</v>
      </c>
      <c r="F171" s="3">
        <v>28.73</v>
      </c>
      <c r="G171" s="2" t="s">
        <v>190</v>
      </c>
      <c r="H171" s="2" t="s">
        <v>191</v>
      </c>
      <c r="I171" s="3" t="s">
        <v>114</v>
      </c>
      <c r="J171" s="3">
        <v>69</v>
      </c>
      <c r="K171" s="2" t="s">
        <v>1234</v>
      </c>
      <c r="L171" s="4">
        <v>46103</v>
      </c>
      <c r="M171" s="4">
        <v>46097</v>
      </c>
      <c r="N171" s="2" t="s">
        <v>180</v>
      </c>
      <c r="O171" s="2" t="s">
        <v>181</v>
      </c>
      <c r="P171" s="2" t="s">
        <v>260</v>
      </c>
      <c r="Q171" s="2" t="s">
        <v>86</v>
      </c>
      <c r="R171" s="2" t="s">
        <v>657</v>
      </c>
      <c r="S171" s="4">
        <v>46058</v>
      </c>
      <c r="T171" s="2" t="s">
        <v>677</v>
      </c>
      <c r="U171" s="2" t="s">
        <v>181</v>
      </c>
      <c r="V171" s="2" t="s">
        <v>1165</v>
      </c>
      <c r="W171" s="2" t="s">
        <v>86</v>
      </c>
      <c r="X171" s="2" t="s">
        <v>117</v>
      </c>
      <c r="Y171" s="3" t="s">
        <v>118</v>
      </c>
      <c r="Z171" s="3">
        <v>39.44</v>
      </c>
      <c r="AA171" s="2" t="s">
        <v>90</v>
      </c>
      <c r="AB171" s="2" t="s">
        <v>1235</v>
      </c>
      <c r="AC171" s="2" t="s">
        <v>1236</v>
      </c>
      <c r="AD171" t="str" cm="1">
        <f t="array" ref="AD17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171" s="2" t="s">
        <v>91</v>
      </c>
      <c r="AF171" s="2" t="s">
        <v>92</v>
      </c>
      <c r="AG171" s="2" t="s">
        <v>119</v>
      </c>
      <c r="AH171" s="2" t="s">
        <v>120</v>
      </c>
      <c r="AK171" s="2" t="s">
        <v>1237</v>
      </c>
      <c r="AN171" s="3">
        <v>1</v>
      </c>
      <c r="AO171" s="3">
        <v>1</v>
      </c>
      <c r="AP171" s="3">
        <v>1</v>
      </c>
      <c r="AQ171" s="3">
        <v>1</v>
      </c>
      <c r="AR171" s="3">
        <v>1</v>
      </c>
      <c r="AS171" s="3">
        <v>0</v>
      </c>
      <c r="AT171" s="3">
        <v>0</v>
      </c>
      <c r="AU171" s="3">
        <v>0</v>
      </c>
      <c r="AV171" s="3">
        <v>1</v>
      </c>
      <c r="AW171" s="3">
        <v>0</v>
      </c>
      <c r="AX171" s="3">
        <v>1</v>
      </c>
      <c r="AY171" s="3">
        <v>0</v>
      </c>
      <c r="AZ171" s="3">
        <v>0</v>
      </c>
      <c r="BA171" s="3">
        <v>0</v>
      </c>
      <c r="BB171" s="3">
        <v>0</v>
      </c>
      <c r="BC171" s="3">
        <v>1</v>
      </c>
      <c r="BD171" s="3">
        <v>0</v>
      </c>
      <c r="BE171" s="3">
        <v>0</v>
      </c>
      <c r="BG171" s="2" t="s">
        <v>91</v>
      </c>
      <c r="BH171" s="3">
        <v>3</v>
      </c>
      <c r="BJ171" s="2" t="s">
        <v>96</v>
      </c>
      <c r="BL171" s="2" t="s">
        <v>123</v>
      </c>
      <c r="BM171" s="2" t="s">
        <v>123</v>
      </c>
      <c r="BN171" s="2" t="s">
        <v>124</v>
      </c>
      <c r="BO171" s="2" t="s">
        <v>125</v>
      </c>
      <c r="BP171" s="2" t="s">
        <v>242</v>
      </c>
      <c r="BQ171" s="2" t="s">
        <v>124</v>
      </c>
      <c r="BR171" s="2" t="s">
        <v>126</v>
      </c>
      <c r="BS171" s="2" t="s">
        <v>127</v>
      </c>
      <c r="BT171" s="2" t="s">
        <v>207</v>
      </c>
      <c r="BU171" s="2" t="s">
        <v>208</v>
      </c>
      <c r="BV171" s="2" t="s">
        <v>150</v>
      </c>
      <c r="BW171" s="2" t="s">
        <v>151</v>
      </c>
      <c r="BX171" s="2" t="s">
        <v>91</v>
      </c>
      <c r="BY17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71" s="2">
        <f>IF(AND(Cases[[#This Row],[Priority Level]]&gt;=3,Cases[[#This Row],[System Role]]&lt;&gt;"Productive"),1,0)</f>
        <v>0</v>
      </c>
      <c r="CA171" s="2">
        <f>IFERROR(IF(Cases[[#This Row],[Days at Customer]]&gt;MAX(1,Cases[[#This Row],[Days at SAP]]*2),1,0),0)</f>
        <v>1</v>
      </c>
      <c r="CB171" s="2">
        <f>IF(AND(Cases[[#This Row],[Initial Component]]&lt;&gt;"",Cases[[#This Row],[Component]]&lt;&gt;"",Cases[[#This Row],[Initial Component]]&lt;&gt;Cases[[#This Row],[Component]]),1,0)</f>
        <v>1</v>
      </c>
      <c r="CC171" s="2">
        <f>IF(OR(Cases[[#This Row],[Is Reopened]]="X",Cases[[#This Row],[No. of Reopenings]]&gt;0),1,0)</f>
        <v>0</v>
      </c>
      <c r="CD171" s="2">
        <f>IF(Cases[[#This Row],[Confirmation Type]]="Automatic",1,0)</f>
        <v>1</v>
      </c>
      <c r="CE171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72" spans="1:83" x14ac:dyDescent="0.2">
      <c r="A172" s="1" t="s">
        <v>1238</v>
      </c>
      <c r="B172" s="2" t="s">
        <v>1239</v>
      </c>
      <c r="C172" s="2" t="s">
        <v>77</v>
      </c>
      <c r="D172" s="2" t="s">
        <v>78</v>
      </c>
      <c r="E172" s="3">
        <v>0.03</v>
      </c>
      <c r="F172" s="3">
        <v>0</v>
      </c>
      <c r="G172" s="2" t="s">
        <v>133</v>
      </c>
      <c r="H172" s="2" t="s">
        <v>134</v>
      </c>
      <c r="I172" s="3" t="s">
        <v>81</v>
      </c>
      <c r="J172" s="3">
        <v>69</v>
      </c>
      <c r="K172" s="2" t="s">
        <v>1240</v>
      </c>
      <c r="L172" s="4">
        <v>46103</v>
      </c>
      <c r="M172" s="4">
        <v>46058</v>
      </c>
      <c r="N172" s="2" t="s">
        <v>677</v>
      </c>
      <c r="O172" s="2" t="s">
        <v>181</v>
      </c>
      <c r="P172" s="2" t="s">
        <v>1165</v>
      </c>
      <c r="Q172" s="2" t="s">
        <v>86</v>
      </c>
      <c r="R172" s="2" t="s">
        <v>87</v>
      </c>
      <c r="S172" s="4">
        <v>46058</v>
      </c>
      <c r="T172" s="2" t="s">
        <v>677</v>
      </c>
      <c r="U172" s="2" t="s">
        <v>181</v>
      </c>
      <c r="V172" s="2" t="s">
        <v>1165</v>
      </c>
      <c r="W172" s="2" t="s">
        <v>86</v>
      </c>
      <c r="X172" s="2" t="s">
        <v>88</v>
      </c>
      <c r="Y172" s="3" t="s">
        <v>89</v>
      </c>
      <c r="Z172" s="3">
        <v>0.03</v>
      </c>
      <c r="AA172" s="2" t="s">
        <v>90</v>
      </c>
      <c r="AB172" s="2" t="s">
        <v>87</v>
      </c>
      <c r="AC172" s="2" t="s">
        <v>77</v>
      </c>
      <c r="AD172" t="str" cm="1">
        <f t="array" ref="AD17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172" s="2" t="s">
        <v>91</v>
      </c>
      <c r="AF172" s="2" t="s">
        <v>92</v>
      </c>
      <c r="AG172" s="2" t="s">
        <v>93</v>
      </c>
      <c r="AH172" s="2" t="s">
        <v>94</v>
      </c>
      <c r="AK172" s="2" t="s">
        <v>1241</v>
      </c>
      <c r="AN172" s="3">
        <v>1</v>
      </c>
      <c r="AO172" s="3">
        <v>1</v>
      </c>
      <c r="AP172" s="3">
        <v>1</v>
      </c>
      <c r="AQ172" s="3">
        <v>1</v>
      </c>
      <c r="AR172" s="3">
        <v>1</v>
      </c>
      <c r="AS172" s="3">
        <v>0</v>
      </c>
      <c r="AT172" s="3">
        <v>0</v>
      </c>
      <c r="AU172" s="3">
        <v>0</v>
      </c>
      <c r="AV172" s="3">
        <v>0</v>
      </c>
      <c r="AW172" s="3">
        <v>1</v>
      </c>
      <c r="AX172" s="3">
        <v>1</v>
      </c>
      <c r="AY172" s="3">
        <v>0</v>
      </c>
      <c r="AZ172" s="3">
        <v>0</v>
      </c>
      <c r="BA172" s="3">
        <v>0</v>
      </c>
      <c r="BB172" s="3">
        <v>0</v>
      </c>
      <c r="BC172" s="3">
        <v>1</v>
      </c>
      <c r="BD172" s="3">
        <v>0</v>
      </c>
      <c r="BE172" s="3">
        <v>0</v>
      </c>
      <c r="BG172" s="2" t="s">
        <v>91</v>
      </c>
      <c r="BH172" s="3">
        <v>3</v>
      </c>
      <c r="BJ172" s="2" t="s">
        <v>96</v>
      </c>
      <c r="BL172" s="2" t="s">
        <v>184</v>
      </c>
      <c r="BM172" s="2" t="s">
        <v>184</v>
      </c>
      <c r="BN172" s="2" t="s">
        <v>124</v>
      </c>
      <c r="BO172" s="2" t="s">
        <v>125</v>
      </c>
      <c r="BP172" s="2" t="s">
        <v>101</v>
      </c>
      <c r="BQ172" s="2" t="s">
        <v>124</v>
      </c>
      <c r="BR172" s="2" t="s">
        <v>126</v>
      </c>
      <c r="BS172" s="2" t="s">
        <v>104</v>
      </c>
      <c r="BT172" s="2" t="s">
        <v>185</v>
      </c>
      <c r="BU172" s="2" t="s">
        <v>968</v>
      </c>
      <c r="BV172" s="2" t="s">
        <v>150</v>
      </c>
      <c r="BW172" s="2" t="s">
        <v>151</v>
      </c>
      <c r="BX172" s="2" t="s">
        <v>91</v>
      </c>
      <c r="BY17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72" s="2">
        <f>IF(AND(Cases[[#This Row],[Priority Level]]&gt;=3,Cases[[#This Row],[System Role]]&lt;&gt;"Productive"),1,0)</f>
        <v>0</v>
      </c>
      <c r="CA172" s="2">
        <f>IFERROR(IF(Cases[[#This Row],[Days at Customer]]&gt;MAX(1,Cases[[#This Row],[Days at SAP]]*2),1,0),0)</f>
        <v>0</v>
      </c>
      <c r="CB172" s="2">
        <f>IF(AND(Cases[[#This Row],[Initial Component]]&lt;&gt;"",Cases[[#This Row],[Component]]&lt;&gt;"",Cases[[#This Row],[Initial Component]]&lt;&gt;Cases[[#This Row],[Component]]),1,0)</f>
        <v>0</v>
      </c>
      <c r="CC172" s="2">
        <f>IF(OR(Cases[[#This Row],[Is Reopened]]="X",Cases[[#This Row],[No. of Reopenings]]&gt;0),1,0)</f>
        <v>0</v>
      </c>
      <c r="CD172" s="2">
        <f>IF(Cases[[#This Row],[Confirmation Type]]="Automatic",1,0)</f>
        <v>0</v>
      </c>
      <c r="CE172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173" spans="1:83" x14ac:dyDescent="0.2">
      <c r="A173" s="1" t="s">
        <v>1242</v>
      </c>
      <c r="B173" s="2" t="s">
        <v>1239</v>
      </c>
      <c r="C173" s="2" t="s">
        <v>77</v>
      </c>
      <c r="D173" s="2" t="s">
        <v>78</v>
      </c>
      <c r="E173" s="3">
        <v>2.3199999999999998</v>
      </c>
      <c r="F173" s="3">
        <v>3.6</v>
      </c>
      <c r="G173" s="2" t="s">
        <v>79</v>
      </c>
      <c r="H173" s="2" t="s">
        <v>178</v>
      </c>
      <c r="I173" s="3" t="s">
        <v>81</v>
      </c>
      <c r="J173" s="3">
        <v>69</v>
      </c>
      <c r="K173" s="2" t="s">
        <v>1243</v>
      </c>
      <c r="L173" s="4">
        <v>46068</v>
      </c>
      <c r="M173" s="4">
        <v>46064</v>
      </c>
      <c r="N173" s="2" t="s">
        <v>677</v>
      </c>
      <c r="O173" s="2" t="s">
        <v>181</v>
      </c>
      <c r="P173" s="2" t="s">
        <v>1079</v>
      </c>
      <c r="Q173" s="2" t="s">
        <v>86</v>
      </c>
      <c r="R173" s="2" t="s">
        <v>87</v>
      </c>
      <c r="S173" s="4">
        <v>46058</v>
      </c>
      <c r="T173" s="2" t="s">
        <v>677</v>
      </c>
      <c r="U173" s="2" t="s">
        <v>181</v>
      </c>
      <c r="V173" s="2" t="s">
        <v>1165</v>
      </c>
      <c r="W173" s="2" t="s">
        <v>86</v>
      </c>
      <c r="X173" s="2" t="s">
        <v>88</v>
      </c>
      <c r="Y173" s="3" t="s">
        <v>89</v>
      </c>
      <c r="Z173" s="3">
        <v>5.92</v>
      </c>
      <c r="AA173" s="2" t="s">
        <v>90</v>
      </c>
      <c r="AB173" s="2" t="s">
        <v>87</v>
      </c>
      <c r="AC173" s="2" t="s">
        <v>77</v>
      </c>
      <c r="AD173" t="str" cm="1">
        <f t="array" ref="AD17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173" s="2" t="s">
        <v>91</v>
      </c>
      <c r="AF173" s="2" t="s">
        <v>92</v>
      </c>
      <c r="AG173" s="2" t="s">
        <v>93</v>
      </c>
      <c r="AH173" s="2" t="s">
        <v>94</v>
      </c>
      <c r="AK173" s="2" t="s">
        <v>1244</v>
      </c>
      <c r="AN173" s="3">
        <v>1</v>
      </c>
      <c r="AO173" s="3">
        <v>1</v>
      </c>
      <c r="AP173" s="3">
        <v>1</v>
      </c>
      <c r="AQ173" s="3">
        <v>1</v>
      </c>
      <c r="AR173" s="3">
        <v>0</v>
      </c>
      <c r="AS173" s="3">
        <v>0</v>
      </c>
      <c r="AT173" s="3">
        <v>0</v>
      </c>
      <c r="AU173" s="3">
        <v>1</v>
      </c>
      <c r="AV173" s="3">
        <v>0</v>
      </c>
      <c r="AW173" s="3">
        <v>1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1</v>
      </c>
      <c r="BD173" s="3">
        <v>0</v>
      </c>
      <c r="BE173" s="3">
        <v>1</v>
      </c>
      <c r="BG173" s="2" t="s">
        <v>182</v>
      </c>
      <c r="BH173" s="3">
        <v>4</v>
      </c>
      <c r="BJ173" s="2" t="s">
        <v>96</v>
      </c>
      <c r="BL173" s="2" t="s">
        <v>184</v>
      </c>
      <c r="BM173" s="2" t="s">
        <v>184</v>
      </c>
      <c r="BN173" s="2" t="s">
        <v>124</v>
      </c>
      <c r="BO173" s="2" t="s">
        <v>125</v>
      </c>
      <c r="BP173" s="2" t="s">
        <v>101</v>
      </c>
      <c r="BQ173" s="2" t="s">
        <v>124</v>
      </c>
      <c r="BR173" s="2" t="s">
        <v>126</v>
      </c>
      <c r="BS173" s="2" t="s">
        <v>127</v>
      </c>
      <c r="BT173" s="2" t="s">
        <v>185</v>
      </c>
      <c r="BU173" s="2" t="s">
        <v>186</v>
      </c>
      <c r="BV173" s="2" t="s">
        <v>150</v>
      </c>
      <c r="BW173" s="2" t="s">
        <v>151</v>
      </c>
      <c r="BX173" s="2" t="s">
        <v>182</v>
      </c>
      <c r="BY17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73" s="2">
        <f>IF(AND(Cases[[#This Row],[Priority Level]]&gt;=3,Cases[[#This Row],[System Role]]&lt;&gt;"Productive"),1,0)</f>
        <v>0</v>
      </c>
      <c r="CA173" s="2">
        <f>IFERROR(IF(Cases[[#This Row],[Days at Customer]]&gt;MAX(1,Cases[[#This Row],[Days at SAP]]*2),1,0),0)</f>
        <v>0</v>
      </c>
      <c r="CB173" s="2">
        <f>IF(AND(Cases[[#This Row],[Initial Component]]&lt;&gt;"",Cases[[#This Row],[Component]]&lt;&gt;"",Cases[[#This Row],[Initial Component]]&lt;&gt;Cases[[#This Row],[Component]]),1,0)</f>
        <v>0</v>
      </c>
      <c r="CC173" s="2">
        <f>IF(OR(Cases[[#This Row],[Is Reopened]]="X",Cases[[#This Row],[No. of Reopenings]]&gt;0),1,0)</f>
        <v>0</v>
      </c>
      <c r="CD173" s="2">
        <f>IF(Cases[[#This Row],[Confirmation Type]]="Automatic",1,0)</f>
        <v>0</v>
      </c>
      <c r="CE173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74" spans="1:83" x14ac:dyDescent="0.2">
      <c r="A174" s="1" t="s">
        <v>1245</v>
      </c>
      <c r="B174" s="2" t="s">
        <v>1246</v>
      </c>
      <c r="C174" s="2" t="s">
        <v>1247</v>
      </c>
      <c r="D174" s="2" t="s">
        <v>238</v>
      </c>
      <c r="E174" s="3">
        <v>21.2</v>
      </c>
      <c r="F174" s="3">
        <v>41.08</v>
      </c>
      <c r="G174" s="2" t="s">
        <v>133</v>
      </c>
      <c r="H174" s="2" t="s">
        <v>324</v>
      </c>
      <c r="I174" s="3" t="s">
        <v>114</v>
      </c>
      <c r="J174" s="3">
        <v>69</v>
      </c>
      <c r="K174" s="2" t="s">
        <v>1248</v>
      </c>
      <c r="L174" s="4">
        <v>46124</v>
      </c>
      <c r="M174" s="4">
        <v>46121</v>
      </c>
      <c r="N174" s="2" t="s">
        <v>83</v>
      </c>
      <c r="O174" s="2" t="s">
        <v>84</v>
      </c>
      <c r="P174" s="2" t="s">
        <v>85</v>
      </c>
      <c r="Q174" s="2" t="s">
        <v>86</v>
      </c>
      <c r="R174" s="2" t="s">
        <v>1249</v>
      </c>
      <c r="S174" s="4">
        <v>46058</v>
      </c>
      <c r="T174" s="2" t="s">
        <v>677</v>
      </c>
      <c r="U174" s="2" t="s">
        <v>181</v>
      </c>
      <c r="V174" s="2" t="s">
        <v>1165</v>
      </c>
      <c r="W174" s="2" t="s">
        <v>86</v>
      </c>
      <c r="X174" s="2" t="s">
        <v>117</v>
      </c>
      <c r="Y174" s="3" t="s">
        <v>118</v>
      </c>
      <c r="Z174" s="3">
        <v>62.28</v>
      </c>
      <c r="AA174" s="2" t="s">
        <v>90</v>
      </c>
      <c r="AB174" s="2" t="s">
        <v>1093</v>
      </c>
      <c r="AC174" s="2" t="s">
        <v>1250</v>
      </c>
      <c r="AD174" t="str" cm="1">
        <f t="array" ref="AD17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174" s="2" t="s">
        <v>91</v>
      </c>
      <c r="AF174" s="2" t="s">
        <v>92</v>
      </c>
      <c r="AG174" s="2" t="s">
        <v>119</v>
      </c>
      <c r="AH174" s="2" t="s">
        <v>120</v>
      </c>
      <c r="AK174" s="2" t="s">
        <v>1251</v>
      </c>
      <c r="AN174" s="3">
        <v>1</v>
      </c>
      <c r="AO174" s="3">
        <v>1</v>
      </c>
      <c r="AP174" s="3">
        <v>1</v>
      </c>
      <c r="AQ174" s="3">
        <v>1</v>
      </c>
      <c r="AR174" s="3">
        <v>1</v>
      </c>
      <c r="AS174" s="3">
        <v>0</v>
      </c>
      <c r="AT174" s="3">
        <v>0</v>
      </c>
      <c r="AU174" s="3">
        <v>0</v>
      </c>
      <c r="AV174" s="3">
        <v>1</v>
      </c>
      <c r="AW174" s="3">
        <v>0</v>
      </c>
      <c r="AX174" s="3">
        <v>1</v>
      </c>
      <c r="AY174" s="3">
        <v>0</v>
      </c>
      <c r="AZ174" s="3">
        <v>0</v>
      </c>
      <c r="BA174" s="3">
        <v>0</v>
      </c>
      <c r="BB174" s="3">
        <v>0</v>
      </c>
      <c r="BC174" s="3">
        <v>1</v>
      </c>
      <c r="BD174" s="3">
        <v>0</v>
      </c>
      <c r="BE174" s="3">
        <v>0</v>
      </c>
      <c r="BG174" s="2" t="s">
        <v>91</v>
      </c>
      <c r="BH174" s="3">
        <v>3</v>
      </c>
      <c r="BJ174" s="2" t="s">
        <v>96</v>
      </c>
      <c r="BL174" s="2" t="s">
        <v>123</v>
      </c>
      <c r="BM174" s="2" t="s">
        <v>123</v>
      </c>
      <c r="BN174" s="2" t="s">
        <v>124</v>
      </c>
      <c r="BO174" s="2" t="s">
        <v>125</v>
      </c>
      <c r="BP174" s="2" t="s">
        <v>242</v>
      </c>
      <c r="BQ174" s="2" t="s">
        <v>124</v>
      </c>
      <c r="BR174" s="2" t="s">
        <v>126</v>
      </c>
      <c r="BS174" s="2" t="s">
        <v>127</v>
      </c>
      <c r="BT174" s="2" t="s">
        <v>207</v>
      </c>
      <c r="BU174" s="2" t="s">
        <v>208</v>
      </c>
      <c r="BV174" s="2" t="s">
        <v>150</v>
      </c>
      <c r="BW174" s="2" t="s">
        <v>151</v>
      </c>
      <c r="BX174" s="2" t="s">
        <v>91</v>
      </c>
      <c r="BY17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74" s="2">
        <f>IF(AND(Cases[[#This Row],[Priority Level]]&gt;=3,Cases[[#This Row],[System Role]]&lt;&gt;"Productive"),1,0)</f>
        <v>0</v>
      </c>
      <c r="CA174" s="2">
        <f>IFERROR(IF(Cases[[#This Row],[Days at Customer]]&gt;MAX(1,Cases[[#This Row],[Days at SAP]]*2),1,0),0)</f>
        <v>0</v>
      </c>
      <c r="CB174" s="2">
        <f>IF(AND(Cases[[#This Row],[Initial Component]]&lt;&gt;"",Cases[[#This Row],[Component]]&lt;&gt;"",Cases[[#This Row],[Initial Component]]&lt;&gt;Cases[[#This Row],[Component]]),1,0)</f>
        <v>1</v>
      </c>
      <c r="CC174" s="2">
        <f>IF(OR(Cases[[#This Row],[Is Reopened]]="X",Cases[[#This Row],[No. of Reopenings]]&gt;0),1,0)</f>
        <v>0</v>
      </c>
      <c r="CD174" s="2">
        <f>IF(Cases[[#This Row],[Confirmation Type]]="Automatic",1,0)</f>
        <v>1</v>
      </c>
      <c r="CE17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75" spans="1:83" x14ac:dyDescent="0.2">
      <c r="A175" s="1" t="s">
        <v>1252</v>
      </c>
      <c r="B175" s="2" t="s">
        <v>1253</v>
      </c>
      <c r="C175" s="2" t="s">
        <v>231</v>
      </c>
      <c r="D175" s="2" t="s">
        <v>238</v>
      </c>
      <c r="E175" s="3">
        <v>0.93</v>
      </c>
      <c r="F175" s="3">
        <v>39.380000000000003</v>
      </c>
      <c r="G175" s="2" t="s">
        <v>79</v>
      </c>
      <c r="H175" s="2" t="s">
        <v>178</v>
      </c>
      <c r="I175" s="3" t="s">
        <v>114</v>
      </c>
      <c r="J175" s="3">
        <v>69</v>
      </c>
      <c r="K175" s="2" t="s">
        <v>1254</v>
      </c>
      <c r="L175" s="4">
        <v>46103</v>
      </c>
      <c r="M175" s="4">
        <v>46099</v>
      </c>
      <c r="N175" s="2" t="s">
        <v>180</v>
      </c>
      <c r="O175" s="2" t="s">
        <v>181</v>
      </c>
      <c r="P175" s="2" t="s">
        <v>260</v>
      </c>
      <c r="Q175" s="2" t="s">
        <v>86</v>
      </c>
      <c r="R175" s="2" t="s">
        <v>233</v>
      </c>
      <c r="S175" s="4">
        <v>46058</v>
      </c>
      <c r="T175" s="2" t="s">
        <v>677</v>
      </c>
      <c r="U175" s="2" t="s">
        <v>181</v>
      </c>
      <c r="V175" s="2" t="s">
        <v>1165</v>
      </c>
      <c r="W175" s="2" t="s">
        <v>86</v>
      </c>
      <c r="X175" s="2" t="s">
        <v>117</v>
      </c>
      <c r="Y175" s="3" t="s">
        <v>118</v>
      </c>
      <c r="Z175" s="3">
        <v>40.32</v>
      </c>
      <c r="AA175" s="2" t="s">
        <v>90</v>
      </c>
      <c r="AB175" s="2" t="s">
        <v>997</v>
      </c>
      <c r="AC175" s="2" t="s">
        <v>994</v>
      </c>
      <c r="AD175" t="str" cm="1">
        <f t="array" ref="AD17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175" s="2" t="s">
        <v>91</v>
      </c>
      <c r="AF175" s="2" t="s">
        <v>92</v>
      </c>
      <c r="AG175" s="2" t="s">
        <v>119</v>
      </c>
      <c r="AH175" s="2" t="s">
        <v>120</v>
      </c>
      <c r="AK175" s="2" t="s">
        <v>1255</v>
      </c>
      <c r="AN175" s="3">
        <v>1</v>
      </c>
      <c r="AO175" s="3">
        <v>1</v>
      </c>
      <c r="AP175" s="3">
        <v>1</v>
      </c>
      <c r="AQ175" s="3">
        <v>1</v>
      </c>
      <c r="AR175" s="3">
        <v>1</v>
      </c>
      <c r="AS175" s="3">
        <v>0</v>
      </c>
      <c r="AT175" s="3">
        <v>0</v>
      </c>
      <c r="AU175" s="3">
        <v>0</v>
      </c>
      <c r="AV175" s="3">
        <v>1</v>
      </c>
      <c r="AW175" s="3">
        <v>0</v>
      </c>
      <c r="AX175" s="3">
        <v>1</v>
      </c>
      <c r="AY175" s="3">
        <v>0</v>
      </c>
      <c r="AZ175" s="3">
        <v>0</v>
      </c>
      <c r="BA175" s="3">
        <v>0</v>
      </c>
      <c r="BB175" s="3">
        <v>0</v>
      </c>
      <c r="BC175" s="3">
        <v>1</v>
      </c>
      <c r="BD175" s="3">
        <v>0</v>
      </c>
      <c r="BE175" s="3">
        <v>0</v>
      </c>
      <c r="BG175" s="2" t="s">
        <v>91</v>
      </c>
      <c r="BH175" s="3">
        <v>3</v>
      </c>
      <c r="BJ175" s="2" t="s">
        <v>96</v>
      </c>
      <c r="BL175" s="2" t="s">
        <v>382</v>
      </c>
      <c r="BM175" s="2" t="s">
        <v>382</v>
      </c>
      <c r="BN175" s="2" t="s">
        <v>99</v>
      </c>
      <c r="BO175" s="2" t="s">
        <v>100</v>
      </c>
      <c r="BP175" s="2" t="s">
        <v>242</v>
      </c>
      <c r="BQ175" s="2" t="s">
        <v>383</v>
      </c>
      <c r="BR175" s="2" t="s">
        <v>384</v>
      </c>
      <c r="BS175" s="2" t="s">
        <v>127</v>
      </c>
      <c r="BT175" s="2" t="s">
        <v>1000</v>
      </c>
      <c r="BU175" s="2" t="s">
        <v>1001</v>
      </c>
      <c r="BV175" s="2" t="s">
        <v>150</v>
      </c>
      <c r="BW175" s="2" t="s">
        <v>151</v>
      </c>
      <c r="BX175" s="2" t="s">
        <v>91</v>
      </c>
      <c r="BY17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75" s="2">
        <f>IF(AND(Cases[[#This Row],[Priority Level]]&gt;=3,Cases[[#This Row],[System Role]]&lt;&gt;"Productive"),1,0)</f>
        <v>0</v>
      </c>
      <c r="CA175" s="2">
        <f>IFERROR(IF(Cases[[#This Row],[Days at Customer]]&gt;MAX(1,Cases[[#This Row],[Days at SAP]]*2),1,0),0)</f>
        <v>1</v>
      </c>
      <c r="CB175" s="2">
        <f>IF(AND(Cases[[#This Row],[Initial Component]]&lt;&gt;"",Cases[[#This Row],[Component]]&lt;&gt;"",Cases[[#This Row],[Initial Component]]&lt;&gt;Cases[[#This Row],[Component]]),1,0)</f>
        <v>1</v>
      </c>
      <c r="CC175" s="2">
        <f>IF(OR(Cases[[#This Row],[Is Reopened]]="X",Cases[[#This Row],[No. of Reopenings]]&gt;0),1,0)</f>
        <v>0</v>
      </c>
      <c r="CD175" s="2">
        <f>IF(Cases[[#This Row],[Confirmation Type]]="Automatic",1,0)</f>
        <v>1</v>
      </c>
      <c r="CE175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176" spans="1:83" x14ac:dyDescent="0.2">
      <c r="A176" s="1" t="s">
        <v>1256</v>
      </c>
      <c r="B176" s="2" t="s">
        <v>1257</v>
      </c>
      <c r="C176" s="2" t="s">
        <v>1258</v>
      </c>
      <c r="D176" s="2" t="s">
        <v>238</v>
      </c>
      <c r="E176" s="3">
        <v>0.79</v>
      </c>
      <c r="F176" s="3">
        <v>21.43</v>
      </c>
      <c r="G176" s="2" t="s">
        <v>79</v>
      </c>
      <c r="H176" s="2" t="s">
        <v>80</v>
      </c>
      <c r="I176" s="3" t="s">
        <v>114</v>
      </c>
      <c r="J176" s="3">
        <v>69</v>
      </c>
      <c r="K176" s="2" t="s">
        <v>1259</v>
      </c>
      <c r="L176" s="4">
        <v>46082</v>
      </c>
      <c r="M176" s="4">
        <v>46080</v>
      </c>
      <c r="N176" s="2" t="s">
        <v>677</v>
      </c>
      <c r="O176" s="2" t="s">
        <v>181</v>
      </c>
      <c r="P176" s="2" t="s">
        <v>678</v>
      </c>
      <c r="Q176" s="2" t="s">
        <v>86</v>
      </c>
      <c r="R176" s="2" t="s">
        <v>1260</v>
      </c>
      <c r="S176" s="4">
        <v>46058</v>
      </c>
      <c r="T176" s="2" t="s">
        <v>677</v>
      </c>
      <c r="U176" s="2" t="s">
        <v>181</v>
      </c>
      <c r="V176" s="2" t="s">
        <v>1165</v>
      </c>
      <c r="W176" s="2" t="s">
        <v>86</v>
      </c>
      <c r="X176" s="2" t="s">
        <v>117</v>
      </c>
      <c r="Y176" s="3" t="s">
        <v>118</v>
      </c>
      <c r="Z176" s="3">
        <v>22.22</v>
      </c>
      <c r="AA176" s="2" t="s">
        <v>90</v>
      </c>
      <c r="AB176" s="2" t="s">
        <v>1261</v>
      </c>
      <c r="AC176" s="2" t="s">
        <v>1262</v>
      </c>
      <c r="AD176" t="str" cm="1">
        <f t="array" ref="AD17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176" s="2" t="s">
        <v>139</v>
      </c>
      <c r="AF176" s="2" t="s">
        <v>92</v>
      </c>
      <c r="AG176" s="2" t="s">
        <v>119</v>
      </c>
      <c r="AH176" s="2" t="s">
        <v>120</v>
      </c>
      <c r="AK176" s="2" t="s">
        <v>1263</v>
      </c>
      <c r="AN176" s="3">
        <v>1</v>
      </c>
      <c r="AO176" s="3">
        <v>1</v>
      </c>
      <c r="AP176" s="3">
        <v>1</v>
      </c>
      <c r="AQ176" s="3">
        <v>1</v>
      </c>
      <c r="AR176" s="3">
        <v>0</v>
      </c>
      <c r="AS176" s="3">
        <v>0</v>
      </c>
      <c r="AT176" s="3">
        <v>1</v>
      </c>
      <c r="AU176" s="3">
        <v>0</v>
      </c>
      <c r="AV176" s="3">
        <v>1</v>
      </c>
      <c r="AW176" s="3">
        <v>0</v>
      </c>
      <c r="AX176" s="3">
        <v>0</v>
      </c>
      <c r="AY176" s="3">
        <v>0</v>
      </c>
      <c r="AZ176" s="3">
        <v>1</v>
      </c>
      <c r="BA176" s="3">
        <v>1</v>
      </c>
      <c r="BB176" s="3">
        <v>0</v>
      </c>
      <c r="BC176" s="3">
        <v>0</v>
      </c>
      <c r="BD176" s="3">
        <v>0</v>
      </c>
      <c r="BE176" s="3">
        <v>0</v>
      </c>
      <c r="BG176" s="2" t="s">
        <v>139</v>
      </c>
      <c r="BH176" s="3">
        <v>2</v>
      </c>
      <c r="BJ176" s="2" t="s">
        <v>96</v>
      </c>
      <c r="BL176" s="2" t="s">
        <v>123</v>
      </c>
      <c r="BM176" s="2" t="s">
        <v>123</v>
      </c>
      <c r="BN176" s="2" t="s">
        <v>124</v>
      </c>
      <c r="BO176" s="2" t="s">
        <v>125</v>
      </c>
      <c r="BP176" s="2" t="s">
        <v>242</v>
      </c>
      <c r="BQ176" s="2" t="s">
        <v>124</v>
      </c>
      <c r="BR176" s="2" t="s">
        <v>126</v>
      </c>
      <c r="BS176" s="2" t="s">
        <v>127</v>
      </c>
      <c r="BT176" s="2" t="s">
        <v>436</v>
      </c>
      <c r="BU176" s="2" t="s">
        <v>437</v>
      </c>
      <c r="BV176" s="2" t="s">
        <v>107</v>
      </c>
      <c r="BW176" s="2" t="s">
        <v>108</v>
      </c>
      <c r="BX176" s="2" t="s">
        <v>139</v>
      </c>
      <c r="BY17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76" s="2">
        <f>IF(AND(Cases[[#This Row],[Priority Level]]&gt;=3,Cases[[#This Row],[System Role]]&lt;&gt;"Productive"),1,0)</f>
        <v>0</v>
      </c>
      <c r="CA176" s="2">
        <f>IFERROR(IF(Cases[[#This Row],[Days at Customer]]&gt;MAX(1,Cases[[#This Row],[Days at SAP]]*2),1,0),0)</f>
        <v>1</v>
      </c>
      <c r="CB176" s="2">
        <f>IF(AND(Cases[[#This Row],[Initial Component]]&lt;&gt;"",Cases[[#This Row],[Component]]&lt;&gt;"",Cases[[#This Row],[Initial Component]]&lt;&gt;Cases[[#This Row],[Component]]),1,0)</f>
        <v>1</v>
      </c>
      <c r="CC176" s="2">
        <f>IF(OR(Cases[[#This Row],[Is Reopened]]="X",Cases[[#This Row],[No. of Reopenings]]&gt;0),1,0)</f>
        <v>0</v>
      </c>
      <c r="CD176" s="2">
        <f>IF(Cases[[#This Row],[Confirmation Type]]="Automatic",1,0)</f>
        <v>1</v>
      </c>
      <c r="CE17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77" spans="1:83" x14ac:dyDescent="0.2">
      <c r="A177" s="1" t="s">
        <v>1264</v>
      </c>
      <c r="B177" s="2" t="s">
        <v>1265</v>
      </c>
      <c r="C177" s="2" t="s">
        <v>1266</v>
      </c>
      <c r="D177" s="2" t="s">
        <v>238</v>
      </c>
      <c r="E177" s="3">
        <v>0.3</v>
      </c>
      <c r="F177" s="3">
        <v>21.6</v>
      </c>
      <c r="G177" s="2" t="s">
        <v>79</v>
      </c>
      <c r="H177" s="2" t="s">
        <v>178</v>
      </c>
      <c r="I177" s="3" t="s">
        <v>114</v>
      </c>
      <c r="J177" s="3">
        <v>70</v>
      </c>
      <c r="K177" s="2" t="s">
        <v>1267</v>
      </c>
      <c r="L177" s="4">
        <v>46082</v>
      </c>
      <c r="M177" s="4">
        <v>46079</v>
      </c>
      <c r="N177" s="2" t="s">
        <v>677</v>
      </c>
      <c r="O177" s="2" t="s">
        <v>181</v>
      </c>
      <c r="P177" s="2" t="s">
        <v>678</v>
      </c>
      <c r="Q177" s="2" t="s">
        <v>86</v>
      </c>
      <c r="R177" s="2" t="s">
        <v>1268</v>
      </c>
      <c r="S177" s="4">
        <v>46057</v>
      </c>
      <c r="T177" s="2" t="s">
        <v>677</v>
      </c>
      <c r="U177" s="2" t="s">
        <v>181</v>
      </c>
      <c r="V177" s="2" t="s">
        <v>1165</v>
      </c>
      <c r="W177" s="2" t="s">
        <v>86</v>
      </c>
      <c r="X177" s="2" t="s">
        <v>117</v>
      </c>
      <c r="Y177" s="3" t="s">
        <v>118</v>
      </c>
      <c r="Z177" s="3">
        <v>21.9</v>
      </c>
      <c r="AA177" s="2" t="s">
        <v>90</v>
      </c>
      <c r="AB177" s="2" t="s">
        <v>1268</v>
      </c>
      <c r="AC177" s="2" t="s">
        <v>1266</v>
      </c>
      <c r="AD177" t="str" cm="1">
        <f t="array" ref="AD17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177" s="2" t="s">
        <v>139</v>
      </c>
      <c r="AF177" s="2" t="s">
        <v>92</v>
      </c>
      <c r="AG177" s="2" t="s">
        <v>119</v>
      </c>
      <c r="AH177" s="2" t="s">
        <v>120</v>
      </c>
      <c r="AK177" s="2" t="s">
        <v>1269</v>
      </c>
      <c r="AN177" s="3">
        <v>1</v>
      </c>
      <c r="AO177" s="3">
        <v>1</v>
      </c>
      <c r="AP177" s="3">
        <v>1</v>
      </c>
      <c r="AQ177" s="3">
        <v>1</v>
      </c>
      <c r="AR177" s="3">
        <v>0</v>
      </c>
      <c r="AS177" s="3">
        <v>0</v>
      </c>
      <c r="AT177" s="3">
        <v>1</v>
      </c>
      <c r="AU177" s="3">
        <v>0</v>
      </c>
      <c r="AV177" s="3">
        <v>1</v>
      </c>
      <c r="AW177" s="3">
        <v>0</v>
      </c>
      <c r="AX177" s="3">
        <v>0</v>
      </c>
      <c r="AY177" s="3">
        <v>0</v>
      </c>
      <c r="AZ177" s="3">
        <v>1</v>
      </c>
      <c r="BA177" s="3">
        <v>1</v>
      </c>
      <c r="BB177" s="3">
        <v>0</v>
      </c>
      <c r="BC177" s="3">
        <v>0</v>
      </c>
      <c r="BD177" s="3">
        <v>0</v>
      </c>
      <c r="BE177" s="3">
        <v>0</v>
      </c>
      <c r="BG177" s="2" t="s">
        <v>139</v>
      </c>
      <c r="BH177" s="3">
        <v>2</v>
      </c>
      <c r="BJ177" s="2" t="s">
        <v>96</v>
      </c>
      <c r="BL177" s="2" t="s">
        <v>779</v>
      </c>
      <c r="BM177" s="2" t="s">
        <v>780</v>
      </c>
      <c r="BN177" s="2" t="s">
        <v>99</v>
      </c>
      <c r="BO177" s="2" t="s">
        <v>100</v>
      </c>
      <c r="BP177" s="2" t="s">
        <v>242</v>
      </c>
      <c r="BQ177" s="2" t="s">
        <v>102</v>
      </c>
      <c r="BR177" s="2" t="s">
        <v>103</v>
      </c>
      <c r="BS177" s="2" t="s">
        <v>713</v>
      </c>
      <c r="BT177" s="2" t="s">
        <v>436</v>
      </c>
      <c r="BU177" s="2" t="s">
        <v>1270</v>
      </c>
      <c r="BV177" s="2" t="s">
        <v>107</v>
      </c>
      <c r="BW177" s="2" t="s">
        <v>108</v>
      </c>
      <c r="BX177" s="2" t="s">
        <v>139</v>
      </c>
      <c r="BY17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77" s="2">
        <f>IF(AND(Cases[[#This Row],[Priority Level]]&gt;=3,Cases[[#This Row],[System Role]]&lt;&gt;"Productive"),1,0)</f>
        <v>0</v>
      </c>
      <c r="CA177" s="2">
        <f>IFERROR(IF(Cases[[#This Row],[Days at Customer]]&gt;MAX(1,Cases[[#This Row],[Days at SAP]]*2),1,0),0)</f>
        <v>1</v>
      </c>
      <c r="CB177" s="2">
        <f>IF(AND(Cases[[#This Row],[Initial Component]]&lt;&gt;"",Cases[[#This Row],[Component]]&lt;&gt;"",Cases[[#This Row],[Initial Component]]&lt;&gt;Cases[[#This Row],[Component]]),1,0)</f>
        <v>0</v>
      </c>
      <c r="CC177" s="2">
        <f>IF(OR(Cases[[#This Row],[Is Reopened]]="X",Cases[[#This Row],[No. of Reopenings]]&gt;0),1,0)</f>
        <v>0</v>
      </c>
      <c r="CD177" s="2">
        <f>IF(Cases[[#This Row],[Confirmation Type]]="Automatic",1,0)</f>
        <v>1</v>
      </c>
      <c r="CE17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78" spans="1:83" x14ac:dyDescent="0.2">
      <c r="A178" s="1" t="s">
        <v>2105</v>
      </c>
      <c r="B178" s="2" t="s">
        <v>2106</v>
      </c>
      <c r="C178" s="2" t="s">
        <v>203</v>
      </c>
      <c r="D178" s="2" t="s">
        <v>238</v>
      </c>
      <c r="E178" s="3">
        <v>0</v>
      </c>
      <c r="F178" s="3">
        <v>23.41</v>
      </c>
      <c r="G178" s="2" t="s">
        <v>112</v>
      </c>
      <c r="H178" s="2" t="s">
        <v>113</v>
      </c>
      <c r="I178" s="3" t="s">
        <v>114</v>
      </c>
      <c r="J178" s="3">
        <v>127</v>
      </c>
      <c r="K178" s="2" t="s">
        <v>2107</v>
      </c>
      <c r="L178" s="4">
        <v>46026</v>
      </c>
      <c r="M178" s="4">
        <v>46024</v>
      </c>
      <c r="N178" s="2" t="s">
        <v>1334</v>
      </c>
      <c r="O178" s="2" t="s">
        <v>181</v>
      </c>
      <c r="P178" s="2" t="s">
        <v>1334</v>
      </c>
      <c r="Q178" s="2" t="s">
        <v>86</v>
      </c>
      <c r="R178" s="2" t="s">
        <v>205</v>
      </c>
      <c r="S178" s="4">
        <v>46000</v>
      </c>
      <c r="T178" s="2" t="s">
        <v>1804</v>
      </c>
      <c r="U178" s="2" t="s">
        <v>1805</v>
      </c>
      <c r="V178" s="2" t="s">
        <v>2037</v>
      </c>
      <c r="W178" s="2" t="s">
        <v>1806</v>
      </c>
      <c r="X178" s="2" t="s">
        <v>117</v>
      </c>
      <c r="Y178" s="3" t="s">
        <v>118</v>
      </c>
      <c r="Z178" s="3">
        <v>23.41</v>
      </c>
      <c r="AA178" s="2" t="s">
        <v>90</v>
      </c>
      <c r="AB178" s="2" t="s">
        <v>205</v>
      </c>
      <c r="AC178" s="2" t="s">
        <v>203</v>
      </c>
      <c r="AD178" t="str" cm="1">
        <f t="array" ref="AD17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178" s="2" t="s">
        <v>182</v>
      </c>
      <c r="AF178" s="2" t="s">
        <v>92</v>
      </c>
      <c r="AG178" s="2" t="s">
        <v>119</v>
      </c>
      <c r="AH178" s="2" t="s">
        <v>120</v>
      </c>
      <c r="AK178" s="2" t="s">
        <v>2108</v>
      </c>
      <c r="AN178" s="3">
        <v>1</v>
      </c>
      <c r="AO178" s="3">
        <v>1</v>
      </c>
      <c r="AP178" s="3">
        <v>1</v>
      </c>
      <c r="AQ178" s="3">
        <v>1</v>
      </c>
      <c r="AR178" s="3">
        <v>1</v>
      </c>
      <c r="AS178" s="3">
        <v>0</v>
      </c>
      <c r="AT178" s="3">
        <v>0</v>
      </c>
      <c r="AU178" s="3">
        <v>0</v>
      </c>
      <c r="AV178" s="3">
        <v>1</v>
      </c>
      <c r="AW178" s="3">
        <v>0</v>
      </c>
      <c r="AX178" s="3">
        <v>1</v>
      </c>
      <c r="AY178" s="3">
        <v>0</v>
      </c>
      <c r="AZ178" s="3">
        <v>0</v>
      </c>
      <c r="BA178" s="3">
        <v>0</v>
      </c>
      <c r="BB178" s="3">
        <v>0</v>
      </c>
      <c r="BC178" s="3">
        <v>1</v>
      </c>
      <c r="BD178" s="3">
        <v>0</v>
      </c>
      <c r="BE178" s="3">
        <v>0</v>
      </c>
      <c r="BG178" s="2" t="s">
        <v>91</v>
      </c>
      <c r="BH178" s="3">
        <v>3</v>
      </c>
      <c r="BI178" s="2" t="s">
        <v>122</v>
      </c>
      <c r="BJ178" s="2" t="s">
        <v>96</v>
      </c>
      <c r="BL178" s="2" t="s">
        <v>123</v>
      </c>
      <c r="BM178" s="2" t="s">
        <v>123</v>
      </c>
      <c r="BN178" s="2" t="s">
        <v>124</v>
      </c>
      <c r="BO178" s="2" t="s">
        <v>125</v>
      </c>
      <c r="BP178" s="2" t="s">
        <v>242</v>
      </c>
      <c r="BQ178" s="2" t="s">
        <v>124</v>
      </c>
      <c r="BR178" s="2" t="s">
        <v>126</v>
      </c>
      <c r="BS178" s="2" t="s">
        <v>127</v>
      </c>
      <c r="BT178" s="2" t="s">
        <v>207</v>
      </c>
      <c r="BU178" s="2" t="s">
        <v>208</v>
      </c>
      <c r="BV178" s="2" t="s">
        <v>150</v>
      </c>
      <c r="BW178" s="2" t="s">
        <v>151</v>
      </c>
      <c r="BX178" s="2" t="s">
        <v>182</v>
      </c>
      <c r="BY17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78" s="2">
        <f>IF(AND(Cases[[#This Row],[Priority Level]]&gt;=3,Cases[[#This Row],[System Role]]&lt;&gt;"Productive"),1,0)</f>
        <v>0</v>
      </c>
      <c r="CA178" s="2">
        <f>IFERROR(IF(Cases[[#This Row],[Days at Customer]]&gt;MAX(1,Cases[[#This Row],[Days at SAP]]*2),1,0),0)</f>
        <v>1</v>
      </c>
      <c r="CB178" s="2">
        <f>IF(AND(Cases[[#This Row],[Initial Component]]&lt;&gt;"",Cases[[#This Row],[Component]]&lt;&gt;"",Cases[[#This Row],[Initial Component]]&lt;&gt;Cases[[#This Row],[Component]]),1,0)</f>
        <v>0</v>
      </c>
      <c r="CC178" s="2">
        <f>IF(OR(Cases[[#This Row],[Is Reopened]]="X",Cases[[#This Row],[No. of Reopenings]]&gt;0),1,0)</f>
        <v>0</v>
      </c>
      <c r="CD178" s="2">
        <f>IF(Cases[[#This Row],[Confirmation Type]]="Automatic",1,0)</f>
        <v>1</v>
      </c>
      <c r="CE17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79" spans="1:83" x14ac:dyDescent="0.2">
      <c r="A179" s="1" t="s">
        <v>1275</v>
      </c>
      <c r="B179" s="2" t="s">
        <v>1276</v>
      </c>
      <c r="C179" s="2" t="s">
        <v>655</v>
      </c>
      <c r="D179" s="2" t="s">
        <v>78</v>
      </c>
      <c r="E179" s="3">
        <v>0.86</v>
      </c>
      <c r="F179" s="3">
        <v>20.94</v>
      </c>
      <c r="G179" s="2" t="s">
        <v>79</v>
      </c>
      <c r="H179" s="2" t="s">
        <v>178</v>
      </c>
      <c r="I179" s="3" t="s">
        <v>114</v>
      </c>
      <c r="J179" s="3">
        <v>70</v>
      </c>
      <c r="K179" s="2" t="s">
        <v>1277</v>
      </c>
      <c r="L179" s="4">
        <v>46082</v>
      </c>
      <c r="M179" s="4">
        <v>46079</v>
      </c>
      <c r="N179" s="2" t="s">
        <v>677</v>
      </c>
      <c r="O179" s="2" t="s">
        <v>181</v>
      </c>
      <c r="P179" s="2" t="s">
        <v>678</v>
      </c>
      <c r="Q179" s="2" t="s">
        <v>86</v>
      </c>
      <c r="R179" s="2" t="s">
        <v>657</v>
      </c>
      <c r="S179" s="4">
        <v>46057</v>
      </c>
      <c r="T179" s="2" t="s">
        <v>677</v>
      </c>
      <c r="U179" s="2" t="s">
        <v>181</v>
      </c>
      <c r="V179" s="2" t="s">
        <v>1165</v>
      </c>
      <c r="W179" s="2" t="s">
        <v>86</v>
      </c>
      <c r="X179" s="2" t="s">
        <v>117</v>
      </c>
      <c r="Y179" s="3" t="s">
        <v>118</v>
      </c>
      <c r="Z179" s="3">
        <v>21.8</v>
      </c>
      <c r="AA179" s="2" t="s">
        <v>90</v>
      </c>
      <c r="AB179" s="2" t="s">
        <v>657</v>
      </c>
      <c r="AC179" s="2" t="s">
        <v>655</v>
      </c>
      <c r="AD179" t="str" cm="1">
        <f t="array" ref="AD17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179" s="2" t="s">
        <v>139</v>
      </c>
      <c r="AF179" s="2" t="s">
        <v>92</v>
      </c>
      <c r="AG179" s="2" t="s">
        <v>159</v>
      </c>
      <c r="AH179" s="2" t="s">
        <v>160</v>
      </c>
      <c r="AJ179" s="2" t="s">
        <v>122</v>
      </c>
      <c r="AK179" s="2" t="s">
        <v>1278</v>
      </c>
      <c r="AN179" s="3">
        <v>1</v>
      </c>
      <c r="AO179" s="3">
        <v>1</v>
      </c>
      <c r="AP179" s="3">
        <v>1</v>
      </c>
      <c r="AQ179" s="3">
        <v>1</v>
      </c>
      <c r="AR179" s="3">
        <v>0</v>
      </c>
      <c r="AS179" s="3">
        <v>0</v>
      </c>
      <c r="AT179" s="3">
        <v>1</v>
      </c>
      <c r="AU179" s="3">
        <v>0</v>
      </c>
      <c r="AV179" s="3">
        <v>0</v>
      </c>
      <c r="AW179" s="3">
        <v>1</v>
      </c>
      <c r="AX179" s="3">
        <v>0</v>
      </c>
      <c r="AY179" s="3">
        <v>0</v>
      </c>
      <c r="AZ179" s="3">
        <v>1</v>
      </c>
      <c r="BA179" s="3">
        <v>0</v>
      </c>
      <c r="BB179" s="3">
        <v>0</v>
      </c>
      <c r="BC179" s="3">
        <v>1</v>
      </c>
      <c r="BD179" s="3">
        <v>1</v>
      </c>
      <c r="BE179" s="3">
        <v>0</v>
      </c>
      <c r="BG179" s="2" t="s">
        <v>139</v>
      </c>
      <c r="BH179" s="3">
        <v>2</v>
      </c>
      <c r="BJ179" s="2" t="s">
        <v>96</v>
      </c>
      <c r="BL179" s="2" t="s">
        <v>97</v>
      </c>
      <c r="BM179" s="2" t="s">
        <v>98</v>
      </c>
      <c r="BN179" s="2" t="s">
        <v>99</v>
      </c>
      <c r="BO179" s="2" t="s">
        <v>100</v>
      </c>
      <c r="BP179" s="2" t="s">
        <v>101</v>
      </c>
      <c r="BQ179" s="2" t="s">
        <v>102</v>
      </c>
      <c r="BR179" s="2" t="s">
        <v>103</v>
      </c>
      <c r="BS179" s="2" t="s">
        <v>127</v>
      </c>
      <c r="BT179" s="2" t="s">
        <v>1062</v>
      </c>
      <c r="BU179" s="2" t="s">
        <v>1063</v>
      </c>
      <c r="BV179" s="2" t="s">
        <v>150</v>
      </c>
      <c r="BW179" s="2" t="s">
        <v>151</v>
      </c>
      <c r="BX179" s="2" t="s">
        <v>139</v>
      </c>
      <c r="BY17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79" s="2">
        <f>IF(AND(Cases[[#This Row],[Priority Level]]&gt;=3,Cases[[#This Row],[System Role]]&lt;&gt;"Productive"),1,0)</f>
        <v>0</v>
      </c>
      <c r="CA179" s="2">
        <f>IFERROR(IF(Cases[[#This Row],[Days at Customer]]&gt;MAX(1,Cases[[#This Row],[Days at SAP]]*2),1,0),0)</f>
        <v>1</v>
      </c>
      <c r="CB179" s="2">
        <f>IF(AND(Cases[[#This Row],[Initial Component]]&lt;&gt;"",Cases[[#This Row],[Component]]&lt;&gt;"",Cases[[#This Row],[Initial Component]]&lt;&gt;Cases[[#This Row],[Component]]),1,0)</f>
        <v>0</v>
      </c>
      <c r="CC179" s="2">
        <f>IF(OR(Cases[[#This Row],[Is Reopened]]="X",Cases[[#This Row],[No. of Reopenings]]&gt;0),1,0)</f>
        <v>1</v>
      </c>
      <c r="CD179" s="2">
        <f>IF(Cases[[#This Row],[Confirmation Type]]="Automatic",1,0)</f>
        <v>0</v>
      </c>
      <c r="CE179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180" spans="1:83" x14ac:dyDescent="0.2">
      <c r="A180" s="1" t="s">
        <v>1279</v>
      </c>
      <c r="B180" s="2" t="s">
        <v>1280</v>
      </c>
      <c r="C180" s="2" t="s">
        <v>300</v>
      </c>
      <c r="D180" s="2" t="s">
        <v>78</v>
      </c>
      <c r="E180" s="3">
        <v>19.010000000000002</v>
      </c>
      <c r="F180" s="3">
        <v>24.01</v>
      </c>
      <c r="G180" s="2" t="s">
        <v>190</v>
      </c>
      <c r="H180" s="2" t="s">
        <v>1205</v>
      </c>
      <c r="I180" s="3" t="s">
        <v>114</v>
      </c>
      <c r="J180" s="3">
        <v>71</v>
      </c>
      <c r="K180" s="2" t="s">
        <v>1281</v>
      </c>
      <c r="L180" s="4">
        <v>46103</v>
      </c>
      <c r="M180" s="4">
        <v>46099</v>
      </c>
      <c r="N180" s="2" t="s">
        <v>180</v>
      </c>
      <c r="O180" s="2" t="s">
        <v>181</v>
      </c>
      <c r="P180" s="2" t="s">
        <v>260</v>
      </c>
      <c r="Q180" s="2" t="s">
        <v>86</v>
      </c>
      <c r="R180" s="2" t="s">
        <v>299</v>
      </c>
      <c r="S180" s="4">
        <v>46056</v>
      </c>
      <c r="T180" s="2" t="s">
        <v>677</v>
      </c>
      <c r="U180" s="2" t="s">
        <v>181</v>
      </c>
      <c r="V180" s="2" t="s">
        <v>1165</v>
      </c>
      <c r="W180" s="2" t="s">
        <v>86</v>
      </c>
      <c r="X180" s="2" t="s">
        <v>117</v>
      </c>
      <c r="Y180" s="3" t="s">
        <v>118</v>
      </c>
      <c r="Z180" s="3">
        <v>43.01</v>
      </c>
      <c r="AA180" s="2" t="s">
        <v>90</v>
      </c>
      <c r="AB180" s="2" t="s">
        <v>878</v>
      </c>
      <c r="AC180" s="2" t="s">
        <v>876</v>
      </c>
      <c r="AD180" t="str" cm="1">
        <f t="array" ref="AD18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180" s="2" t="s">
        <v>91</v>
      </c>
      <c r="AF180" s="2" t="s">
        <v>92</v>
      </c>
      <c r="AG180" s="2" t="s">
        <v>119</v>
      </c>
      <c r="AH180" s="2" t="s">
        <v>120</v>
      </c>
      <c r="AK180" s="2" t="s">
        <v>1282</v>
      </c>
      <c r="AN180" s="3">
        <v>1</v>
      </c>
      <c r="AO180" s="3">
        <v>1</v>
      </c>
      <c r="AP180" s="3">
        <v>1</v>
      </c>
      <c r="AQ180" s="3">
        <v>1</v>
      </c>
      <c r="AR180" s="3">
        <v>1</v>
      </c>
      <c r="AS180" s="3">
        <v>0</v>
      </c>
      <c r="AT180" s="3">
        <v>0</v>
      </c>
      <c r="AU180" s="3">
        <v>0</v>
      </c>
      <c r="AV180" s="3">
        <v>0</v>
      </c>
      <c r="AW180" s="3">
        <v>1</v>
      </c>
      <c r="AX180" s="3">
        <v>1</v>
      </c>
      <c r="AY180" s="3">
        <v>0</v>
      </c>
      <c r="AZ180" s="3">
        <v>0</v>
      </c>
      <c r="BA180" s="3">
        <v>1</v>
      </c>
      <c r="BB180" s="3">
        <v>0</v>
      </c>
      <c r="BC180" s="3">
        <v>0</v>
      </c>
      <c r="BD180" s="3">
        <v>0</v>
      </c>
      <c r="BE180" s="3">
        <v>0</v>
      </c>
      <c r="BG180" s="2" t="s">
        <v>91</v>
      </c>
      <c r="BH180" s="3">
        <v>3</v>
      </c>
      <c r="BJ180" s="2" t="s">
        <v>96</v>
      </c>
      <c r="BL180" s="2" t="s">
        <v>123</v>
      </c>
      <c r="BM180" s="2" t="s">
        <v>123</v>
      </c>
      <c r="BN180" s="2" t="s">
        <v>124</v>
      </c>
      <c r="BO180" s="2" t="s">
        <v>125</v>
      </c>
      <c r="BP180" s="2" t="s">
        <v>101</v>
      </c>
      <c r="BQ180" s="2" t="s">
        <v>124</v>
      </c>
      <c r="BR180" s="2" t="s">
        <v>126</v>
      </c>
      <c r="BS180" s="2" t="s">
        <v>127</v>
      </c>
      <c r="BT180" s="2" t="s">
        <v>410</v>
      </c>
      <c r="BU180" s="2" t="s">
        <v>411</v>
      </c>
      <c r="BV180" s="2" t="s">
        <v>166</v>
      </c>
      <c r="BW180" s="2" t="s">
        <v>167</v>
      </c>
      <c r="BX180" s="2" t="s">
        <v>91</v>
      </c>
      <c r="BY18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80" s="2">
        <f>IF(AND(Cases[[#This Row],[Priority Level]]&gt;=3,Cases[[#This Row],[System Role]]&lt;&gt;"Productive"),1,0)</f>
        <v>1</v>
      </c>
      <c r="CA180" s="2">
        <f>IFERROR(IF(Cases[[#This Row],[Days at Customer]]&gt;MAX(1,Cases[[#This Row],[Days at SAP]]*2),1,0),0)</f>
        <v>0</v>
      </c>
      <c r="CB180" s="2">
        <f>IF(AND(Cases[[#This Row],[Initial Component]]&lt;&gt;"",Cases[[#This Row],[Component]]&lt;&gt;"",Cases[[#This Row],[Initial Component]]&lt;&gt;Cases[[#This Row],[Component]]),1,0)</f>
        <v>1</v>
      </c>
      <c r="CC180" s="2">
        <f>IF(OR(Cases[[#This Row],[Is Reopened]]="X",Cases[[#This Row],[No. of Reopenings]]&gt;0),1,0)</f>
        <v>0</v>
      </c>
      <c r="CD180" s="2">
        <f>IF(Cases[[#This Row],[Confirmation Type]]="Automatic",1,0)</f>
        <v>0</v>
      </c>
      <c r="CE18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81" spans="1:83" x14ac:dyDescent="0.2">
      <c r="A181" s="1" t="s">
        <v>1283</v>
      </c>
      <c r="B181" s="2" t="s">
        <v>1284</v>
      </c>
      <c r="C181" s="2" t="s">
        <v>189</v>
      </c>
      <c r="D181" s="2" t="s">
        <v>78</v>
      </c>
      <c r="E181" s="3">
        <v>20.11</v>
      </c>
      <c r="F181" s="3">
        <v>15.93</v>
      </c>
      <c r="G181" s="2" t="s">
        <v>79</v>
      </c>
      <c r="H181" s="2" t="s">
        <v>80</v>
      </c>
      <c r="I181" s="3" t="s">
        <v>114</v>
      </c>
      <c r="J181" s="3">
        <v>71</v>
      </c>
      <c r="K181" s="2" t="s">
        <v>1285</v>
      </c>
      <c r="L181" s="4">
        <v>46124</v>
      </c>
      <c r="M181" s="4">
        <v>46092</v>
      </c>
      <c r="N181" s="2" t="s">
        <v>180</v>
      </c>
      <c r="O181" s="2" t="s">
        <v>181</v>
      </c>
      <c r="P181" s="2" t="s">
        <v>350</v>
      </c>
      <c r="Q181" s="2" t="s">
        <v>86</v>
      </c>
      <c r="R181" s="2" t="s">
        <v>194</v>
      </c>
      <c r="S181" s="4">
        <v>46056</v>
      </c>
      <c r="T181" s="2" t="s">
        <v>677</v>
      </c>
      <c r="U181" s="2" t="s">
        <v>181</v>
      </c>
      <c r="V181" s="2" t="s">
        <v>1165</v>
      </c>
      <c r="W181" s="2" t="s">
        <v>86</v>
      </c>
      <c r="X181" s="2" t="s">
        <v>117</v>
      </c>
      <c r="Y181" s="3" t="s">
        <v>118</v>
      </c>
      <c r="Z181" s="3">
        <v>36.03</v>
      </c>
      <c r="AA181" s="2" t="s">
        <v>90</v>
      </c>
      <c r="AB181" s="2" t="s">
        <v>408</v>
      </c>
      <c r="AC181" s="2" t="s">
        <v>406</v>
      </c>
      <c r="AD181" t="str" cm="1">
        <f t="array" ref="AD18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181" s="2" t="s">
        <v>91</v>
      </c>
      <c r="AF181" s="2" t="s">
        <v>92</v>
      </c>
      <c r="AG181" s="2" t="s">
        <v>119</v>
      </c>
      <c r="AH181" s="2" t="s">
        <v>120</v>
      </c>
      <c r="AJ181" s="2" t="s">
        <v>122</v>
      </c>
      <c r="AK181" s="2" t="s">
        <v>1286</v>
      </c>
      <c r="AN181" s="3">
        <v>1</v>
      </c>
      <c r="AO181" s="3">
        <v>1</v>
      </c>
      <c r="AP181" s="3">
        <v>1</v>
      </c>
      <c r="AQ181" s="3">
        <v>1</v>
      </c>
      <c r="AR181" s="3">
        <v>1</v>
      </c>
      <c r="AS181" s="3">
        <v>0</v>
      </c>
      <c r="AT181" s="3">
        <v>0</v>
      </c>
      <c r="AU181" s="3">
        <v>0</v>
      </c>
      <c r="AV181" s="3">
        <v>0</v>
      </c>
      <c r="AW181" s="3">
        <v>1</v>
      </c>
      <c r="AX181" s="3">
        <v>1</v>
      </c>
      <c r="AY181" s="3">
        <v>0</v>
      </c>
      <c r="AZ181" s="3">
        <v>0</v>
      </c>
      <c r="BA181" s="3">
        <v>0</v>
      </c>
      <c r="BB181" s="3">
        <v>0</v>
      </c>
      <c r="BC181" s="3">
        <v>1</v>
      </c>
      <c r="BD181" s="3">
        <v>2</v>
      </c>
      <c r="BE181" s="3">
        <v>0</v>
      </c>
      <c r="BG181" s="2" t="s">
        <v>91</v>
      </c>
      <c r="BH181" s="3">
        <v>3</v>
      </c>
      <c r="BJ181" s="2" t="s">
        <v>96</v>
      </c>
      <c r="BL181" s="2" t="s">
        <v>123</v>
      </c>
      <c r="BM181" s="2" t="s">
        <v>123</v>
      </c>
      <c r="BN181" s="2" t="s">
        <v>124</v>
      </c>
      <c r="BO181" s="2" t="s">
        <v>125</v>
      </c>
      <c r="BP181" s="2" t="s">
        <v>101</v>
      </c>
      <c r="BQ181" s="2" t="s">
        <v>124</v>
      </c>
      <c r="BR181" s="2" t="s">
        <v>126</v>
      </c>
      <c r="BS181" s="2" t="s">
        <v>127</v>
      </c>
      <c r="BT181" s="2" t="s">
        <v>207</v>
      </c>
      <c r="BU181" s="2" t="s">
        <v>208</v>
      </c>
      <c r="BV181" s="2" t="s">
        <v>150</v>
      </c>
      <c r="BW181" s="2" t="s">
        <v>151</v>
      </c>
      <c r="BX181" s="2" t="s">
        <v>182</v>
      </c>
      <c r="BY18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81" s="2">
        <f>IF(AND(Cases[[#This Row],[Priority Level]]&gt;=3,Cases[[#This Row],[System Role]]&lt;&gt;"Productive"),1,0)</f>
        <v>0</v>
      </c>
      <c r="CA181" s="2">
        <f>IFERROR(IF(Cases[[#This Row],[Days at Customer]]&gt;MAX(1,Cases[[#This Row],[Days at SAP]]*2),1,0),0)</f>
        <v>0</v>
      </c>
      <c r="CB181" s="2">
        <f>IF(AND(Cases[[#This Row],[Initial Component]]&lt;&gt;"",Cases[[#This Row],[Component]]&lt;&gt;"",Cases[[#This Row],[Initial Component]]&lt;&gt;Cases[[#This Row],[Component]]),1,0)</f>
        <v>1</v>
      </c>
      <c r="CC181" s="2">
        <f>IF(OR(Cases[[#This Row],[Is Reopened]]="X",Cases[[#This Row],[No. of Reopenings]]&gt;0),1,0)</f>
        <v>1</v>
      </c>
      <c r="CD181" s="2">
        <f>IF(Cases[[#This Row],[Confirmation Type]]="Automatic",1,0)</f>
        <v>0</v>
      </c>
      <c r="CE181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82" spans="1:83" x14ac:dyDescent="0.2">
      <c r="A182" s="1" t="s">
        <v>1287</v>
      </c>
      <c r="B182" s="2" t="s">
        <v>1288</v>
      </c>
      <c r="C182" s="2" t="s">
        <v>596</v>
      </c>
      <c r="D182" s="2" t="s">
        <v>238</v>
      </c>
      <c r="E182" s="3">
        <v>5.6</v>
      </c>
      <c r="F182" s="3">
        <v>25.05</v>
      </c>
      <c r="G182" s="2" t="s">
        <v>79</v>
      </c>
      <c r="H182" s="2" t="s">
        <v>290</v>
      </c>
      <c r="I182" s="3" t="s">
        <v>114</v>
      </c>
      <c r="J182" s="3">
        <v>71</v>
      </c>
      <c r="K182" s="2" t="s">
        <v>1289</v>
      </c>
      <c r="L182" s="4">
        <v>46089</v>
      </c>
      <c r="M182" s="4">
        <v>46087</v>
      </c>
      <c r="N182" s="2" t="s">
        <v>180</v>
      </c>
      <c r="O182" s="2" t="s">
        <v>181</v>
      </c>
      <c r="P182" s="2" t="s">
        <v>526</v>
      </c>
      <c r="Q182" s="2" t="s">
        <v>86</v>
      </c>
      <c r="R182" s="2" t="s">
        <v>595</v>
      </c>
      <c r="S182" s="4">
        <v>46056</v>
      </c>
      <c r="T182" s="2" t="s">
        <v>677</v>
      </c>
      <c r="U182" s="2" t="s">
        <v>181</v>
      </c>
      <c r="V182" s="2" t="s">
        <v>1165</v>
      </c>
      <c r="W182" s="2" t="s">
        <v>86</v>
      </c>
      <c r="X182" s="2" t="s">
        <v>117</v>
      </c>
      <c r="Y182" s="3" t="s">
        <v>118</v>
      </c>
      <c r="Z182" s="3">
        <v>30.65</v>
      </c>
      <c r="AA182" s="2" t="s">
        <v>90</v>
      </c>
      <c r="AB182" s="2" t="s">
        <v>220</v>
      </c>
      <c r="AC182" s="2" t="s">
        <v>221</v>
      </c>
      <c r="AD182" t="str" cm="1">
        <f t="array" ref="AD18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OTC</v>
      </c>
      <c r="AE182" s="2" t="s">
        <v>139</v>
      </c>
      <c r="AF182" s="2" t="s">
        <v>92</v>
      </c>
      <c r="AG182" s="2" t="s">
        <v>119</v>
      </c>
      <c r="AH182" s="2" t="s">
        <v>120</v>
      </c>
      <c r="AK182" s="2" t="s">
        <v>1290</v>
      </c>
      <c r="AN182" s="3">
        <v>1</v>
      </c>
      <c r="AO182" s="3">
        <v>1</v>
      </c>
      <c r="AP182" s="3">
        <v>1</v>
      </c>
      <c r="AQ182" s="3">
        <v>1</v>
      </c>
      <c r="AR182" s="3">
        <v>0</v>
      </c>
      <c r="AS182" s="3">
        <v>0</v>
      </c>
      <c r="AT182" s="3">
        <v>1</v>
      </c>
      <c r="AU182" s="3">
        <v>0</v>
      </c>
      <c r="AV182" s="3">
        <v>1</v>
      </c>
      <c r="AW182" s="3">
        <v>0</v>
      </c>
      <c r="AX182" s="3">
        <v>0</v>
      </c>
      <c r="AY182" s="3">
        <v>0</v>
      </c>
      <c r="AZ182" s="3">
        <v>1</v>
      </c>
      <c r="BA182" s="3">
        <v>1</v>
      </c>
      <c r="BB182" s="3">
        <v>0</v>
      </c>
      <c r="BC182" s="3">
        <v>0</v>
      </c>
      <c r="BD182" s="3">
        <v>0</v>
      </c>
      <c r="BE182" s="3">
        <v>0</v>
      </c>
      <c r="BG182" s="2" t="s">
        <v>139</v>
      </c>
      <c r="BH182" s="3">
        <v>2</v>
      </c>
      <c r="BJ182" s="2" t="s">
        <v>96</v>
      </c>
      <c r="BL182" s="2" t="s">
        <v>123</v>
      </c>
      <c r="BM182" s="2" t="s">
        <v>123</v>
      </c>
      <c r="BN182" s="2" t="s">
        <v>124</v>
      </c>
      <c r="BO182" s="2" t="s">
        <v>125</v>
      </c>
      <c r="BP182" s="2" t="s">
        <v>242</v>
      </c>
      <c r="BQ182" s="2" t="s">
        <v>124</v>
      </c>
      <c r="BR182" s="2" t="s">
        <v>126</v>
      </c>
      <c r="BS182" s="2" t="s">
        <v>127</v>
      </c>
      <c r="BT182" s="2" t="s">
        <v>199</v>
      </c>
      <c r="BU182" s="2" t="s">
        <v>200</v>
      </c>
      <c r="BV182" s="2" t="s">
        <v>166</v>
      </c>
      <c r="BW182" s="2" t="s">
        <v>167</v>
      </c>
      <c r="BX182" s="2" t="s">
        <v>139</v>
      </c>
      <c r="BY18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82" s="2">
        <f>IF(AND(Cases[[#This Row],[Priority Level]]&gt;=3,Cases[[#This Row],[System Role]]&lt;&gt;"Productive"),1,0)</f>
        <v>0</v>
      </c>
      <c r="CA182" s="2">
        <f>IFERROR(IF(Cases[[#This Row],[Days at Customer]]&gt;MAX(1,Cases[[#This Row],[Days at SAP]]*2),1,0),0)</f>
        <v>1</v>
      </c>
      <c r="CB182" s="2">
        <f>IF(AND(Cases[[#This Row],[Initial Component]]&lt;&gt;"",Cases[[#This Row],[Component]]&lt;&gt;"",Cases[[#This Row],[Initial Component]]&lt;&gt;Cases[[#This Row],[Component]]),1,0)</f>
        <v>1</v>
      </c>
      <c r="CC182" s="2">
        <f>IF(OR(Cases[[#This Row],[Is Reopened]]="X",Cases[[#This Row],[No. of Reopenings]]&gt;0),1,0)</f>
        <v>0</v>
      </c>
      <c r="CD182" s="2">
        <f>IF(Cases[[#This Row],[Confirmation Type]]="Automatic",1,0)</f>
        <v>1</v>
      </c>
      <c r="CE182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183" spans="1:83" x14ac:dyDescent="0.2">
      <c r="A183" s="1" t="s">
        <v>2113</v>
      </c>
      <c r="B183" s="2" t="s">
        <v>2114</v>
      </c>
      <c r="C183" s="2" t="s">
        <v>203</v>
      </c>
      <c r="D183" s="2" t="s">
        <v>238</v>
      </c>
      <c r="E183" s="3">
        <v>0</v>
      </c>
      <c r="F183" s="3">
        <v>21.41</v>
      </c>
      <c r="G183" s="2" t="s">
        <v>112</v>
      </c>
      <c r="H183" s="2" t="s">
        <v>113</v>
      </c>
      <c r="I183" s="3" t="s">
        <v>114</v>
      </c>
      <c r="J183" s="3">
        <v>127</v>
      </c>
      <c r="K183" s="2" t="s">
        <v>2115</v>
      </c>
      <c r="L183" s="4">
        <v>46026</v>
      </c>
      <c r="M183" s="4">
        <v>46022</v>
      </c>
      <c r="N183" s="2" t="s">
        <v>1804</v>
      </c>
      <c r="O183" s="2" t="s">
        <v>1805</v>
      </c>
      <c r="P183" s="2" t="s">
        <v>1334</v>
      </c>
      <c r="Q183" s="2" t="s">
        <v>1806</v>
      </c>
      <c r="R183" s="2" t="s">
        <v>205</v>
      </c>
      <c r="S183" s="4">
        <v>46000</v>
      </c>
      <c r="T183" s="2" t="s">
        <v>1804</v>
      </c>
      <c r="U183" s="2" t="s">
        <v>1805</v>
      </c>
      <c r="V183" s="2" t="s">
        <v>2037</v>
      </c>
      <c r="W183" s="2" t="s">
        <v>1806</v>
      </c>
      <c r="X183" s="2" t="s">
        <v>117</v>
      </c>
      <c r="Y183" s="3" t="s">
        <v>118</v>
      </c>
      <c r="Z183" s="3">
        <v>21.41</v>
      </c>
      <c r="AA183" s="2" t="s">
        <v>90</v>
      </c>
      <c r="AB183" s="2" t="s">
        <v>205</v>
      </c>
      <c r="AC183" s="2" t="s">
        <v>203</v>
      </c>
      <c r="AD183" t="str" cm="1">
        <f t="array" ref="AD18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183" s="2" t="s">
        <v>91</v>
      </c>
      <c r="AF183" s="2" t="s">
        <v>92</v>
      </c>
      <c r="AG183" s="2" t="s">
        <v>119</v>
      </c>
      <c r="AH183" s="2" t="s">
        <v>120</v>
      </c>
      <c r="AK183" s="2" t="s">
        <v>2116</v>
      </c>
      <c r="AN183" s="3">
        <v>1</v>
      </c>
      <c r="AO183" s="3">
        <v>1</v>
      </c>
      <c r="AP183" s="3">
        <v>1</v>
      </c>
      <c r="AQ183" s="3">
        <v>1</v>
      </c>
      <c r="AR183" s="3">
        <v>1</v>
      </c>
      <c r="AS183" s="3">
        <v>0</v>
      </c>
      <c r="AT183" s="3">
        <v>0</v>
      </c>
      <c r="AU183" s="3">
        <v>0</v>
      </c>
      <c r="AV183" s="3">
        <v>1</v>
      </c>
      <c r="AW183" s="3">
        <v>0</v>
      </c>
      <c r="AX183" s="3">
        <v>1</v>
      </c>
      <c r="AY183" s="3">
        <v>0</v>
      </c>
      <c r="AZ183" s="3">
        <v>0</v>
      </c>
      <c r="BA183" s="3">
        <v>0</v>
      </c>
      <c r="BB183" s="3">
        <v>0</v>
      </c>
      <c r="BC183" s="3">
        <v>1</v>
      </c>
      <c r="BD183" s="3">
        <v>0</v>
      </c>
      <c r="BE183" s="3">
        <v>0</v>
      </c>
      <c r="BG183" s="2" t="s">
        <v>91</v>
      </c>
      <c r="BH183" s="3">
        <v>3</v>
      </c>
      <c r="BI183" s="2" t="s">
        <v>122</v>
      </c>
      <c r="BJ183" s="2" t="s">
        <v>96</v>
      </c>
      <c r="BL183" s="2" t="s">
        <v>123</v>
      </c>
      <c r="BM183" s="2" t="s">
        <v>123</v>
      </c>
      <c r="BN183" s="2" t="s">
        <v>124</v>
      </c>
      <c r="BO183" s="2" t="s">
        <v>125</v>
      </c>
      <c r="BP183" s="2" t="s">
        <v>242</v>
      </c>
      <c r="BQ183" s="2" t="s">
        <v>124</v>
      </c>
      <c r="BR183" s="2" t="s">
        <v>126</v>
      </c>
      <c r="BS183" s="2" t="s">
        <v>127</v>
      </c>
      <c r="BT183" s="2" t="s">
        <v>207</v>
      </c>
      <c r="BU183" s="2" t="s">
        <v>208</v>
      </c>
      <c r="BV183" s="2" t="s">
        <v>150</v>
      </c>
      <c r="BW183" s="2" t="s">
        <v>151</v>
      </c>
      <c r="BX183" s="2" t="s">
        <v>91</v>
      </c>
      <c r="BY18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83" s="2">
        <f>IF(AND(Cases[[#This Row],[Priority Level]]&gt;=3,Cases[[#This Row],[System Role]]&lt;&gt;"Productive"),1,0)</f>
        <v>0</v>
      </c>
      <c r="CA183" s="2">
        <f>IFERROR(IF(Cases[[#This Row],[Days at Customer]]&gt;MAX(1,Cases[[#This Row],[Days at SAP]]*2),1,0),0)</f>
        <v>1</v>
      </c>
      <c r="CB183" s="2">
        <f>IF(AND(Cases[[#This Row],[Initial Component]]&lt;&gt;"",Cases[[#This Row],[Component]]&lt;&gt;"",Cases[[#This Row],[Initial Component]]&lt;&gt;Cases[[#This Row],[Component]]),1,0)</f>
        <v>0</v>
      </c>
      <c r="CC183" s="2">
        <f>IF(OR(Cases[[#This Row],[Is Reopened]]="X",Cases[[#This Row],[No. of Reopenings]]&gt;0),1,0)</f>
        <v>0</v>
      </c>
      <c r="CD183" s="2">
        <f>IF(Cases[[#This Row],[Confirmation Type]]="Automatic",1,0)</f>
        <v>1</v>
      </c>
      <c r="CE183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84" spans="1:83" x14ac:dyDescent="0.2">
      <c r="A184" s="1" t="s">
        <v>1295</v>
      </c>
      <c r="B184" s="2" t="s">
        <v>1296</v>
      </c>
      <c r="C184" s="2" t="s">
        <v>1297</v>
      </c>
      <c r="D184" s="2" t="s">
        <v>238</v>
      </c>
      <c r="E184" s="3">
        <v>0.03</v>
      </c>
      <c r="F184" s="3">
        <v>21.78</v>
      </c>
      <c r="G184" s="2" t="s">
        <v>190</v>
      </c>
      <c r="H184" s="2" t="s">
        <v>191</v>
      </c>
      <c r="I184" s="3" t="s">
        <v>114</v>
      </c>
      <c r="J184" s="3">
        <v>72</v>
      </c>
      <c r="K184" s="2" t="s">
        <v>1298</v>
      </c>
      <c r="L184" s="4">
        <v>46082</v>
      </c>
      <c r="M184" s="4">
        <v>46077</v>
      </c>
      <c r="N184" s="2" t="s">
        <v>677</v>
      </c>
      <c r="O184" s="2" t="s">
        <v>181</v>
      </c>
      <c r="P184" s="2" t="s">
        <v>678</v>
      </c>
      <c r="Q184" s="2" t="s">
        <v>86</v>
      </c>
      <c r="R184" s="2" t="s">
        <v>1299</v>
      </c>
      <c r="S184" s="4">
        <v>46055</v>
      </c>
      <c r="T184" s="2" t="s">
        <v>677</v>
      </c>
      <c r="U184" s="2" t="s">
        <v>181</v>
      </c>
      <c r="V184" s="2" t="s">
        <v>1165</v>
      </c>
      <c r="W184" s="2" t="s">
        <v>86</v>
      </c>
      <c r="X184" s="2" t="s">
        <v>117</v>
      </c>
      <c r="Y184" s="3" t="s">
        <v>118</v>
      </c>
      <c r="Z184" s="3">
        <v>21.8</v>
      </c>
      <c r="AA184" s="2" t="s">
        <v>90</v>
      </c>
      <c r="AB184" s="2" t="s">
        <v>1299</v>
      </c>
      <c r="AC184" s="2" t="s">
        <v>1297</v>
      </c>
      <c r="AD184" t="str" cm="1">
        <f t="array" ref="AD18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184" s="2" t="s">
        <v>139</v>
      </c>
      <c r="AF184" s="2" t="s">
        <v>998</v>
      </c>
      <c r="AG184" s="2" t="s">
        <v>553</v>
      </c>
      <c r="AH184" s="2" t="s">
        <v>554</v>
      </c>
      <c r="AK184" s="2" t="s">
        <v>1300</v>
      </c>
      <c r="AN184" s="3">
        <v>1</v>
      </c>
      <c r="AO184" s="3">
        <v>1</v>
      </c>
      <c r="AP184" s="3">
        <v>1</v>
      </c>
      <c r="AQ184" s="3">
        <v>1</v>
      </c>
      <c r="AR184" s="3">
        <v>0</v>
      </c>
      <c r="AS184" s="3">
        <v>0</v>
      </c>
      <c r="AT184" s="3">
        <v>1</v>
      </c>
      <c r="AU184" s="3">
        <v>0</v>
      </c>
      <c r="AV184" s="3">
        <v>1</v>
      </c>
      <c r="AW184" s="3">
        <v>0</v>
      </c>
      <c r="AX184" s="3">
        <v>0</v>
      </c>
      <c r="AY184" s="3">
        <v>0</v>
      </c>
      <c r="AZ184" s="3">
        <v>1</v>
      </c>
      <c r="BA184" s="3">
        <v>0</v>
      </c>
      <c r="BB184" s="3">
        <v>0</v>
      </c>
      <c r="BC184" s="3">
        <v>1</v>
      </c>
      <c r="BD184" s="3">
        <v>0</v>
      </c>
      <c r="BE184" s="3">
        <v>0</v>
      </c>
      <c r="BG184" s="2" t="s">
        <v>139</v>
      </c>
      <c r="BH184" s="3">
        <v>2</v>
      </c>
      <c r="BJ184" s="2" t="s">
        <v>96</v>
      </c>
      <c r="BL184" s="2" t="s">
        <v>556</v>
      </c>
      <c r="BM184" s="2" t="s">
        <v>557</v>
      </c>
      <c r="BN184" s="2" t="s">
        <v>99</v>
      </c>
      <c r="BO184" s="2" t="s">
        <v>100</v>
      </c>
      <c r="BP184" s="2" t="s">
        <v>242</v>
      </c>
      <c r="BQ184" s="2" t="s">
        <v>102</v>
      </c>
      <c r="BR184" s="2" t="s">
        <v>103</v>
      </c>
      <c r="BS184" s="2" t="s">
        <v>127</v>
      </c>
      <c r="BT184" s="2" t="s">
        <v>1171</v>
      </c>
      <c r="BU184" s="2" t="s">
        <v>1172</v>
      </c>
      <c r="BV184" s="2" t="s">
        <v>150</v>
      </c>
      <c r="BW184" s="2" t="s">
        <v>151</v>
      </c>
      <c r="BX184" s="2" t="s">
        <v>139</v>
      </c>
      <c r="BY18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84" s="2">
        <f>IF(AND(Cases[[#This Row],[Priority Level]]&gt;=3,Cases[[#This Row],[System Role]]&lt;&gt;"Productive"),1,0)</f>
        <v>0</v>
      </c>
      <c r="CA184" s="2">
        <f>IFERROR(IF(Cases[[#This Row],[Days at Customer]]&gt;MAX(1,Cases[[#This Row],[Days at SAP]]*2),1,0),0)</f>
        <v>1</v>
      </c>
      <c r="CB184" s="2">
        <f>IF(AND(Cases[[#This Row],[Initial Component]]&lt;&gt;"",Cases[[#This Row],[Component]]&lt;&gt;"",Cases[[#This Row],[Initial Component]]&lt;&gt;Cases[[#This Row],[Component]]),1,0)</f>
        <v>0</v>
      </c>
      <c r="CC184" s="2">
        <f>IF(OR(Cases[[#This Row],[Is Reopened]]="X",Cases[[#This Row],[No. of Reopenings]]&gt;0),1,0)</f>
        <v>0</v>
      </c>
      <c r="CD184" s="2">
        <f>IF(Cases[[#This Row],[Confirmation Type]]="Automatic",1,0)</f>
        <v>1</v>
      </c>
      <c r="CE18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85" spans="1:83" x14ac:dyDescent="0.2">
      <c r="A185" s="1" t="s">
        <v>1301</v>
      </c>
      <c r="B185" s="2" t="s">
        <v>1302</v>
      </c>
      <c r="C185" s="2" t="s">
        <v>633</v>
      </c>
      <c r="D185" s="2" t="s">
        <v>238</v>
      </c>
      <c r="E185" s="3">
        <v>2.5099999999999998</v>
      </c>
      <c r="F185" s="3">
        <v>21.78</v>
      </c>
      <c r="G185" s="2" t="s">
        <v>79</v>
      </c>
      <c r="H185" s="2" t="s">
        <v>155</v>
      </c>
      <c r="I185" s="3" t="s">
        <v>81</v>
      </c>
      <c r="J185" s="3">
        <v>72</v>
      </c>
      <c r="K185" s="2" t="s">
        <v>1303</v>
      </c>
      <c r="L185" s="4">
        <v>46082</v>
      </c>
      <c r="M185" s="4">
        <v>46080</v>
      </c>
      <c r="N185" s="2" t="s">
        <v>677</v>
      </c>
      <c r="O185" s="2" t="s">
        <v>181</v>
      </c>
      <c r="P185" s="2" t="s">
        <v>678</v>
      </c>
      <c r="Q185" s="2" t="s">
        <v>86</v>
      </c>
      <c r="R185" s="2" t="s">
        <v>635</v>
      </c>
      <c r="S185" s="4">
        <v>46055</v>
      </c>
      <c r="T185" s="2" t="s">
        <v>677</v>
      </c>
      <c r="U185" s="2" t="s">
        <v>181</v>
      </c>
      <c r="V185" s="2" t="s">
        <v>1165</v>
      </c>
      <c r="W185" s="2" t="s">
        <v>86</v>
      </c>
      <c r="X185" s="2" t="s">
        <v>88</v>
      </c>
      <c r="Y185" s="3" t="s">
        <v>89</v>
      </c>
      <c r="Z185" s="3">
        <v>24.29</v>
      </c>
      <c r="AA185" s="2" t="s">
        <v>90</v>
      </c>
      <c r="AB185" s="2" t="s">
        <v>635</v>
      </c>
      <c r="AC185" s="2" t="s">
        <v>633</v>
      </c>
      <c r="AD185" t="str" cm="1">
        <f t="array" ref="AD18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185" s="2" t="s">
        <v>91</v>
      </c>
      <c r="AF185" s="2" t="s">
        <v>998</v>
      </c>
      <c r="AG185" s="2" t="s">
        <v>93</v>
      </c>
      <c r="AH185" s="2" t="s">
        <v>94</v>
      </c>
      <c r="AK185" s="2" t="s">
        <v>1304</v>
      </c>
      <c r="AN185" s="3">
        <v>1</v>
      </c>
      <c r="AO185" s="3">
        <v>1</v>
      </c>
      <c r="AP185" s="3">
        <v>1</v>
      </c>
      <c r="AQ185" s="3">
        <v>1</v>
      </c>
      <c r="AR185" s="3">
        <v>1</v>
      </c>
      <c r="AS185" s="3">
        <v>0</v>
      </c>
      <c r="AT185" s="3">
        <v>0</v>
      </c>
      <c r="AU185" s="3">
        <v>0</v>
      </c>
      <c r="AV185" s="3">
        <v>1</v>
      </c>
      <c r="AW185" s="3">
        <v>0</v>
      </c>
      <c r="AX185" s="3">
        <v>1</v>
      </c>
      <c r="AY185" s="3">
        <v>0</v>
      </c>
      <c r="AZ185" s="3">
        <v>0</v>
      </c>
      <c r="BA185" s="3">
        <v>0</v>
      </c>
      <c r="BB185" s="3">
        <v>0</v>
      </c>
      <c r="BC185" s="3">
        <v>1</v>
      </c>
      <c r="BD185" s="3">
        <v>0</v>
      </c>
      <c r="BE185" s="3">
        <v>0</v>
      </c>
      <c r="BG185" s="2" t="s">
        <v>91</v>
      </c>
      <c r="BH185" s="3">
        <v>3</v>
      </c>
      <c r="BJ185" s="2" t="s">
        <v>96</v>
      </c>
      <c r="BL185" s="2" t="s">
        <v>184</v>
      </c>
      <c r="BM185" s="2" t="s">
        <v>184</v>
      </c>
      <c r="BN185" s="2" t="s">
        <v>124</v>
      </c>
      <c r="BO185" s="2" t="s">
        <v>125</v>
      </c>
      <c r="BP185" s="2" t="s">
        <v>242</v>
      </c>
      <c r="BQ185" s="2" t="s">
        <v>124</v>
      </c>
      <c r="BR185" s="2" t="s">
        <v>126</v>
      </c>
      <c r="BS185" s="2" t="s">
        <v>104</v>
      </c>
      <c r="BT185" s="2" t="s">
        <v>185</v>
      </c>
      <c r="BU185" s="2" t="s">
        <v>968</v>
      </c>
      <c r="BV185" s="2" t="s">
        <v>150</v>
      </c>
      <c r="BW185" s="2" t="s">
        <v>151</v>
      </c>
      <c r="BX185" s="2" t="s">
        <v>91</v>
      </c>
      <c r="BY18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85" s="2">
        <f>IF(AND(Cases[[#This Row],[Priority Level]]&gt;=3,Cases[[#This Row],[System Role]]&lt;&gt;"Productive"),1,0)</f>
        <v>0</v>
      </c>
      <c r="CA185" s="2">
        <f>IFERROR(IF(Cases[[#This Row],[Days at Customer]]&gt;MAX(1,Cases[[#This Row],[Days at SAP]]*2),1,0),0)</f>
        <v>1</v>
      </c>
      <c r="CB185" s="2">
        <f>IF(AND(Cases[[#This Row],[Initial Component]]&lt;&gt;"",Cases[[#This Row],[Component]]&lt;&gt;"",Cases[[#This Row],[Initial Component]]&lt;&gt;Cases[[#This Row],[Component]]),1,0)</f>
        <v>0</v>
      </c>
      <c r="CC185" s="2">
        <f>IF(OR(Cases[[#This Row],[Is Reopened]]="X",Cases[[#This Row],[No. of Reopenings]]&gt;0),1,0)</f>
        <v>0</v>
      </c>
      <c r="CD185" s="2">
        <f>IF(Cases[[#This Row],[Confirmation Type]]="Automatic",1,0)</f>
        <v>1</v>
      </c>
      <c r="CE185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86" spans="1:83" x14ac:dyDescent="0.2">
      <c r="A186" s="1" t="s">
        <v>1305</v>
      </c>
      <c r="B186" s="2" t="s">
        <v>1306</v>
      </c>
      <c r="C186" s="2" t="s">
        <v>1307</v>
      </c>
      <c r="D186" s="2" t="s">
        <v>78</v>
      </c>
      <c r="E186" s="3">
        <v>0.49</v>
      </c>
      <c r="F186" s="3">
        <v>2.69</v>
      </c>
      <c r="G186" s="2" t="s">
        <v>133</v>
      </c>
      <c r="H186" s="2" t="s">
        <v>134</v>
      </c>
      <c r="I186" s="3" t="s">
        <v>114</v>
      </c>
      <c r="J186" s="3">
        <v>72</v>
      </c>
      <c r="K186" s="2" t="s">
        <v>1308</v>
      </c>
      <c r="L186" s="4">
        <v>46075</v>
      </c>
      <c r="M186" s="4">
        <v>46058</v>
      </c>
      <c r="N186" s="2" t="s">
        <v>677</v>
      </c>
      <c r="O186" s="2" t="s">
        <v>181</v>
      </c>
      <c r="P186" s="2" t="s">
        <v>1165</v>
      </c>
      <c r="Q186" s="2" t="s">
        <v>86</v>
      </c>
      <c r="R186" s="2" t="s">
        <v>1309</v>
      </c>
      <c r="S186" s="4">
        <v>46055</v>
      </c>
      <c r="T186" s="2" t="s">
        <v>677</v>
      </c>
      <c r="U186" s="2" t="s">
        <v>181</v>
      </c>
      <c r="V186" s="2" t="s">
        <v>1165</v>
      </c>
      <c r="W186" s="2" t="s">
        <v>86</v>
      </c>
      <c r="X186" s="2" t="s">
        <v>117</v>
      </c>
      <c r="Y186" s="3" t="s">
        <v>118</v>
      </c>
      <c r="Z186" s="3">
        <v>3.18</v>
      </c>
      <c r="AA186" s="2" t="s">
        <v>138</v>
      </c>
      <c r="AB186" s="2" t="s">
        <v>443</v>
      </c>
      <c r="AC186" s="2" t="s">
        <v>444</v>
      </c>
      <c r="AD186" t="str" cm="1">
        <f t="array" ref="AD18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186" s="2" t="s">
        <v>139</v>
      </c>
      <c r="AF186" s="2" t="s">
        <v>92</v>
      </c>
      <c r="AG186" s="2" t="s">
        <v>274</v>
      </c>
      <c r="AH186" s="2" t="s">
        <v>275</v>
      </c>
      <c r="AK186" s="2" t="s">
        <v>1310</v>
      </c>
      <c r="AN186" s="3">
        <v>1</v>
      </c>
      <c r="AO186" s="3">
        <v>1</v>
      </c>
      <c r="AP186" s="3">
        <v>1</v>
      </c>
      <c r="AQ186" s="3">
        <v>1</v>
      </c>
      <c r="AR186" s="3">
        <v>0</v>
      </c>
      <c r="AS186" s="3">
        <v>0</v>
      </c>
      <c r="AT186" s="3">
        <v>1</v>
      </c>
      <c r="AU186" s="3">
        <v>0</v>
      </c>
      <c r="AV186" s="3">
        <v>0</v>
      </c>
      <c r="AW186" s="3">
        <v>1</v>
      </c>
      <c r="AX186" s="3">
        <v>0</v>
      </c>
      <c r="AY186" s="3">
        <v>0</v>
      </c>
      <c r="AZ186" s="3">
        <v>1</v>
      </c>
      <c r="BA186" s="3">
        <v>1</v>
      </c>
      <c r="BB186" s="3">
        <v>0</v>
      </c>
      <c r="BC186" s="3">
        <v>0</v>
      </c>
      <c r="BD186" s="3">
        <v>0</v>
      </c>
      <c r="BE186" s="3">
        <v>0</v>
      </c>
      <c r="BG186" s="2" t="s">
        <v>139</v>
      </c>
      <c r="BH186" s="3">
        <v>2</v>
      </c>
      <c r="BJ186" s="2" t="s">
        <v>96</v>
      </c>
      <c r="BL186" s="2" t="s">
        <v>446</v>
      </c>
      <c r="BM186" s="2" t="s">
        <v>447</v>
      </c>
      <c r="BN186" s="2" t="s">
        <v>279</v>
      </c>
      <c r="BO186" s="2" t="s">
        <v>280</v>
      </c>
      <c r="BP186" s="2" t="s">
        <v>101</v>
      </c>
      <c r="BQ186" s="2" t="s">
        <v>448</v>
      </c>
      <c r="BR186" s="2" t="s">
        <v>449</v>
      </c>
      <c r="BS186" s="2" t="s">
        <v>450</v>
      </c>
      <c r="BT186" s="2" t="s">
        <v>1030</v>
      </c>
      <c r="BU186" s="2" t="s">
        <v>1031</v>
      </c>
      <c r="BV186" s="2" t="s">
        <v>166</v>
      </c>
      <c r="BW186" s="2" t="s">
        <v>167</v>
      </c>
      <c r="BX186" s="2" t="s">
        <v>139</v>
      </c>
      <c r="BY18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86" s="2">
        <f>IF(AND(Cases[[#This Row],[Priority Level]]&gt;=3,Cases[[#This Row],[System Role]]&lt;&gt;"Productive"),1,0)</f>
        <v>0</v>
      </c>
      <c r="CA186" s="2">
        <f>IFERROR(IF(Cases[[#This Row],[Days at Customer]]&gt;MAX(1,Cases[[#This Row],[Days at SAP]]*2),1,0),0)</f>
        <v>1</v>
      </c>
      <c r="CB186" s="2">
        <f>IF(AND(Cases[[#This Row],[Initial Component]]&lt;&gt;"",Cases[[#This Row],[Component]]&lt;&gt;"",Cases[[#This Row],[Initial Component]]&lt;&gt;Cases[[#This Row],[Component]]),1,0)</f>
        <v>1</v>
      </c>
      <c r="CC186" s="2">
        <f>IF(OR(Cases[[#This Row],[Is Reopened]]="X",Cases[[#This Row],[No. of Reopenings]]&gt;0),1,0)</f>
        <v>0</v>
      </c>
      <c r="CD186" s="2">
        <f>IF(Cases[[#This Row],[Confirmation Type]]="Automatic",1,0)</f>
        <v>0</v>
      </c>
      <c r="CE18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87" spans="1:83" x14ac:dyDescent="0.2">
      <c r="A187" s="1" t="s">
        <v>1311</v>
      </c>
      <c r="B187" s="2" t="s">
        <v>1312</v>
      </c>
      <c r="C187" s="2" t="s">
        <v>610</v>
      </c>
      <c r="D187" s="2" t="s">
        <v>238</v>
      </c>
      <c r="E187" s="3">
        <v>14.87</v>
      </c>
      <c r="F187" s="3">
        <v>45.78</v>
      </c>
      <c r="G187" s="2" t="s">
        <v>79</v>
      </c>
      <c r="H187" s="2" t="s">
        <v>178</v>
      </c>
      <c r="I187" s="3" t="s">
        <v>114</v>
      </c>
      <c r="J187" s="3">
        <v>72</v>
      </c>
      <c r="K187" s="2" t="s">
        <v>1313</v>
      </c>
      <c r="L187" s="4">
        <v>46117</v>
      </c>
      <c r="M187" s="4">
        <v>46116</v>
      </c>
      <c r="N187" s="2" t="s">
        <v>83</v>
      </c>
      <c r="O187" s="2" t="s">
        <v>84</v>
      </c>
      <c r="P187" s="2" t="s">
        <v>136</v>
      </c>
      <c r="Q187" s="2" t="s">
        <v>86</v>
      </c>
      <c r="R187" s="2" t="s">
        <v>612</v>
      </c>
      <c r="S187" s="4">
        <v>46055</v>
      </c>
      <c r="T187" s="2" t="s">
        <v>677</v>
      </c>
      <c r="U187" s="2" t="s">
        <v>181</v>
      </c>
      <c r="V187" s="2" t="s">
        <v>1165</v>
      </c>
      <c r="W187" s="2" t="s">
        <v>86</v>
      </c>
      <c r="X187" s="2" t="s">
        <v>117</v>
      </c>
      <c r="Y187" s="3" t="s">
        <v>118</v>
      </c>
      <c r="Z187" s="3">
        <v>60.65</v>
      </c>
      <c r="AA187" s="2" t="s">
        <v>90</v>
      </c>
      <c r="AB187" s="2" t="s">
        <v>612</v>
      </c>
      <c r="AC187" s="2" t="s">
        <v>610</v>
      </c>
      <c r="AD187" t="str" cm="1">
        <f t="array" ref="AD18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187" s="2" t="s">
        <v>91</v>
      </c>
      <c r="AF187" s="2" t="s">
        <v>92</v>
      </c>
      <c r="AG187" s="2" t="s">
        <v>527</v>
      </c>
      <c r="AH187" s="2" t="s">
        <v>528</v>
      </c>
      <c r="AJ187" s="2" t="s">
        <v>122</v>
      </c>
      <c r="AK187" s="2" t="s">
        <v>1314</v>
      </c>
      <c r="AN187" s="3">
        <v>1</v>
      </c>
      <c r="AO187" s="3">
        <v>1</v>
      </c>
      <c r="AP187" s="3">
        <v>1</v>
      </c>
      <c r="AQ187" s="3">
        <v>1</v>
      </c>
      <c r="AR187" s="3">
        <v>1</v>
      </c>
      <c r="AS187" s="3">
        <v>0</v>
      </c>
      <c r="AT187" s="3">
        <v>0</v>
      </c>
      <c r="AU187" s="3">
        <v>0</v>
      </c>
      <c r="AV187" s="3">
        <v>1</v>
      </c>
      <c r="AW187" s="3">
        <v>0</v>
      </c>
      <c r="AX187" s="3">
        <v>1</v>
      </c>
      <c r="AY187" s="3">
        <v>0</v>
      </c>
      <c r="AZ187" s="3">
        <v>0</v>
      </c>
      <c r="BA187" s="3">
        <v>0</v>
      </c>
      <c r="BB187" s="3">
        <v>0</v>
      </c>
      <c r="BC187" s="3">
        <v>1</v>
      </c>
      <c r="BD187" s="3">
        <v>2</v>
      </c>
      <c r="BE187" s="3">
        <v>0</v>
      </c>
      <c r="BG187" s="2" t="s">
        <v>91</v>
      </c>
      <c r="BH187" s="3">
        <v>3</v>
      </c>
      <c r="BJ187" s="2" t="s">
        <v>96</v>
      </c>
      <c r="BL187" s="2" t="s">
        <v>184</v>
      </c>
      <c r="BM187" s="2" t="s">
        <v>184</v>
      </c>
      <c r="BN187" s="2" t="s">
        <v>124</v>
      </c>
      <c r="BO187" s="2" t="s">
        <v>125</v>
      </c>
      <c r="BP187" s="2" t="s">
        <v>242</v>
      </c>
      <c r="BQ187" s="2" t="s">
        <v>124</v>
      </c>
      <c r="BR187" s="2" t="s">
        <v>126</v>
      </c>
      <c r="BS187" s="2" t="s">
        <v>127</v>
      </c>
      <c r="BT187" s="2" t="s">
        <v>185</v>
      </c>
      <c r="BU187" s="2" t="s">
        <v>530</v>
      </c>
      <c r="BV187" s="2" t="s">
        <v>150</v>
      </c>
      <c r="BW187" s="2" t="s">
        <v>151</v>
      </c>
      <c r="BX187" s="2" t="s">
        <v>91</v>
      </c>
      <c r="BY18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87" s="2">
        <f>IF(AND(Cases[[#This Row],[Priority Level]]&gt;=3,Cases[[#This Row],[System Role]]&lt;&gt;"Productive"),1,0)</f>
        <v>0</v>
      </c>
      <c r="CA187" s="2">
        <f>IFERROR(IF(Cases[[#This Row],[Days at Customer]]&gt;MAX(1,Cases[[#This Row],[Days at SAP]]*2),1,0),0)</f>
        <v>1</v>
      </c>
      <c r="CB187" s="2">
        <f>IF(AND(Cases[[#This Row],[Initial Component]]&lt;&gt;"",Cases[[#This Row],[Component]]&lt;&gt;"",Cases[[#This Row],[Initial Component]]&lt;&gt;Cases[[#This Row],[Component]]),1,0)</f>
        <v>0</v>
      </c>
      <c r="CC187" s="2">
        <f>IF(OR(Cases[[#This Row],[Is Reopened]]="X",Cases[[#This Row],[No. of Reopenings]]&gt;0),1,0)</f>
        <v>1</v>
      </c>
      <c r="CD187" s="2">
        <f>IF(Cases[[#This Row],[Confirmation Type]]="Automatic",1,0)</f>
        <v>1</v>
      </c>
      <c r="CE187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188" spans="1:83" x14ac:dyDescent="0.2">
      <c r="A188" s="1" t="s">
        <v>1315</v>
      </c>
      <c r="B188" s="2" t="s">
        <v>1316</v>
      </c>
      <c r="C188" s="2" t="s">
        <v>170</v>
      </c>
      <c r="D188" s="2" t="s">
        <v>238</v>
      </c>
      <c r="E188" s="3">
        <v>9.8000000000000007</v>
      </c>
      <c r="F188" s="3">
        <v>39.61</v>
      </c>
      <c r="G188" s="2" t="s">
        <v>133</v>
      </c>
      <c r="H188" s="2" t="s">
        <v>995</v>
      </c>
      <c r="I188" s="3" t="s">
        <v>114</v>
      </c>
      <c r="J188" s="3">
        <v>72</v>
      </c>
      <c r="K188" s="2" t="s">
        <v>1317</v>
      </c>
      <c r="L188" s="4">
        <v>46127</v>
      </c>
      <c r="M188" s="4">
        <v>46104</v>
      </c>
      <c r="N188" s="2" t="s">
        <v>180</v>
      </c>
      <c r="O188" s="2" t="s">
        <v>181</v>
      </c>
      <c r="P188" s="2" t="s">
        <v>195</v>
      </c>
      <c r="Q188" s="2" t="s">
        <v>86</v>
      </c>
      <c r="R188" s="2" t="s">
        <v>172</v>
      </c>
      <c r="S188" s="4">
        <v>46055</v>
      </c>
      <c r="T188" s="2" t="s">
        <v>677</v>
      </c>
      <c r="U188" s="2" t="s">
        <v>181</v>
      </c>
      <c r="V188" s="2" t="s">
        <v>1165</v>
      </c>
      <c r="W188" s="2" t="s">
        <v>86</v>
      </c>
      <c r="X188" s="2" t="s">
        <v>117</v>
      </c>
      <c r="Y188" s="3" t="s">
        <v>118</v>
      </c>
      <c r="Z188" s="3">
        <v>49.41</v>
      </c>
      <c r="AA188" s="2" t="s">
        <v>90</v>
      </c>
      <c r="AB188" s="2" t="s">
        <v>172</v>
      </c>
      <c r="AC188" s="2" t="s">
        <v>170</v>
      </c>
      <c r="AD188" t="str" cm="1">
        <f t="array" ref="AD18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188" s="2" t="s">
        <v>91</v>
      </c>
      <c r="AF188" s="2" t="s">
        <v>92</v>
      </c>
      <c r="AG188" s="2" t="s">
        <v>119</v>
      </c>
      <c r="AH188" s="2" t="s">
        <v>120</v>
      </c>
      <c r="AK188" s="2" t="s">
        <v>1318</v>
      </c>
      <c r="AN188" s="3">
        <v>1</v>
      </c>
      <c r="AO188" s="3">
        <v>1</v>
      </c>
      <c r="AP188" s="3">
        <v>1</v>
      </c>
      <c r="AQ188" s="3">
        <v>1</v>
      </c>
      <c r="AR188" s="3">
        <v>1</v>
      </c>
      <c r="AS188" s="3">
        <v>0</v>
      </c>
      <c r="AT188" s="3">
        <v>0</v>
      </c>
      <c r="AU188" s="3">
        <v>0</v>
      </c>
      <c r="AV188" s="3">
        <v>1</v>
      </c>
      <c r="AW188" s="3">
        <v>0</v>
      </c>
      <c r="AX188" s="3">
        <v>1</v>
      </c>
      <c r="AY188" s="3">
        <v>0</v>
      </c>
      <c r="AZ188" s="3">
        <v>0</v>
      </c>
      <c r="BA188" s="3">
        <v>0</v>
      </c>
      <c r="BB188" s="3">
        <v>0</v>
      </c>
      <c r="BC188" s="3">
        <v>1</v>
      </c>
      <c r="BD188" s="3">
        <v>0</v>
      </c>
      <c r="BE188" s="3">
        <v>0</v>
      </c>
      <c r="BG188" s="2" t="s">
        <v>91</v>
      </c>
      <c r="BH188" s="3">
        <v>3</v>
      </c>
      <c r="BJ188" s="2" t="s">
        <v>96</v>
      </c>
      <c r="BL188" s="2" t="s">
        <v>123</v>
      </c>
      <c r="BM188" s="2" t="s">
        <v>123</v>
      </c>
      <c r="BN188" s="2" t="s">
        <v>124</v>
      </c>
      <c r="BO188" s="2" t="s">
        <v>125</v>
      </c>
      <c r="BP188" s="2" t="s">
        <v>242</v>
      </c>
      <c r="BQ188" s="2" t="s">
        <v>124</v>
      </c>
      <c r="BR188" s="2" t="s">
        <v>126</v>
      </c>
      <c r="BS188" s="2" t="s">
        <v>127</v>
      </c>
      <c r="BT188" s="2" t="s">
        <v>174</v>
      </c>
      <c r="BU188" s="2" t="s">
        <v>175</v>
      </c>
      <c r="BV188" s="2" t="s">
        <v>150</v>
      </c>
      <c r="BW188" s="2" t="s">
        <v>151</v>
      </c>
      <c r="BX188" s="2" t="s">
        <v>91</v>
      </c>
      <c r="BY18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88" s="2">
        <f>IF(AND(Cases[[#This Row],[Priority Level]]&gt;=3,Cases[[#This Row],[System Role]]&lt;&gt;"Productive"),1,0)</f>
        <v>0</v>
      </c>
      <c r="CA188" s="2">
        <f>IFERROR(IF(Cases[[#This Row],[Days at Customer]]&gt;MAX(1,Cases[[#This Row],[Days at SAP]]*2),1,0),0)</f>
        <v>1</v>
      </c>
      <c r="CB188" s="2">
        <f>IF(AND(Cases[[#This Row],[Initial Component]]&lt;&gt;"",Cases[[#This Row],[Component]]&lt;&gt;"",Cases[[#This Row],[Initial Component]]&lt;&gt;Cases[[#This Row],[Component]]),1,0)</f>
        <v>0</v>
      </c>
      <c r="CC188" s="2">
        <f>IF(OR(Cases[[#This Row],[Is Reopened]]="X",Cases[[#This Row],[No. of Reopenings]]&gt;0),1,0)</f>
        <v>0</v>
      </c>
      <c r="CD188" s="2">
        <f>IF(Cases[[#This Row],[Confirmation Type]]="Automatic",1,0)</f>
        <v>1</v>
      </c>
      <c r="CE18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89" spans="1:83" x14ac:dyDescent="0.2">
      <c r="A189" s="1" t="s">
        <v>1319</v>
      </c>
      <c r="B189" s="2" t="s">
        <v>1320</v>
      </c>
      <c r="C189" s="2" t="s">
        <v>231</v>
      </c>
      <c r="D189" s="2" t="s">
        <v>238</v>
      </c>
      <c r="E189" s="3">
        <v>2.02</v>
      </c>
      <c r="F189" s="3">
        <v>23.45</v>
      </c>
      <c r="G189" s="2" t="s">
        <v>190</v>
      </c>
      <c r="H189" s="2" t="s">
        <v>308</v>
      </c>
      <c r="I189" s="3" t="s">
        <v>114</v>
      </c>
      <c r="J189" s="3">
        <v>72</v>
      </c>
      <c r="K189" s="2" t="s">
        <v>1321</v>
      </c>
      <c r="L189" s="4">
        <v>46082</v>
      </c>
      <c r="M189" s="4">
        <v>46081</v>
      </c>
      <c r="N189" s="2" t="s">
        <v>677</v>
      </c>
      <c r="O189" s="2" t="s">
        <v>181</v>
      </c>
      <c r="P189" s="2" t="s">
        <v>678</v>
      </c>
      <c r="Q189" s="2" t="s">
        <v>86</v>
      </c>
      <c r="R189" s="2" t="s">
        <v>233</v>
      </c>
      <c r="S189" s="4">
        <v>46055</v>
      </c>
      <c r="T189" s="2" t="s">
        <v>677</v>
      </c>
      <c r="U189" s="2" t="s">
        <v>181</v>
      </c>
      <c r="V189" s="2" t="s">
        <v>1165</v>
      </c>
      <c r="W189" s="2" t="s">
        <v>86</v>
      </c>
      <c r="X189" s="2" t="s">
        <v>117</v>
      </c>
      <c r="Y189" s="3" t="s">
        <v>118</v>
      </c>
      <c r="Z189" s="3">
        <v>25.47</v>
      </c>
      <c r="AA189" s="2" t="s">
        <v>90</v>
      </c>
      <c r="AB189" s="2" t="s">
        <v>233</v>
      </c>
      <c r="AC189" s="2" t="s">
        <v>231</v>
      </c>
      <c r="AD189" t="str" cm="1">
        <f t="array" ref="AD18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189" s="2" t="s">
        <v>182</v>
      </c>
      <c r="AF189" s="2" t="s">
        <v>92</v>
      </c>
      <c r="AG189" s="2" t="s">
        <v>119</v>
      </c>
      <c r="AH189" s="2" t="s">
        <v>120</v>
      </c>
      <c r="AJ189" s="2" t="s">
        <v>122</v>
      </c>
      <c r="AK189" s="2" t="s">
        <v>1322</v>
      </c>
      <c r="AN189" s="3">
        <v>1</v>
      </c>
      <c r="AO189" s="3">
        <v>1</v>
      </c>
      <c r="AP189" s="3">
        <v>1</v>
      </c>
      <c r="AQ189" s="3">
        <v>1</v>
      </c>
      <c r="AR189" s="3">
        <v>1</v>
      </c>
      <c r="AS189" s="3">
        <v>0</v>
      </c>
      <c r="AT189" s="3">
        <v>0</v>
      </c>
      <c r="AU189" s="3">
        <v>0</v>
      </c>
      <c r="AV189" s="3">
        <v>1</v>
      </c>
      <c r="AW189" s="3">
        <v>0</v>
      </c>
      <c r="AX189" s="3">
        <v>1</v>
      </c>
      <c r="AY189" s="3">
        <v>0</v>
      </c>
      <c r="AZ189" s="3">
        <v>0</v>
      </c>
      <c r="BA189" s="3">
        <v>0</v>
      </c>
      <c r="BB189" s="3">
        <v>0</v>
      </c>
      <c r="BC189" s="3">
        <v>1</v>
      </c>
      <c r="BD189" s="3">
        <v>1</v>
      </c>
      <c r="BE189" s="3">
        <v>0</v>
      </c>
      <c r="BG189" s="2" t="s">
        <v>91</v>
      </c>
      <c r="BH189" s="3">
        <v>3</v>
      </c>
      <c r="BJ189" s="2" t="s">
        <v>96</v>
      </c>
      <c r="BL189" s="2" t="s">
        <v>123</v>
      </c>
      <c r="BM189" s="2" t="s">
        <v>123</v>
      </c>
      <c r="BN189" s="2" t="s">
        <v>124</v>
      </c>
      <c r="BO189" s="2" t="s">
        <v>125</v>
      </c>
      <c r="BP189" s="2" t="s">
        <v>242</v>
      </c>
      <c r="BQ189" s="2" t="s">
        <v>124</v>
      </c>
      <c r="BR189" s="2" t="s">
        <v>126</v>
      </c>
      <c r="BS189" s="2" t="s">
        <v>127</v>
      </c>
      <c r="BT189" s="2" t="s">
        <v>207</v>
      </c>
      <c r="BU189" s="2" t="s">
        <v>208</v>
      </c>
      <c r="BV189" s="2" t="s">
        <v>150</v>
      </c>
      <c r="BW189" s="2" t="s">
        <v>151</v>
      </c>
      <c r="BX189" s="2" t="s">
        <v>182</v>
      </c>
      <c r="BY18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89" s="2">
        <f>IF(AND(Cases[[#This Row],[Priority Level]]&gt;=3,Cases[[#This Row],[System Role]]&lt;&gt;"Productive"),1,0)</f>
        <v>0</v>
      </c>
      <c r="CA189" s="2">
        <f>IFERROR(IF(Cases[[#This Row],[Days at Customer]]&gt;MAX(1,Cases[[#This Row],[Days at SAP]]*2),1,0),0)</f>
        <v>1</v>
      </c>
      <c r="CB189" s="2">
        <f>IF(AND(Cases[[#This Row],[Initial Component]]&lt;&gt;"",Cases[[#This Row],[Component]]&lt;&gt;"",Cases[[#This Row],[Initial Component]]&lt;&gt;Cases[[#This Row],[Component]]),1,0)</f>
        <v>0</v>
      </c>
      <c r="CC189" s="2">
        <f>IF(OR(Cases[[#This Row],[Is Reopened]]="X",Cases[[#This Row],[No. of Reopenings]]&gt;0),1,0)</f>
        <v>1</v>
      </c>
      <c r="CD189" s="2">
        <f>IF(Cases[[#This Row],[Confirmation Type]]="Automatic",1,0)</f>
        <v>1</v>
      </c>
      <c r="CE189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90" spans="1:83" x14ac:dyDescent="0.2">
      <c r="A190" s="1" t="s">
        <v>1323</v>
      </c>
      <c r="B190" s="2" t="s">
        <v>1324</v>
      </c>
      <c r="C190" s="2" t="s">
        <v>1325</v>
      </c>
      <c r="D190" s="2" t="s">
        <v>238</v>
      </c>
      <c r="E190" s="3">
        <v>1.78</v>
      </c>
      <c r="F190" s="3">
        <v>21.6</v>
      </c>
      <c r="G190" s="2" t="s">
        <v>79</v>
      </c>
      <c r="H190" s="2" t="s">
        <v>155</v>
      </c>
      <c r="I190" s="3" t="s">
        <v>114</v>
      </c>
      <c r="J190" s="3">
        <v>72</v>
      </c>
      <c r="K190" s="2" t="s">
        <v>1326</v>
      </c>
      <c r="L190" s="4">
        <v>46082</v>
      </c>
      <c r="M190" s="4">
        <v>46078</v>
      </c>
      <c r="N190" s="2" t="s">
        <v>677</v>
      </c>
      <c r="O190" s="2" t="s">
        <v>181</v>
      </c>
      <c r="P190" s="2" t="s">
        <v>678</v>
      </c>
      <c r="Q190" s="2" t="s">
        <v>86</v>
      </c>
      <c r="R190" s="2" t="s">
        <v>1327</v>
      </c>
      <c r="S190" s="4">
        <v>46055</v>
      </c>
      <c r="T190" s="2" t="s">
        <v>677</v>
      </c>
      <c r="U190" s="2" t="s">
        <v>181</v>
      </c>
      <c r="V190" s="2" t="s">
        <v>1165</v>
      </c>
      <c r="W190" s="2" t="s">
        <v>86</v>
      </c>
      <c r="X190" s="2" t="s">
        <v>117</v>
      </c>
      <c r="Y190" s="3" t="s">
        <v>118</v>
      </c>
      <c r="Z190" s="3">
        <v>23.38</v>
      </c>
      <c r="AA190" s="2" t="s">
        <v>90</v>
      </c>
      <c r="AB190" s="2" t="s">
        <v>1328</v>
      </c>
      <c r="AC190" s="2" t="s">
        <v>1329</v>
      </c>
      <c r="AD190" t="str" cm="1">
        <f t="array" ref="AD19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190" s="2" t="s">
        <v>139</v>
      </c>
      <c r="AF190" s="2" t="s">
        <v>92</v>
      </c>
      <c r="AG190" s="2" t="s">
        <v>119</v>
      </c>
      <c r="AH190" s="2" t="s">
        <v>120</v>
      </c>
      <c r="AK190" s="2" t="s">
        <v>1330</v>
      </c>
      <c r="AN190" s="3">
        <v>1</v>
      </c>
      <c r="AO190" s="3">
        <v>1</v>
      </c>
      <c r="AP190" s="3">
        <v>1</v>
      </c>
      <c r="AQ190" s="3">
        <v>1</v>
      </c>
      <c r="AR190" s="3">
        <v>0</v>
      </c>
      <c r="AS190" s="3">
        <v>0</v>
      </c>
      <c r="AT190" s="3">
        <v>1</v>
      </c>
      <c r="AU190" s="3">
        <v>0</v>
      </c>
      <c r="AV190" s="3">
        <v>1</v>
      </c>
      <c r="AW190" s="3">
        <v>0</v>
      </c>
      <c r="AX190" s="3">
        <v>0</v>
      </c>
      <c r="AY190" s="3">
        <v>0</v>
      </c>
      <c r="AZ190" s="3">
        <v>1</v>
      </c>
      <c r="BA190" s="3">
        <v>1</v>
      </c>
      <c r="BB190" s="3">
        <v>0</v>
      </c>
      <c r="BC190" s="3">
        <v>0</v>
      </c>
      <c r="BD190" s="3">
        <v>0</v>
      </c>
      <c r="BE190" s="3">
        <v>0</v>
      </c>
      <c r="BG190" s="2" t="s">
        <v>139</v>
      </c>
      <c r="BH190" s="3">
        <v>2</v>
      </c>
      <c r="BJ190" s="2" t="s">
        <v>96</v>
      </c>
      <c r="BL190" s="2" t="s">
        <v>123</v>
      </c>
      <c r="BM190" s="2" t="s">
        <v>123</v>
      </c>
      <c r="BN190" s="2" t="s">
        <v>124</v>
      </c>
      <c r="BO190" s="2" t="s">
        <v>125</v>
      </c>
      <c r="BP190" s="2" t="s">
        <v>242</v>
      </c>
      <c r="BQ190" s="2" t="s">
        <v>124</v>
      </c>
      <c r="BR190" s="2" t="s">
        <v>126</v>
      </c>
      <c r="BS190" s="2" t="s">
        <v>127</v>
      </c>
      <c r="BT190" s="2" t="s">
        <v>199</v>
      </c>
      <c r="BU190" s="2" t="s">
        <v>200</v>
      </c>
      <c r="BV190" s="2" t="s">
        <v>166</v>
      </c>
      <c r="BW190" s="2" t="s">
        <v>167</v>
      </c>
      <c r="BX190" s="2" t="s">
        <v>139</v>
      </c>
      <c r="BY19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90" s="2">
        <f>IF(AND(Cases[[#This Row],[Priority Level]]&gt;=3,Cases[[#This Row],[System Role]]&lt;&gt;"Productive"),1,0)</f>
        <v>0</v>
      </c>
      <c r="CA190" s="2">
        <f>IFERROR(IF(Cases[[#This Row],[Days at Customer]]&gt;MAX(1,Cases[[#This Row],[Days at SAP]]*2),1,0),0)</f>
        <v>1</v>
      </c>
      <c r="CB190" s="2">
        <f>IF(AND(Cases[[#This Row],[Initial Component]]&lt;&gt;"",Cases[[#This Row],[Component]]&lt;&gt;"",Cases[[#This Row],[Initial Component]]&lt;&gt;Cases[[#This Row],[Component]]),1,0)</f>
        <v>1</v>
      </c>
      <c r="CC190" s="2">
        <f>IF(OR(Cases[[#This Row],[Is Reopened]]="X",Cases[[#This Row],[No. of Reopenings]]&gt;0),1,0)</f>
        <v>0</v>
      </c>
      <c r="CD190" s="2">
        <f>IF(Cases[[#This Row],[Confirmation Type]]="Automatic",1,0)</f>
        <v>1</v>
      </c>
      <c r="CE190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191" spans="1:83" x14ac:dyDescent="0.2">
      <c r="A191" s="1" t="s">
        <v>2216</v>
      </c>
      <c r="B191" s="2" t="s">
        <v>2217</v>
      </c>
      <c r="C191" s="2" t="s">
        <v>111</v>
      </c>
      <c r="D191" s="2" t="s">
        <v>238</v>
      </c>
      <c r="E191" s="3">
        <v>0</v>
      </c>
      <c r="F191" s="3">
        <v>26.66</v>
      </c>
      <c r="G191" s="2" t="s">
        <v>112</v>
      </c>
      <c r="H191" s="2" t="s">
        <v>113</v>
      </c>
      <c r="I191" s="3" t="s">
        <v>114</v>
      </c>
      <c r="J191" s="3">
        <v>134</v>
      </c>
      <c r="K191" s="2" t="s">
        <v>2218</v>
      </c>
      <c r="L191" s="4">
        <v>46026</v>
      </c>
      <c r="M191" s="4">
        <v>46024</v>
      </c>
      <c r="N191" s="2" t="s">
        <v>1334</v>
      </c>
      <c r="O191" s="2" t="s">
        <v>181</v>
      </c>
      <c r="P191" s="2" t="s">
        <v>1334</v>
      </c>
      <c r="Q191" s="2" t="s">
        <v>86</v>
      </c>
      <c r="R191" s="2" t="s">
        <v>116</v>
      </c>
      <c r="S191" s="4">
        <v>45993</v>
      </c>
      <c r="T191" s="2" t="s">
        <v>1804</v>
      </c>
      <c r="U191" s="2" t="s">
        <v>1805</v>
      </c>
      <c r="V191" s="2" t="s">
        <v>2169</v>
      </c>
      <c r="W191" s="2" t="s">
        <v>1806</v>
      </c>
      <c r="X191" s="2" t="s">
        <v>117</v>
      </c>
      <c r="Y191" s="3" t="s">
        <v>118</v>
      </c>
      <c r="Z191" s="3">
        <v>26.66</v>
      </c>
      <c r="AA191" s="2" t="s">
        <v>90</v>
      </c>
      <c r="AB191" s="2" t="s">
        <v>116</v>
      </c>
      <c r="AC191" s="2" t="s">
        <v>111</v>
      </c>
      <c r="AD191" t="str" cm="1">
        <f t="array" ref="AD19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191" s="2" t="s">
        <v>139</v>
      </c>
      <c r="AF191" s="2" t="s">
        <v>92</v>
      </c>
      <c r="AG191" s="2" t="s">
        <v>119</v>
      </c>
      <c r="AH191" s="2" t="s">
        <v>120</v>
      </c>
      <c r="AK191" s="2" t="s">
        <v>2219</v>
      </c>
      <c r="AN191" s="3">
        <v>1</v>
      </c>
      <c r="AO191" s="3">
        <v>1</v>
      </c>
      <c r="AP191" s="3">
        <v>1</v>
      </c>
      <c r="AQ191" s="3">
        <v>1</v>
      </c>
      <c r="AR191" s="3">
        <v>0</v>
      </c>
      <c r="AS191" s="3">
        <v>0</v>
      </c>
      <c r="AT191" s="3">
        <v>1</v>
      </c>
      <c r="AU191" s="3">
        <v>0</v>
      </c>
      <c r="AV191" s="3">
        <v>1</v>
      </c>
      <c r="AW191" s="3">
        <v>0</v>
      </c>
      <c r="AX191" s="3">
        <v>0</v>
      </c>
      <c r="AY191" s="3">
        <v>0</v>
      </c>
      <c r="AZ191" s="3">
        <v>1</v>
      </c>
      <c r="BA191" s="3">
        <v>0</v>
      </c>
      <c r="BB191" s="3">
        <v>0</v>
      </c>
      <c r="BC191" s="3">
        <v>1</v>
      </c>
      <c r="BD191" s="3">
        <v>0</v>
      </c>
      <c r="BE191" s="3">
        <v>0</v>
      </c>
      <c r="BG191" s="2" t="s">
        <v>139</v>
      </c>
      <c r="BH191" s="3">
        <v>2</v>
      </c>
      <c r="BI191" s="2" t="s">
        <v>122</v>
      </c>
      <c r="BJ191" s="2" t="s">
        <v>96</v>
      </c>
      <c r="BL191" s="2" t="s">
        <v>123</v>
      </c>
      <c r="BM191" s="2" t="s">
        <v>123</v>
      </c>
      <c r="BN191" s="2" t="s">
        <v>124</v>
      </c>
      <c r="BO191" s="2" t="s">
        <v>125</v>
      </c>
      <c r="BP191" s="2" t="s">
        <v>242</v>
      </c>
      <c r="BQ191" s="2" t="s">
        <v>124</v>
      </c>
      <c r="BR191" s="2" t="s">
        <v>126</v>
      </c>
      <c r="BS191" s="2" t="s">
        <v>127</v>
      </c>
      <c r="BT191" s="2" t="s">
        <v>207</v>
      </c>
      <c r="BU191" s="2" t="s">
        <v>208</v>
      </c>
      <c r="BV191" s="2" t="s">
        <v>150</v>
      </c>
      <c r="BW191" s="2" t="s">
        <v>151</v>
      </c>
      <c r="BX191" s="2" t="s">
        <v>139</v>
      </c>
      <c r="BY19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91" s="2">
        <f>IF(AND(Cases[[#This Row],[Priority Level]]&gt;=3,Cases[[#This Row],[System Role]]&lt;&gt;"Productive"),1,0)</f>
        <v>0</v>
      </c>
      <c r="CA191" s="2">
        <f>IFERROR(IF(Cases[[#This Row],[Days at Customer]]&gt;MAX(1,Cases[[#This Row],[Days at SAP]]*2),1,0),0)</f>
        <v>1</v>
      </c>
      <c r="CB191" s="2">
        <f>IF(AND(Cases[[#This Row],[Initial Component]]&lt;&gt;"",Cases[[#This Row],[Component]]&lt;&gt;"",Cases[[#This Row],[Initial Component]]&lt;&gt;Cases[[#This Row],[Component]]),1,0)</f>
        <v>0</v>
      </c>
      <c r="CC191" s="2">
        <f>IF(OR(Cases[[#This Row],[Is Reopened]]="X",Cases[[#This Row],[No. of Reopenings]]&gt;0),1,0)</f>
        <v>0</v>
      </c>
      <c r="CD191" s="2">
        <f>IF(Cases[[#This Row],[Confirmation Type]]="Automatic",1,0)</f>
        <v>1</v>
      </c>
      <c r="CE191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92" spans="1:83" x14ac:dyDescent="0.2">
      <c r="A192" s="1" t="s">
        <v>1337</v>
      </c>
      <c r="B192" s="2" t="s">
        <v>1338</v>
      </c>
      <c r="C192" s="2" t="s">
        <v>189</v>
      </c>
      <c r="D192" s="2" t="s">
        <v>238</v>
      </c>
      <c r="E192" s="3">
        <v>7.92</v>
      </c>
      <c r="F192" s="3">
        <v>39.43</v>
      </c>
      <c r="G192" s="2" t="s">
        <v>190</v>
      </c>
      <c r="H192" s="2" t="s">
        <v>1205</v>
      </c>
      <c r="I192" s="3" t="s">
        <v>114</v>
      </c>
      <c r="J192" s="3">
        <v>75</v>
      </c>
      <c r="K192" s="2" t="s">
        <v>1339</v>
      </c>
      <c r="L192" s="4">
        <v>46103</v>
      </c>
      <c r="M192" s="4">
        <v>46100</v>
      </c>
      <c r="N192" s="2" t="s">
        <v>180</v>
      </c>
      <c r="O192" s="2" t="s">
        <v>181</v>
      </c>
      <c r="P192" s="2" t="s">
        <v>260</v>
      </c>
      <c r="Q192" s="2" t="s">
        <v>86</v>
      </c>
      <c r="R192" s="2" t="s">
        <v>194</v>
      </c>
      <c r="S192" s="4">
        <v>46052</v>
      </c>
      <c r="T192" s="2" t="s">
        <v>1334</v>
      </c>
      <c r="U192" s="2" t="s">
        <v>181</v>
      </c>
      <c r="V192" s="2" t="s">
        <v>1335</v>
      </c>
      <c r="W192" s="2" t="s">
        <v>86</v>
      </c>
      <c r="X192" s="2" t="s">
        <v>117</v>
      </c>
      <c r="Y192" s="3" t="s">
        <v>118</v>
      </c>
      <c r="Z192" s="3">
        <v>47.36</v>
      </c>
      <c r="AA192" s="2" t="s">
        <v>90</v>
      </c>
      <c r="AB192" s="2" t="s">
        <v>194</v>
      </c>
      <c r="AC192" s="2" t="s">
        <v>189</v>
      </c>
      <c r="AD192" t="str" cm="1">
        <f t="array" ref="AD19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192" s="2" t="s">
        <v>91</v>
      </c>
      <c r="AF192" s="2" t="s">
        <v>92</v>
      </c>
      <c r="AG192" s="2" t="s">
        <v>119</v>
      </c>
      <c r="AH192" s="2" t="s">
        <v>120</v>
      </c>
      <c r="AJ192" s="2" t="s">
        <v>122</v>
      </c>
      <c r="AK192" s="2" t="s">
        <v>1340</v>
      </c>
      <c r="AN192" s="3">
        <v>1</v>
      </c>
      <c r="AO192" s="3">
        <v>1</v>
      </c>
      <c r="AP192" s="3">
        <v>1</v>
      </c>
      <c r="AQ192" s="3">
        <v>1</v>
      </c>
      <c r="AR192" s="3">
        <v>1</v>
      </c>
      <c r="AS192" s="3">
        <v>0</v>
      </c>
      <c r="AT192" s="3">
        <v>0</v>
      </c>
      <c r="AU192" s="3">
        <v>0</v>
      </c>
      <c r="AV192" s="3">
        <v>1</v>
      </c>
      <c r="AW192" s="3">
        <v>0</v>
      </c>
      <c r="AX192" s="3">
        <v>1</v>
      </c>
      <c r="AY192" s="3">
        <v>0</v>
      </c>
      <c r="AZ192" s="3">
        <v>0</v>
      </c>
      <c r="BA192" s="3">
        <v>0</v>
      </c>
      <c r="BB192" s="3">
        <v>0</v>
      </c>
      <c r="BC192" s="3">
        <v>1</v>
      </c>
      <c r="BD192" s="3">
        <v>1</v>
      </c>
      <c r="BE192" s="3">
        <v>0</v>
      </c>
      <c r="BG192" s="2" t="s">
        <v>91</v>
      </c>
      <c r="BH192" s="3">
        <v>3</v>
      </c>
      <c r="BJ192" s="2" t="s">
        <v>96</v>
      </c>
      <c r="BL192" s="2" t="s">
        <v>123</v>
      </c>
      <c r="BM192" s="2" t="s">
        <v>123</v>
      </c>
      <c r="BN192" s="2" t="s">
        <v>124</v>
      </c>
      <c r="BO192" s="2" t="s">
        <v>125</v>
      </c>
      <c r="BP192" s="2" t="s">
        <v>242</v>
      </c>
      <c r="BQ192" s="2" t="s">
        <v>124</v>
      </c>
      <c r="BR192" s="2" t="s">
        <v>126</v>
      </c>
      <c r="BS192" s="2" t="s">
        <v>127</v>
      </c>
      <c r="BT192" s="2" t="s">
        <v>207</v>
      </c>
      <c r="BU192" s="2" t="s">
        <v>208</v>
      </c>
      <c r="BV192" s="2" t="s">
        <v>150</v>
      </c>
      <c r="BW192" s="2" t="s">
        <v>151</v>
      </c>
      <c r="BX192" s="2" t="s">
        <v>91</v>
      </c>
      <c r="BY19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92" s="2">
        <f>IF(AND(Cases[[#This Row],[Priority Level]]&gt;=3,Cases[[#This Row],[System Role]]&lt;&gt;"Productive"),1,0)</f>
        <v>0</v>
      </c>
      <c r="CA192" s="2">
        <f>IFERROR(IF(Cases[[#This Row],[Days at Customer]]&gt;MAX(1,Cases[[#This Row],[Days at SAP]]*2),1,0),0)</f>
        <v>1</v>
      </c>
      <c r="CB192" s="2">
        <f>IF(AND(Cases[[#This Row],[Initial Component]]&lt;&gt;"",Cases[[#This Row],[Component]]&lt;&gt;"",Cases[[#This Row],[Initial Component]]&lt;&gt;Cases[[#This Row],[Component]]),1,0)</f>
        <v>0</v>
      </c>
      <c r="CC192" s="2">
        <f>IF(OR(Cases[[#This Row],[Is Reopened]]="X",Cases[[#This Row],[No. of Reopenings]]&gt;0),1,0)</f>
        <v>1</v>
      </c>
      <c r="CD192" s="2">
        <f>IF(Cases[[#This Row],[Confirmation Type]]="Automatic",1,0)</f>
        <v>1</v>
      </c>
      <c r="CE192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93" spans="1:83" x14ac:dyDescent="0.2">
      <c r="A193" s="1" t="s">
        <v>1341</v>
      </c>
      <c r="B193" s="2" t="s">
        <v>1342</v>
      </c>
      <c r="C193" s="2" t="s">
        <v>77</v>
      </c>
      <c r="D193" s="2" t="s">
        <v>78</v>
      </c>
      <c r="E193" s="3">
        <v>9.17</v>
      </c>
      <c r="F193" s="3">
        <v>10.67</v>
      </c>
      <c r="G193" s="2" t="s">
        <v>79</v>
      </c>
      <c r="H193" s="2" t="s">
        <v>178</v>
      </c>
      <c r="I193" s="3" t="s">
        <v>114</v>
      </c>
      <c r="J193" s="3">
        <v>75</v>
      </c>
      <c r="K193" s="2" t="s">
        <v>1343</v>
      </c>
      <c r="L193" s="4">
        <v>46075</v>
      </c>
      <c r="M193" s="4">
        <v>46072</v>
      </c>
      <c r="N193" s="2" t="s">
        <v>677</v>
      </c>
      <c r="O193" s="2" t="s">
        <v>181</v>
      </c>
      <c r="P193" s="2" t="s">
        <v>895</v>
      </c>
      <c r="Q193" s="2" t="s">
        <v>86</v>
      </c>
      <c r="R193" s="2" t="s">
        <v>87</v>
      </c>
      <c r="S193" s="4">
        <v>46052</v>
      </c>
      <c r="T193" s="2" t="s">
        <v>1334</v>
      </c>
      <c r="U193" s="2" t="s">
        <v>181</v>
      </c>
      <c r="V193" s="2" t="s">
        <v>1335</v>
      </c>
      <c r="W193" s="2" t="s">
        <v>86</v>
      </c>
      <c r="X193" s="2" t="s">
        <v>117</v>
      </c>
      <c r="Y193" s="3" t="s">
        <v>118</v>
      </c>
      <c r="Z193" s="3">
        <v>19.84</v>
      </c>
      <c r="AA193" s="2" t="s">
        <v>90</v>
      </c>
      <c r="AB193" s="2" t="s">
        <v>87</v>
      </c>
      <c r="AC193" s="2" t="s">
        <v>77</v>
      </c>
      <c r="AD193" t="str" cm="1">
        <f t="array" ref="AD19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193" s="2" t="s">
        <v>91</v>
      </c>
      <c r="AF193" s="2" t="s">
        <v>92</v>
      </c>
      <c r="AG193" s="2" t="s">
        <v>119</v>
      </c>
      <c r="AH193" s="2" t="s">
        <v>120</v>
      </c>
      <c r="AK193" s="2" t="s">
        <v>1344</v>
      </c>
      <c r="AN193" s="3">
        <v>1</v>
      </c>
      <c r="AO193" s="3">
        <v>1</v>
      </c>
      <c r="AP193" s="3">
        <v>1</v>
      </c>
      <c r="AQ193" s="3">
        <v>1</v>
      </c>
      <c r="AR193" s="3">
        <v>1</v>
      </c>
      <c r="AS193" s="3">
        <v>0</v>
      </c>
      <c r="AT193" s="3">
        <v>0</v>
      </c>
      <c r="AU193" s="3">
        <v>0</v>
      </c>
      <c r="AV193" s="3">
        <v>0</v>
      </c>
      <c r="AW193" s="3">
        <v>1</v>
      </c>
      <c r="AX193" s="3">
        <v>1</v>
      </c>
      <c r="AY193" s="3">
        <v>0</v>
      </c>
      <c r="AZ193" s="3">
        <v>0</v>
      </c>
      <c r="BA193" s="3">
        <v>1</v>
      </c>
      <c r="BB193" s="3">
        <v>0</v>
      </c>
      <c r="BC193" s="3">
        <v>0</v>
      </c>
      <c r="BD193" s="3">
        <v>0</v>
      </c>
      <c r="BE193" s="3">
        <v>0</v>
      </c>
      <c r="BG193" s="2" t="s">
        <v>91</v>
      </c>
      <c r="BH193" s="3">
        <v>3</v>
      </c>
      <c r="BJ193" s="2" t="s">
        <v>96</v>
      </c>
      <c r="BL193" s="2" t="s">
        <v>123</v>
      </c>
      <c r="BM193" s="2" t="s">
        <v>123</v>
      </c>
      <c r="BN193" s="2" t="s">
        <v>124</v>
      </c>
      <c r="BO193" s="2" t="s">
        <v>125</v>
      </c>
      <c r="BP193" s="2" t="s">
        <v>101</v>
      </c>
      <c r="BQ193" s="2" t="s">
        <v>124</v>
      </c>
      <c r="BR193" s="2" t="s">
        <v>126</v>
      </c>
      <c r="BS193" s="2" t="s">
        <v>127</v>
      </c>
      <c r="BT193" s="2" t="s">
        <v>199</v>
      </c>
      <c r="BU193" s="2" t="s">
        <v>200</v>
      </c>
      <c r="BV193" s="2" t="s">
        <v>166</v>
      </c>
      <c r="BW193" s="2" t="s">
        <v>167</v>
      </c>
      <c r="BX193" s="2" t="s">
        <v>91</v>
      </c>
      <c r="BY19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93" s="2">
        <f>IF(AND(Cases[[#This Row],[Priority Level]]&gt;=3,Cases[[#This Row],[System Role]]&lt;&gt;"Productive"),1,0)</f>
        <v>1</v>
      </c>
      <c r="CA193" s="2">
        <f>IFERROR(IF(Cases[[#This Row],[Days at Customer]]&gt;MAX(1,Cases[[#This Row],[Days at SAP]]*2),1,0),0)</f>
        <v>0</v>
      </c>
      <c r="CB193" s="2">
        <f>IF(AND(Cases[[#This Row],[Initial Component]]&lt;&gt;"",Cases[[#This Row],[Component]]&lt;&gt;"",Cases[[#This Row],[Initial Component]]&lt;&gt;Cases[[#This Row],[Component]]),1,0)</f>
        <v>0</v>
      </c>
      <c r="CC193" s="2">
        <f>IF(OR(Cases[[#This Row],[Is Reopened]]="X",Cases[[#This Row],[No. of Reopenings]]&gt;0),1,0)</f>
        <v>0</v>
      </c>
      <c r="CD193" s="2">
        <f>IF(Cases[[#This Row],[Confirmation Type]]="Automatic",1,0)</f>
        <v>0</v>
      </c>
      <c r="CE193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94" spans="1:83" x14ac:dyDescent="0.2">
      <c r="A194" s="1" t="s">
        <v>1345</v>
      </c>
      <c r="B194" s="2" t="s">
        <v>1346</v>
      </c>
      <c r="C194" s="2" t="s">
        <v>633</v>
      </c>
      <c r="D194" s="2" t="s">
        <v>238</v>
      </c>
      <c r="E194" s="3">
        <v>0.18</v>
      </c>
      <c r="F194" s="3">
        <v>21.41</v>
      </c>
      <c r="G194" s="2" t="s">
        <v>79</v>
      </c>
      <c r="H194" s="2" t="s">
        <v>290</v>
      </c>
      <c r="I194" s="3" t="s">
        <v>114</v>
      </c>
      <c r="J194" s="3">
        <v>76</v>
      </c>
      <c r="K194" s="2" t="s">
        <v>1347</v>
      </c>
      <c r="L194" s="4">
        <v>46075</v>
      </c>
      <c r="M194" s="4">
        <v>46073</v>
      </c>
      <c r="N194" s="2" t="s">
        <v>677</v>
      </c>
      <c r="O194" s="2" t="s">
        <v>181</v>
      </c>
      <c r="P194" s="2" t="s">
        <v>895</v>
      </c>
      <c r="Q194" s="2" t="s">
        <v>86</v>
      </c>
      <c r="R194" s="2" t="s">
        <v>635</v>
      </c>
      <c r="S194" s="4">
        <v>46051</v>
      </c>
      <c r="T194" s="2" t="s">
        <v>1334</v>
      </c>
      <c r="U194" s="2" t="s">
        <v>181</v>
      </c>
      <c r="V194" s="2" t="s">
        <v>1335</v>
      </c>
      <c r="W194" s="2" t="s">
        <v>86</v>
      </c>
      <c r="X194" s="2" t="s">
        <v>117</v>
      </c>
      <c r="Y194" s="3" t="s">
        <v>118</v>
      </c>
      <c r="Z194" s="3">
        <v>21.59</v>
      </c>
      <c r="AA194" s="2" t="s">
        <v>90</v>
      </c>
      <c r="AB194" s="2" t="s">
        <v>635</v>
      </c>
      <c r="AC194" s="2" t="s">
        <v>633</v>
      </c>
      <c r="AD194" t="str" cm="1">
        <f t="array" ref="AD19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194" s="2" t="s">
        <v>182</v>
      </c>
      <c r="AF194" s="2" t="s">
        <v>92</v>
      </c>
      <c r="AG194" s="2" t="s">
        <v>527</v>
      </c>
      <c r="AH194" s="2" t="s">
        <v>528</v>
      </c>
      <c r="AK194" s="2" t="s">
        <v>1348</v>
      </c>
      <c r="AN194" s="3">
        <v>1</v>
      </c>
      <c r="AO194" s="3">
        <v>1</v>
      </c>
      <c r="AP194" s="3">
        <v>1</v>
      </c>
      <c r="AQ194" s="3">
        <v>1</v>
      </c>
      <c r="AR194" s="3">
        <v>1</v>
      </c>
      <c r="AS194" s="3">
        <v>0</v>
      </c>
      <c r="AT194" s="3">
        <v>0</v>
      </c>
      <c r="AU194" s="3">
        <v>0</v>
      </c>
      <c r="AV194" s="3">
        <v>1</v>
      </c>
      <c r="AW194" s="3">
        <v>0</v>
      </c>
      <c r="AX194" s="3">
        <v>1</v>
      </c>
      <c r="AY194" s="3">
        <v>0</v>
      </c>
      <c r="AZ194" s="3">
        <v>0</v>
      </c>
      <c r="BA194" s="3">
        <v>0</v>
      </c>
      <c r="BB194" s="3">
        <v>0</v>
      </c>
      <c r="BC194" s="3">
        <v>1</v>
      </c>
      <c r="BD194" s="3">
        <v>0</v>
      </c>
      <c r="BE194" s="3">
        <v>0</v>
      </c>
      <c r="BG194" s="2" t="s">
        <v>91</v>
      </c>
      <c r="BH194" s="3">
        <v>3</v>
      </c>
      <c r="BJ194" s="2" t="s">
        <v>96</v>
      </c>
      <c r="BL194" s="2" t="s">
        <v>184</v>
      </c>
      <c r="BM194" s="2" t="s">
        <v>184</v>
      </c>
      <c r="BN194" s="2" t="s">
        <v>124</v>
      </c>
      <c r="BO194" s="2" t="s">
        <v>125</v>
      </c>
      <c r="BP194" s="2" t="s">
        <v>242</v>
      </c>
      <c r="BQ194" s="2" t="s">
        <v>124</v>
      </c>
      <c r="BR194" s="2" t="s">
        <v>126</v>
      </c>
      <c r="BS194" s="2" t="s">
        <v>127</v>
      </c>
      <c r="BT194" s="2" t="s">
        <v>185</v>
      </c>
      <c r="BU194" s="2" t="s">
        <v>530</v>
      </c>
      <c r="BV194" s="2" t="s">
        <v>150</v>
      </c>
      <c r="BW194" s="2" t="s">
        <v>151</v>
      </c>
      <c r="BX194" s="2" t="s">
        <v>182</v>
      </c>
      <c r="BY19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94" s="2">
        <f>IF(AND(Cases[[#This Row],[Priority Level]]&gt;=3,Cases[[#This Row],[System Role]]&lt;&gt;"Productive"),1,0)</f>
        <v>0</v>
      </c>
      <c r="CA194" s="2">
        <f>IFERROR(IF(Cases[[#This Row],[Days at Customer]]&gt;MAX(1,Cases[[#This Row],[Days at SAP]]*2),1,0),0)</f>
        <v>1</v>
      </c>
      <c r="CB194" s="2">
        <f>IF(AND(Cases[[#This Row],[Initial Component]]&lt;&gt;"",Cases[[#This Row],[Component]]&lt;&gt;"",Cases[[#This Row],[Initial Component]]&lt;&gt;Cases[[#This Row],[Component]]),1,0)</f>
        <v>0</v>
      </c>
      <c r="CC194" s="2">
        <f>IF(OR(Cases[[#This Row],[Is Reopened]]="X",Cases[[#This Row],[No. of Reopenings]]&gt;0),1,0)</f>
        <v>0</v>
      </c>
      <c r="CD194" s="2">
        <f>IF(Cases[[#This Row],[Confirmation Type]]="Automatic",1,0)</f>
        <v>1</v>
      </c>
      <c r="CE194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95" spans="1:83" x14ac:dyDescent="0.2">
      <c r="A195" s="1" t="s">
        <v>1349</v>
      </c>
      <c r="B195" s="2" t="s">
        <v>1350</v>
      </c>
      <c r="C195" s="2" t="s">
        <v>203</v>
      </c>
      <c r="D195" s="2" t="s">
        <v>78</v>
      </c>
      <c r="E195" s="3">
        <v>4.7</v>
      </c>
      <c r="F195" s="3">
        <v>18.45</v>
      </c>
      <c r="G195" s="2" t="s">
        <v>112</v>
      </c>
      <c r="H195" s="2" t="s">
        <v>113</v>
      </c>
      <c r="I195" s="3" t="s">
        <v>114</v>
      </c>
      <c r="J195" s="3">
        <v>76</v>
      </c>
      <c r="K195" s="2" t="s">
        <v>1351</v>
      </c>
      <c r="L195" s="4">
        <v>46082</v>
      </c>
      <c r="M195" s="4">
        <v>46076</v>
      </c>
      <c r="N195" s="2" t="s">
        <v>677</v>
      </c>
      <c r="O195" s="2" t="s">
        <v>181</v>
      </c>
      <c r="P195" s="2" t="s">
        <v>678</v>
      </c>
      <c r="Q195" s="2" t="s">
        <v>86</v>
      </c>
      <c r="R195" s="2" t="s">
        <v>205</v>
      </c>
      <c r="S195" s="4">
        <v>46051</v>
      </c>
      <c r="T195" s="2" t="s">
        <v>1334</v>
      </c>
      <c r="U195" s="2" t="s">
        <v>181</v>
      </c>
      <c r="V195" s="2" t="s">
        <v>1335</v>
      </c>
      <c r="W195" s="2" t="s">
        <v>86</v>
      </c>
      <c r="X195" s="2" t="s">
        <v>117</v>
      </c>
      <c r="Y195" s="3" t="s">
        <v>118</v>
      </c>
      <c r="Z195" s="3">
        <v>23.15</v>
      </c>
      <c r="AA195" s="2" t="s">
        <v>90</v>
      </c>
      <c r="AB195" s="2" t="s">
        <v>1352</v>
      </c>
      <c r="AC195" s="2" t="s">
        <v>1353</v>
      </c>
      <c r="AD195" t="str" cm="1">
        <f t="array" ref="AD19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195" s="2" t="s">
        <v>91</v>
      </c>
      <c r="AF195" s="2" t="s">
        <v>92</v>
      </c>
      <c r="AG195" s="2" t="s">
        <v>119</v>
      </c>
      <c r="AH195" s="2" t="s">
        <v>120</v>
      </c>
      <c r="AK195" s="2" t="s">
        <v>1354</v>
      </c>
      <c r="AN195" s="3">
        <v>1</v>
      </c>
      <c r="AO195" s="3">
        <v>1</v>
      </c>
      <c r="AP195" s="3">
        <v>1</v>
      </c>
      <c r="AQ195" s="3">
        <v>1</v>
      </c>
      <c r="AR195" s="3">
        <v>1</v>
      </c>
      <c r="AS195" s="3">
        <v>0</v>
      </c>
      <c r="AT195" s="3">
        <v>0</v>
      </c>
      <c r="AU195" s="3">
        <v>0</v>
      </c>
      <c r="AV195" s="3">
        <v>0</v>
      </c>
      <c r="AW195" s="3">
        <v>1</v>
      </c>
      <c r="AX195" s="3">
        <v>1</v>
      </c>
      <c r="AY195" s="3">
        <v>0</v>
      </c>
      <c r="AZ195" s="3">
        <v>0</v>
      </c>
      <c r="BA195" s="3">
        <v>0</v>
      </c>
      <c r="BB195" s="3">
        <v>0</v>
      </c>
      <c r="BC195" s="3">
        <v>1</v>
      </c>
      <c r="BD195" s="3">
        <v>0</v>
      </c>
      <c r="BE195" s="3">
        <v>0</v>
      </c>
      <c r="BG195" s="2" t="s">
        <v>91</v>
      </c>
      <c r="BH195" s="3">
        <v>3</v>
      </c>
      <c r="BI195" s="2" t="s">
        <v>122</v>
      </c>
      <c r="BJ195" s="2" t="s">
        <v>96</v>
      </c>
      <c r="BL195" s="2" t="s">
        <v>123</v>
      </c>
      <c r="BM195" s="2" t="s">
        <v>123</v>
      </c>
      <c r="BN195" s="2" t="s">
        <v>124</v>
      </c>
      <c r="BO195" s="2" t="s">
        <v>125</v>
      </c>
      <c r="BP195" s="2" t="s">
        <v>101</v>
      </c>
      <c r="BQ195" s="2" t="s">
        <v>124</v>
      </c>
      <c r="BR195" s="2" t="s">
        <v>126</v>
      </c>
      <c r="BS195" s="2" t="s">
        <v>127</v>
      </c>
      <c r="BT195" s="2" t="s">
        <v>207</v>
      </c>
      <c r="BU195" s="2" t="s">
        <v>208</v>
      </c>
      <c r="BV195" s="2" t="s">
        <v>150</v>
      </c>
      <c r="BW195" s="2" t="s">
        <v>151</v>
      </c>
      <c r="BX195" s="2" t="s">
        <v>91</v>
      </c>
      <c r="BY19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95" s="2">
        <f>IF(AND(Cases[[#This Row],[Priority Level]]&gt;=3,Cases[[#This Row],[System Role]]&lt;&gt;"Productive"),1,0)</f>
        <v>0</v>
      </c>
      <c r="CA195" s="2">
        <f>IFERROR(IF(Cases[[#This Row],[Days at Customer]]&gt;MAX(1,Cases[[#This Row],[Days at SAP]]*2),1,0),0)</f>
        <v>1</v>
      </c>
      <c r="CB195" s="2">
        <f>IF(AND(Cases[[#This Row],[Initial Component]]&lt;&gt;"",Cases[[#This Row],[Component]]&lt;&gt;"",Cases[[#This Row],[Initial Component]]&lt;&gt;Cases[[#This Row],[Component]]),1,0)</f>
        <v>1</v>
      </c>
      <c r="CC195" s="2">
        <f>IF(OR(Cases[[#This Row],[Is Reopened]]="X",Cases[[#This Row],[No. of Reopenings]]&gt;0),1,0)</f>
        <v>0</v>
      </c>
      <c r="CD195" s="2">
        <f>IF(Cases[[#This Row],[Confirmation Type]]="Automatic",1,0)</f>
        <v>0</v>
      </c>
      <c r="CE195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196" spans="1:83" x14ac:dyDescent="0.2">
      <c r="A196" s="1" t="s">
        <v>2401</v>
      </c>
      <c r="B196" s="2" t="s">
        <v>2402</v>
      </c>
      <c r="C196" s="2" t="s">
        <v>203</v>
      </c>
      <c r="D196" s="2" t="s">
        <v>238</v>
      </c>
      <c r="E196" s="3">
        <v>0</v>
      </c>
      <c r="F196" s="3">
        <v>31.88</v>
      </c>
      <c r="G196" s="2" t="s">
        <v>112</v>
      </c>
      <c r="H196" s="2" t="s">
        <v>113</v>
      </c>
      <c r="I196" s="3" t="s">
        <v>114</v>
      </c>
      <c r="J196" s="3">
        <v>145</v>
      </c>
      <c r="K196" s="2" t="s">
        <v>2403</v>
      </c>
      <c r="L196" s="4">
        <v>46026</v>
      </c>
      <c r="M196" s="4">
        <v>46024</v>
      </c>
      <c r="N196" s="2" t="s">
        <v>1334</v>
      </c>
      <c r="O196" s="2" t="s">
        <v>181</v>
      </c>
      <c r="P196" s="2" t="s">
        <v>1334</v>
      </c>
      <c r="Q196" s="2" t="s">
        <v>86</v>
      </c>
      <c r="R196" s="2" t="s">
        <v>205</v>
      </c>
      <c r="S196" s="4">
        <v>45982</v>
      </c>
      <c r="T196" s="2" t="s">
        <v>2274</v>
      </c>
      <c r="U196" s="2" t="s">
        <v>1805</v>
      </c>
      <c r="V196" s="2" t="s">
        <v>2404</v>
      </c>
      <c r="W196" s="2" t="s">
        <v>1806</v>
      </c>
      <c r="X196" s="2" t="s">
        <v>117</v>
      </c>
      <c r="Y196" s="3" t="s">
        <v>118</v>
      </c>
      <c r="Z196" s="3">
        <v>31.88</v>
      </c>
      <c r="AA196" s="2" t="s">
        <v>90</v>
      </c>
      <c r="AB196" s="2" t="s">
        <v>205</v>
      </c>
      <c r="AC196" s="2" t="s">
        <v>203</v>
      </c>
      <c r="AD196" t="str" cm="1">
        <f t="array" ref="AD19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196" s="2" t="s">
        <v>139</v>
      </c>
      <c r="AF196" s="2" t="s">
        <v>92</v>
      </c>
      <c r="AG196" s="2" t="s">
        <v>119</v>
      </c>
      <c r="AH196" s="2" t="s">
        <v>120</v>
      </c>
      <c r="AK196" s="2" t="s">
        <v>2405</v>
      </c>
      <c r="AN196" s="3">
        <v>1</v>
      </c>
      <c r="AO196" s="3">
        <v>1</v>
      </c>
      <c r="AP196" s="3">
        <v>1</v>
      </c>
      <c r="AQ196" s="3">
        <v>1</v>
      </c>
      <c r="AR196" s="3">
        <v>0</v>
      </c>
      <c r="AS196" s="3">
        <v>0</v>
      </c>
      <c r="AT196" s="3">
        <v>1</v>
      </c>
      <c r="AU196" s="3">
        <v>0</v>
      </c>
      <c r="AV196" s="3">
        <v>1</v>
      </c>
      <c r="AW196" s="3">
        <v>0</v>
      </c>
      <c r="AX196" s="3">
        <v>0</v>
      </c>
      <c r="AY196" s="3">
        <v>0</v>
      </c>
      <c r="AZ196" s="3">
        <v>1</v>
      </c>
      <c r="BA196" s="3">
        <v>0</v>
      </c>
      <c r="BB196" s="3">
        <v>0</v>
      </c>
      <c r="BC196" s="3">
        <v>1</v>
      </c>
      <c r="BD196" s="3">
        <v>0</v>
      </c>
      <c r="BE196" s="3">
        <v>0</v>
      </c>
      <c r="BG196" s="2" t="s">
        <v>139</v>
      </c>
      <c r="BH196" s="3">
        <v>2</v>
      </c>
      <c r="BI196" s="2" t="s">
        <v>122</v>
      </c>
      <c r="BJ196" s="2" t="s">
        <v>96</v>
      </c>
      <c r="BL196" s="2" t="s">
        <v>123</v>
      </c>
      <c r="BM196" s="2" t="s">
        <v>123</v>
      </c>
      <c r="BN196" s="2" t="s">
        <v>124</v>
      </c>
      <c r="BO196" s="2" t="s">
        <v>125</v>
      </c>
      <c r="BP196" s="2" t="s">
        <v>242</v>
      </c>
      <c r="BQ196" s="2" t="s">
        <v>124</v>
      </c>
      <c r="BR196" s="2" t="s">
        <v>126</v>
      </c>
      <c r="BS196" s="2" t="s">
        <v>127</v>
      </c>
      <c r="BT196" s="2" t="s">
        <v>207</v>
      </c>
      <c r="BU196" s="2" t="s">
        <v>208</v>
      </c>
      <c r="BV196" s="2" t="s">
        <v>150</v>
      </c>
      <c r="BW196" s="2" t="s">
        <v>151</v>
      </c>
      <c r="BX196" s="2" t="s">
        <v>139</v>
      </c>
      <c r="BY19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96" s="2">
        <f>IF(AND(Cases[[#This Row],[Priority Level]]&gt;=3,Cases[[#This Row],[System Role]]&lt;&gt;"Productive"),1,0)</f>
        <v>0</v>
      </c>
      <c r="CA196" s="2">
        <f>IFERROR(IF(Cases[[#This Row],[Days at Customer]]&gt;MAX(1,Cases[[#This Row],[Days at SAP]]*2),1,0),0)</f>
        <v>1</v>
      </c>
      <c r="CB196" s="2">
        <f>IF(AND(Cases[[#This Row],[Initial Component]]&lt;&gt;"",Cases[[#This Row],[Component]]&lt;&gt;"",Cases[[#This Row],[Initial Component]]&lt;&gt;Cases[[#This Row],[Component]]),1,0)</f>
        <v>0</v>
      </c>
      <c r="CC196" s="2">
        <f>IF(OR(Cases[[#This Row],[Is Reopened]]="X",Cases[[#This Row],[No. of Reopenings]]&gt;0),1,0)</f>
        <v>0</v>
      </c>
      <c r="CD196" s="2">
        <f>IF(Cases[[#This Row],[Confirmation Type]]="Automatic",1,0)</f>
        <v>1</v>
      </c>
      <c r="CE196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97" spans="1:83" x14ac:dyDescent="0.2">
      <c r="A197" s="1" t="s">
        <v>2846</v>
      </c>
      <c r="B197" s="2" t="s">
        <v>2847</v>
      </c>
      <c r="C197" s="2" t="s">
        <v>111</v>
      </c>
      <c r="D197" s="2" t="s">
        <v>238</v>
      </c>
      <c r="E197" s="3">
        <v>0</v>
      </c>
      <c r="F197" s="3">
        <v>46.34</v>
      </c>
      <c r="G197" s="2" t="s">
        <v>112</v>
      </c>
      <c r="H197" s="2" t="s">
        <v>113</v>
      </c>
      <c r="I197" s="3" t="s">
        <v>114</v>
      </c>
      <c r="J197" s="3">
        <v>169</v>
      </c>
      <c r="K197" s="2" t="s">
        <v>2848</v>
      </c>
      <c r="L197" s="4">
        <v>46026</v>
      </c>
      <c r="M197" s="4">
        <v>46023</v>
      </c>
      <c r="N197" s="2" t="s">
        <v>1334</v>
      </c>
      <c r="O197" s="2" t="s">
        <v>181</v>
      </c>
      <c r="P197" s="2" t="s">
        <v>1334</v>
      </c>
      <c r="Q197" s="2" t="s">
        <v>86</v>
      </c>
      <c r="R197" s="2" t="s">
        <v>116</v>
      </c>
      <c r="S197" s="4">
        <v>45958</v>
      </c>
      <c r="T197" s="2" t="s">
        <v>2727</v>
      </c>
      <c r="U197" s="2" t="s">
        <v>1805</v>
      </c>
      <c r="V197" s="2" t="s">
        <v>2717</v>
      </c>
      <c r="W197" s="2" t="s">
        <v>1806</v>
      </c>
      <c r="X197" s="2" t="s">
        <v>117</v>
      </c>
      <c r="Y197" s="3" t="s">
        <v>118</v>
      </c>
      <c r="Z197" s="3">
        <v>46.34</v>
      </c>
      <c r="AA197" s="2" t="s">
        <v>90</v>
      </c>
      <c r="AB197" s="2" t="s">
        <v>116</v>
      </c>
      <c r="AC197" s="2" t="s">
        <v>111</v>
      </c>
      <c r="AD197" t="str" cm="1">
        <f t="array" ref="AD19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197" s="2" t="s">
        <v>139</v>
      </c>
      <c r="AF197" s="2" t="s">
        <v>92</v>
      </c>
      <c r="AG197" s="2" t="s">
        <v>119</v>
      </c>
      <c r="AH197" s="2" t="s">
        <v>120</v>
      </c>
      <c r="AK197" s="2" t="s">
        <v>2849</v>
      </c>
      <c r="AN197" s="3">
        <v>1</v>
      </c>
      <c r="AO197" s="3">
        <v>1</v>
      </c>
      <c r="AP197" s="3">
        <v>1</v>
      </c>
      <c r="AQ197" s="3">
        <v>1</v>
      </c>
      <c r="AR197" s="3">
        <v>0</v>
      </c>
      <c r="AS197" s="3">
        <v>0</v>
      </c>
      <c r="AT197" s="3">
        <v>1</v>
      </c>
      <c r="AU197" s="3">
        <v>0</v>
      </c>
      <c r="AV197" s="3">
        <v>1</v>
      </c>
      <c r="AW197" s="3">
        <v>0</v>
      </c>
      <c r="AX197" s="3">
        <v>0</v>
      </c>
      <c r="AY197" s="3">
        <v>0</v>
      </c>
      <c r="AZ197" s="3">
        <v>1</v>
      </c>
      <c r="BA197" s="3">
        <v>1</v>
      </c>
      <c r="BB197" s="3">
        <v>0</v>
      </c>
      <c r="BC197" s="3">
        <v>0</v>
      </c>
      <c r="BD197" s="3">
        <v>0</v>
      </c>
      <c r="BE197" s="3">
        <v>0</v>
      </c>
      <c r="BG197" s="2" t="s">
        <v>139</v>
      </c>
      <c r="BH197" s="3">
        <v>2</v>
      </c>
      <c r="BI197" s="2" t="s">
        <v>122</v>
      </c>
      <c r="BJ197" s="2" t="s">
        <v>96</v>
      </c>
      <c r="BL197" s="2" t="s">
        <v>123</v>
      </c>
      <c r="BM197" s="2" t="s">
        <v>123</v>
      </c>
      <c r="BN197" s="2" t="s">
        <v>124</v>
      </c>
      <c r="BO197" s="2" t="s">
        <v>125</v>
      </c>
      <c r="BP197" s="2" t="s">
        <v>242</v>
      </c>
      <c r="BQ197" s="2" t="s">
        <v>124</v>
      </c>
      <c r="BR197" s="2" t="s">
        <v>126</v>
      </c>
      <c r="BS197" s="2" t="s">
        <v>127</v>
      </c>
      <c r="BT197" s="2" t="s">
        <v>436</v>
      </c>
      <c r="BU197" s="2" t="s">
        <v>437</v>
      </c>
      <c r="BV197" s="2" t="s">
        <v>107</v>
      </c>
      <c r="BW197" s="2" t="s">
        <v>108</v>
      </c>
      <c r="BX197" s="2" t="s">
        <v>139</v>
      </c>
      <c r="BY19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197" s="2">
        <f>IF(AND(Cases[[#This Row],[Priority Level]]&gt;=3,Cases[[#This Row],[System Role]]&lt;&gt;"Productive"),1,0)</f>
        <v>0</v>
      </c>
      <c r="CA197" s="2">
        <f>IFERROR(IF(Cases[[#This Row],[Days at Customer]]&gt;MAX(1,Cases[[#This Row],[Days at SAP]]*2),1,0),0)</f>
        <v>1</v>
      </c>
      <c r="CB197" s="2">
        <f>IF(AND(Cases[[#This Row],[Initial Component]]&lt;&gt;"",Cases[[#This Row],[Component]]&lt;&gt;"",Cases[[#This Row],[Initial Component]]&lt;&gt;Cases[[#This Row],[Component]]),1,0)</f>
        <v>0</v>
      </c>
      <c r="CC197" s="2">
        <f>IF(OR(Cases[[#This Row],[Is Reopened]]="X",Cases[[#This Row],[No. of Reopenings]]&gt;0),1,0)</f>
        <v>0</v>
      </c>
      <c r="CD197" s="2">
        <f>IF(Cases[[#This Row],[Confirmation Type]]="Automatic",1,0)</f>
        <v>1</v>
      </c>
      <c r="CE197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198" spans="1:83" x14ac:dyDescent="0.2">
      <c r="A198" s="1" t="s">
        <v>1363</v>
      </c>
      <c r="B198" s="2" t="s">
        <v>1364</v>
      </c>
      <c r="C198" s="2" t="s">
        <v>1365</v>
      </c>
      <c r="D198" s="2" t="s">
        <v>238</v>
      </c>
      <c r="E198" s="3">
        <v>21.74</v>
      </c>
      <c r="F198" s="3">
        <v>41.59</v>
      </c>
      <c r="G198" s="2" t="s">
        <v>79</v>
      </c>
      <c r="H198" s="2" t="s">
        <v>178</v>
      </c>
      <c r="I198" s="3" t="s">
        <v>114</v>
      </c>
      <c r="J198" s="3">
        <v>76</v>
      </c>
      <c r="K198" s="2" t="s">
        <v>1366</v>
      </c>
      <c r="L198" s="4">
        <v>46117</v>
      </c>
      <c r="M198" s="4">
        <v>46115</v>
      </c>
      <c r="N198" s="2" t="s">
        <v>83</v>
      </c>
      <c r="O198" s="2" t="s">
        <v>84</v>
      </c>
      <c r="P198" s="2" t="s">
        <v>136</v>
      </c>
      <c r="Q198" s="2" t="s">
        <v>86</v>
      </c>
      <c r="R198" s="2" t="s">
        <v>1367</v>
      </c>
      <c r="S198" s="4">
        <v>46051</v>
      </c>
      <c r="T198" s="2" t="s">
        <v>1334</v>
      </c>
      <c r="U198" s="2" t="s">
        <v>181</v>
      </c>
      <c r="V198" s="2" t="s">
        <v>1335</v>
      </c>
      <c r="W198" s="2" t="s">
        <v>86</v>
      </c>
      <c r="X198" s="2" t="s">
        <v>117</v>
      </c>
      <c r="Y198" s="3" t="s">
        <v>118</v>
      </c>
      <c r="Z198" s="3">
        <v>63.33</v>
      </c>
      <c r="AA198" s="2" t="s">
        <v>138</v>
      </c>
      <c r="AB198" s="2" t="s">
        <v>443</v>
      </c>
      <c r="AC198" s="2" t="s">
        <v>444</v>
      </c>
      <c r="AD198" t="str" cm="1">
        <f t="array" ref="AD19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198" s="2" t="s">
        <v>91</v>
      </c>
      <c r="AF198" s="2" t="s">
        <v>92</v>
      </c>
      <c r="AG198" s="2" t="s">
        <v>274</v>
      </c>
      <c r="AH198" s="2" t="s">
        <v>275</v>
      </c>
      <c r="AK198" s="2" t="s">
        <v>1368</v>
      </c>
      <c r="AN198" s="3">
        <v>1</v>
      </c>
      <c r="AO198" s="3">
        <v>1</v>
      </c>
      <c r="AP198" s="3">
        <v>1</v>
      </c>
      <c r="AQ198" s="3">
        <v>1</v>
      </c>
      <c r="AR198" s="3">
        <v>1</v>
      </c>
      <c r="AS198" s="3">
        <v>0</v>
      </c>
      <c r="AT198" s="3">
        <v>0</v>
      </c>
      <c r="AU198" s="3">
        <v>0</v>
      </c>
      <c r="AV198" s="3">
        <v>1</v>
      </c>
      <c r="AW198" s="3">
        <v>0</v>
      </c>
      <c r="AX198" s="3">
        <v>1</v>
      </c>
      <c r="AY198" s="3">
        <v>0</v>
      </c>
      <c r="AZ198" s="3">
        <v>0</v>
      </c>
      <c r="BA198" s="3">
        <v>1</v>
      </c>
      <c r="BB198" s="3">
        <v>0</v>
      </c>
      <c r="BC198" s="3">
        <v>0</v>
      </c>
      <c r="BD198" s="3">
        <v>0</v>
      </c>
      <c r="BE198" s="3">
        <v>0</v>
      </c>
      <c r="BG198" s="2" t="s">
        <v>91</v>
      </c>
      <c r="BH198" s="3">
        <v>3</v>
      </c>
      <c r="BJ198" s="2" t="s">
        <v>96</v>
      </c>
      <c r="BL198" s="2" t="s">
        <v>446</v>
      </c>
      <c r="BM198" s="2" t="s">
        <v>447</v>
      </c>
      <c r="BN198" s="2" t="s">
        <v>279</v>
      </c>
      <c r="BO198" s="2" t="s">
        <v>280</v>
      </c>
      <c r="BP198" s="2" t="s">
        <v>242</v>
      </c>
      <c r="BQ198" s="2" t="s">
        <v>448</v>
      </c>
      <c r="BR198" s="2" t="s">
        <v>449</v>
      </c>
      <c r="BS198" s="2" t="s">
        <v>450</v>
      </c>
      <c r="BT198" s="2" t="s">
        <v>1030</v>
      </c>
      <c r="BU198" s="2" t="s">
        <v>1031</v>
      </c>
      <c r="BV198" s="2" t="s">
        <v>166</v>
      </c>
      <c r="BW198" s="2" t="s">
        <v>167</v>
      </c>
      <c r="BX198" s="2" t="s">
        <v>91</v>
      </c>
      <c r="BY19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98" s="2">
        <f>IF(AND(Cases[[#This Row],[Priority Level]]&gt;=3,Cases[[#This Row],[System Role]]&lt;&gt;"Productive"),1,0)</f>
        <v>1</v>
      </c>
      <c r="CA198" s="2">
        <f>IFERROR(IF(Cases[[#This Row],[Days at Customer]]&gt;MAX(1,Cases[[#This Row],[Days at SAP]]*2),1,0),0)</f>
        <v>0</v>
      </c>
      <c r="CB198" s="2">
        <f>IF(AND(Cases[[#This Row],[Initial Component]]&lt;&gt;"",Cases[[#This Row],[Component]]&lt;&gt;"",Cases[[#This Row],[Initial Component]]&lt;&gt;Cases[[#This Row],[Component]]),1,0)</f>
        <v>1</v>
      </c>
      <c r="CC198" s="2">
        <f>IF(OR(Cases[[#This Row],[Is Reopened]]="X",Cases[[#This Row],[No. of Reopenings]]&gt;0),1,0)</f>
        <v>0</v>
      </c>
      <c r="CD198" s="2">
        <f>IF(Cases[[#This Row],[Confirmation Type]]="Automatic",1,0)</f>
        <v>1</v>
      </c>
      <c r="CE198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199" spans="1:83" x14ac:dyDescent="0.2">
      <c r="A199" s="1" t="s">
        <v>1369</v>
      </c>
      <c r="B199" s="2" t="s">
        <v>1370</v>
      </c>
      <c r="C199" s="2" t="s">
        <v>633</v>
      </c>
      <c r="D199" s="2" t="s">
        <v>238</v>
      </c>
      <c r="E199" s="3">
        <v>0.08</v>
      </c>
      <c r="F199" s="3">
        <v>22.42</v>
      </c>
      <c r="G199" s="2" t="s">
        <v>79</v>
      </c>
      <c r="H199" s="2" t="s">
        <v>290</v>
      </c>
      <c r="I199" s="3" t="s">
        <v>114</v>
      </c>
      <c r="J199" s="3">
        <v>77</v>
      </c>
      <c r="K199" s="2" t="s">
        <v>1371</v>
      </c>
      <c r="L199" s="4">
        <v>46075</v>
      </c>
      <c r="M199" s="4">
        <v>46073</v>
      </c>
      <c r="N199" s="2" t="s">
        <v>677</v>
      </c>
      <c r="O199" s="2" t="s">
        <v>181</v>
      </c>
      <c r="P199" s="2" t="s">
        <v>895</v>
      </c>
      <c r="Q199" s="2" t="s">
        <v>86</v>
      </c>
      <c r="R199" s="2" t="s">
        <v>635</v>
      </c>
      <c r="S199" s="4">
        <v>46050</v>
      </c>
      <c r="T199" s="2" t="s">
        <v>1334</v>
      </c>
      <c r="U199" s="2" t="s">
        <v>181</v>
      </c>
      <c r="V199" s="2" t="s">
        <v>1335</v>
      </c>
      <c r="W199" s="2" t="s">
        <v>86</v>
      </c>
      <c r="X199" s="2" t="s">
        <v>117</v>
      </c>
      <c r="Y199" s="3" t="s">
        <v>118</v>
      </c>
      <c r="Z199" s="3">
        <v>22.49</v>
      </c>
      <c r="AA199" s="2" t="s">
        <v>90</v>
      </c>
      <c r="AB199" s="2" t="s">
        <v>635</v>
      </c>
      <c r="AC199" s="2" t="s">
        <v>633</v>
      </c>
      <c r="AD199" t="str" cm="1">
        <f t="array" ref="AD19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199" s="2" t="s">
        <v>182</v>
      </c>
      <c r="AF199" s="2" t="s">
        <v>92</v>
      </c>
      <c r="AG199" s="2" t="s">
        <v>119</v>
      </c>
      <c r="AH199" s="2" t="s">
        <v>120</v>
      </c>
      <c r="AK199" s="2" t="s">
        <v>1372</v>
      </c>
      <c r="AN199" s="3">
        <v>1</v>
      </c>
      <c r="AO199" s="3">
        <v>1</v>
      </c>
      <c r="AP199" s="3">
        <v>1</v>
      </c>
      <c r="AQ199" s="3">
        <v>1</v>
      </c>
      <c r="AR199" s="3">
        <v>1</v>
      </c>
      <c r="AS199" s="3">
        <v>0</v>
      </c>
      <c r="AT199" s="3">
        <v>0</v>
      </c>
      <c r="AU199" s="3">
        <v>0</v>
      </c>
      <c r="AV199" s="3">
        <v>1</v>
      </c>
      <c r="AW199" s="3">
        <v>0</v>
      </c>
      <c r="AX199" s="3">
        <v>1</v>
      </c>
      <c r="AY199" s="3">
        <v>0</v>
      </c>
      <c r="AZ199" s="3">
        <v>0</v>
      </c>
      <c r="BA199" s="3">
        <v>0</v>
      </c>
      <c r="BB199" s="3">
        <v>0</v>
      </c>
      <c r="BC199" s="3">
        <v>1</v>
      </c>
      <c r="BD199" s="3">
        <v>0</v>
      </c>
      <c r="BE199" s="3">
        <v>0</v>
      </c>
      <c r="BG199" s="2" t="s">
        <v>91</v>
      </c>
      <c r="BH199" s="3">
        <v>3</v>
      </c>
      <c r="BJ199" s="2" t="s">
        <v>96</v>
      </c>
      <c r="BL199" s="2" t="s">
        <v>123</v>
      </c>
      <c r="BM199" s="2" t="s">
        <v>123</v>
      </c>
      <c r="BN199" s="2" t="s">
        <v>124</v>
      </c>
      <c r="BO199" s="2" t="s">
        <v>125</v>
      </c>
      <c r="BP199" s="2" t="s">
        <v>242</v>
      </c>
      <c r="BQ199" s="2" t="s">
        <v>124</v>
      </c>
      <c r="BR199" s="2" t="s">
        <v>126</v>
      </c>
      <c r="BS199" s="2" t="s">
        <v>127</v>
      </c>
      <c r="BT199" s="2" t="s">
        <v>207</v>
      </c>
      <c r="BU199" s="2" t="s">
        <v>208</v>
      </c>
      <c r="BV199" s="2" t="s">
        <v>150</v>
      </c>
      <c r="BW199" s="2" t="s">
        <v>151</v>
      </c>
      <c r="BX199" s="2" t="s">
        <v>182</v>
      </c>
      <c r="BY19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199" s="2">
        <f>IF(AND(Cases[[#This Row],[Priority Level]]&gt;=3,Cases[[#This Row],[System Role]]&lt;&gt;"Productive"),1,0)</f>
        <v>0</v>
      </c>
      <c r="CA199" s="2">
        <f>IFERROR(IF(Cases[[#This Row],[Days at Customer]]&gt;MAX(1,Cases[[#This Row],[Days at SAP]]*2),1,0),0)</f>
        <v>1</v>
      </c>
      <c r="CB199" s="2">
        <f>IF(AND(Cases[[#This Row],[Initial Component]]&lt;&gt;"",Cases[[#This Row],[Component]]&lt;&gt;"",Cases[[#This Row],[Initial Component]]&lt;&gt;Cases[[#This Row],[Component]]),1,0)</f>
        <v>0</v>
      </c>
      <c r="CC199" s="2">
        <f>IF(OR(Cases[[#This Row],[Is Reopened]]="X",Cases[[#This Row],[No. of Reopenings]]&gt;0),1,0)</f>
        <v>0</v>
      </c>
      <c r="CD199" s="2">
        <f>IF(Cases[[#This Row],[Confirmation Type]]="Automatic",1,0)</f>
        <v>1</v>
      </c>
      <c r="CE199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00" spans="1:83" x14ac:dyDescent="0.2">
      <c r="A200" s="1" t="s">
        <v>1373</v>
      </c>
      <c r="B200" s="2" t="s">
        <v>1374</v>
      </c>
      <c r="C200" s="2" t="s">
        <v>1375</v>
      </c>
      <c r="D200" s="2" t="s">
        <v>238</v>
      </c>
      <c r="E200" s="3">
        <v>1.62</v>
      </c>
      <c r="F200" s="3">
        <v>21.96</v>
      </c>
      <c r="G200" s="2" t="s">
        <v>79</v>
      </c>
      <c r="H200" s="2" t="s">
        <v>290</v>
      </c>
      <c r="I200" s="3" t="s">
        <v>81</v>
      </c>
      <c r="J200" s="3">
        <v>77</v>
      </c>
      <c r="K200" s="2" t="s">
        <v>1376</v>
      </c>
      <c r="L200" s="4">
        <v>46075</v>
      </c>
      <c r="M200" s="4">
        <v>46074</v>
      </c>
      <c r="N200" s="2" t="s">
        <v>677</v>
      </c>
      <c r="O200" s="2" t="s">
        <v>181</v>
      </c>
      <c r="P200" s="2" t="s">
        <v>895</v>
      </c>
      <c r="Q200" s="2" t="s">
        <v>86</v>
      </c>
      <c r="R200" s="2" t="s">
        <v>1377</v>
      </c>
      <c r="S200" s="4">
        <v>46050</v>
      </c>
      <c r="T200" s="2" t="s">
        <v>1334</v>
      </c>
      <c r="U200" s="2" t="s">
        <v>181</v>
      </c>
      <c r="V200" s="2" t="s">
        <v>1335</v>
      </c>
      <c r="W200" s="2" t="s">
        <v>86</v>
      </c>
      <c r="X200" s="2" t="s">
        <v>88</v>
      </c>
      <c r="Y200" s="3" t="s">
        <v>89</v>
      </c>
      <c r="Z200" s="3">
        <v>23.58</v>
      </c>
      <c r="AA200" s="2" t="s">
        <v>90</v>
      </c>
      <c r="AB200" s="2" t="s">
        <v>1377</v>
      </c>
      <c r="AC200" s="2" t="s">
        <v>1375</v>
      </c>
      <c r="AD200" t="str" cm="1">
        <f t="array" ref="AD20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200" s="2" t="s">
        <v>139</v>
      </c>
      <c r="AF200" s="2" t="s">
        <v>92</v>
      </c>
      <c r="AG200" s="2" t="s">
        <v>93</v>
      </c>
      <c r="AH200" s="2" t="s">
        <v>94</v>
      </c>
      <c r="AK200" s="2" t="s">
        <v>1378</v>
      </c>
      <c r="AN200" s="3">
        <v>1</v>
      </c>
      <c r="AO200" s="3">
        <v>1</v>
      </c>
      <c r="AP200" s="3">
        <v>1</v>
      </c>
      <c r="AQ200" s="3">
        <v>1</v>
      </c>
      <c r="AR200" s="3">
        <v>0</v>
      </c>
      <c r="AS200" s="3">
        <v>0</v>
      </c>
      <c r="AT200" s="3">
        <v>1</v>
      </c>
      <c r="AU200" s="3">
        <v>0</v>
      </c>
      <c r="AV200" s="3">
        <v>1</v>
      </c>
      <c r="AW200" s="3">
        <v>0</v>
      </c>
      <c r="AX200" s="3">
        <v>0</v>
      </c>
      <c r="AY200" s="3">
        <v>0</v>
      </c>
      <c r="AZ200" s="3">
        <v>1</v>
      </c>
      <c r="BA200" s="3">
        <v>0</v>
      </c>
      <c r="BB200" s="3">
        <v>0</v>
      </c>
      <c r="BC200" s="3">
        <v>1</v>
      </c>
      <c r="BD200" s="3">
        <v>0</v>
      </c>
      <c r="BE200" s="3">
        <v>0</v>
      </c>
      <c r="BG200" s="2" t="s">
        <v>139</v>
      </c>
      <c r="BH200" s="3">
        <v>2</v>
      </c>
      <c r="BJ200" s="2" t="s">
        <v>96</v>
      </c>
      <c r="BL200" s="2" t="s">
        <v>184</v>
      </c>
      <c r="BM200" s="2" t="s">
        <v>184</v>
      </c>
      <c r="BN200" s="2" t="s">
        <v>124</v>
      </c>
      <c r="BO200" s="2" t="s">
        <v>125</v>
      </c>
      <c r="BP200" s="2" t="s">
        <v>242</v>
      </c>
      <c r="BQ200" s="2" t="s">
        <v>124</v>
      </c>
      <c r="BR200" s="2" t="s">
        <v>126</v>
      </c>
      <c r="BS200" s="2" t="s">
        <v>127</v>
      </c>
      <c r="BT200" s="2" t="s">
        <v>185</v>
      </c>
      <c r="BU200" s="2" t="s">
        <v>186</v>
      </c>
      <c r="BV200" s="2" t="s">
        <v>150</v>
      </c>
      <c r="BW200" s="2" t="s">
        <v>151</v>
      </c>
      <c r="BX200" s="2" t="s">
        <v>139</v>
      </c>
      <c r="BY20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00" s="2">
        <f>IF(AND(Cases[[#This Row],[Priority Level]]&gt;=3,Cases[[#This Row],[System Role]]&lt;&gt;"Productive"),1,0)</f>
        <v>0</v>
      </c>
      <c r="CA200" s="2">
        <f>IFERROR(IF(Cases[[#This Row],[Days at Customer]]&gt;MAX(1,Cases[[#This Row],[Days at SAP]]*2),1,0),0)</f>
        <v>1</v>
      </c>
      <c r="CB200" s="2">
        <f>IF(AND(Cases[[#This Row],[Initial Component]]&lt;&gt;"",Cases[[#This Row],[Component]]&lt;&gt;"",Cases[[#This Row],[Initial Component]]&lt;&gt;Cases[[#This Row],[Component]]),1,0)</f>
        <v>0</v>
      </c>
      <c r="CC200" s="2">
        <f>IF(OR(Cases[[#This Row],[Is Reopened]]="X",Cases[[#This Row],[No. of Reopenings]]&gt;0),1,0)</f>
        <v>0</v>
      </c>
      <c r="CD200" s="2">
        <f>IF(Cases[[#This Row],[Confirmation Type]]="Automatic",1,0)</f>
        <v>1</v>
      </c>
      <c r="CE20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01" spans="1:83" x14ac:dyDescent="0.2">
      <c r="A201" s="1" t="s">
        <v>1379</v>
      </c>
      <c r="B201" s="2" t="s">
        <v>1380</v>
      </c>
      <c r="C201" s="2" t="s">
        <v>1381</v>
      </c>
      <c r="D201" s="2" t="s">
        <v>238</v>
      </c>
      <c r="E201" s="3">
        <v>47.04</v>
      </c>
      <c r="F201" s="3">
        <v>21.5</v>
      </c>
      <c r="G201" s="2" t="s">
        <v>79</v>
      </c>
      <c r="H201" s="2" t="s">
        <v>178</v>
      </c>
      <c r="I201" s="3" t="s">
        <v>114</v>
      </c>
      <c r="J201" s="3">
        <v>77</v>
      </c>
      <c r="K201" s="2" t="s">
        <v>1382</v>
      </c>
      <c r="L201" s="4">
        <v>46124</v>
      </c>
      <c r="M201" s="4">
        <v>46119</v>
      </c>
      <c r="N201" s="2" t="s">
        <v>83</v>
      </c>
      <c r="O201" s="2" t="s">
        <v>84</v>
      </c>
      <c r="P201" s="2" t="s">
        <v>85</v>
      </c>
      <c r="Q201" s="2" t="s">
        <v>86</v>
      </c>
      <c r="R201" s="2" t="s">
        <v>1383</v>
      </c>
      <c r="S201" s="4">
        <v>46050</v>
      </c>
      <c r="T201" s="2" t="s">
        <v>1334</v>
      </c>
      <c r="U201" s="2" t="s">
        <v>181</v>
      </c>
      <c r="V201" s="2" t="s">
        <v>1335</v>
      </c>
      <c r="W201" s="2" t="s">
        <v>86</v>
      </c>
      <c r="X201" s="2" t="s">
        <v>117</v>
      </c>
      <c r="Y201" s="3" t="s">
        <v>118</v>
      </c>
      <c r="Z201" s="3">
        <v>68.540000000000006</v>
      </c>
      <c r="AA201" s="2" t="s">
        <v>90</v>
      </c>
      <c r="AB201" s="2" t="s">
        <v>363</v>
      </c>
      <c r="AC201" s="2" t="s">
        <v>364</v>
      </c>
      <c r="AD201" t="str" cm="1">
        <f t="array" ref="AD20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201" s="2" t="s">
        <v>139</v>
      </c>
      <c r="AF201" s="2" t="s">
        <v>92</v>
      </c>
      <c r="AG201" s="2" t="s">
        <v>119</v>
      </c>
      <c r="AH201" s="2" t="s">
        <v>120</v>
      </c>
      <c r="AJ201" s="2" t="s">
        <v>122</v>
      </c>
      <c r="AK201" s="2" t="s">
        <v>1384</v>
      </c>
      <c r="AN201" s="3">
        <v>1</v>
      </c>
      <c r="AO201" s="3">
        <v>1</v>
      </c>
      <c r="AP201" s="3">
        <v>1</v>
      </c>
      <c r="AQ201" s="3">
        <v>1</v>
      </c>
      <c r="AR201" s="3">
        <v>0</v>
      </c>
      <c r="AS201" s="3">
        <v>1</v>
      </c>
      <c r="AT201" s="3">
        <v>0</v>
      </c>
      <c r="AU201" s="3">
        <v>0</v>
      </c>
      <c r="AV201" s="3">
        <v>1</v>
      </c>
      <c r="AW201" s="3">
        <v>0</v>
      </c>
      <c r="AX201" s="3">
        <v>0</v>
      </c>
      <c r="AY201" s="3">
        <v>1</v>
      </c>
      <c r="AZ201" s="3">
        <v>0</v>
      </c>
      <c r="BA201" s="3">
        <v>1</v>
      </c>
      <c r="BB201" s="3">
        <v>0</v>
      </c>
      <c r="BC201" s="3">
        <v>0</v>
      </c>
      <c r="BD201" s="3">
        <v>1</v>
      </c>
      <c r="BE201" s="3">
        <v>0</v>
      </c>
      <c r="BG201" s="2" t="s">
        <v>158</v>
      </c>
      <c r="BH201" s="3">
        <v>1</v>
      </c>
      <c r="BJ201" s="2" t="s">
        <v>96</v>
      </c>
      <c r="BL201" s="2" t="s">
        <v>123</v>
      </c>
      <c r="BM201" s="2" t="s">
        <v>123</v>
      </c>
      <c r="BN201" s="2" t="s">
        <v>124</v>
      </c>
      <c r="BO201" s="2" t="s">
        <v>125</v>
      </c>
      <c r="BP201" s="2" t="s">
        <v>242</v>
      </c>
      <c r="BQ201" s="2" t="s">
        <v>124</v>
      </c>
      <c r="BR201" s="2" t="s">
        <v>126</v>
      </c>
      <c r="BS201" s="2" t="s">
        <v>127</v>
      </c>
      <c r="BT201" s="2" t="s">
        <v>199</v>
      </c>
      <c r="BU201" s="2" t="s">
        <v>200</v>
      </c>
      <c r="BV201" s="2" t="s">
        <v>166</v>
      </c>
      <c r="BW201" s="2" t="s">
        <v>167</v>
      </c>
      <c r="BX201" s="2" t="s">
        <v>139</v>
      </c>
      <c r="BY20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01" s="2">
        <f>IF(AND(Cases[[#This Row],[Priority Level]]&gt;=3,Cases[[#This Row],[System Role]]&lt;&gt;"Productive"),1,0)</f>
        <v>0</v>
      </c>
      <c r="CA201" s="2">
        <f>IFERROR(IF(Cases[[#This Row],[Days at Customer]]&gt;MAX(1,Cases[[#This Row],[Days at SAP]]*2),1,0),0)</f>
        <v>0</v>
      </c>
      <c r="CB201" s="2">
        <f>IF(AND(Cases[[#This Row],[Initial Component]]&lt;&gt;"",Cases[[#This Row],[Component]]&lt;&gt;"",Cases[[#This Row],[Initial Component]]&lt;&gt;Cases[[#This Row],[Component]]),1,0)</f>
        <v>1</v>
      </c>
      <c r="CC201" s="2">
        <f>IF(OR(Cases[[#This Row],[Is Reopened]]="X",Cases[[#This Row],[No. of Reopenings]]&gt;0),1,0)</f>
        <v>1</v>
      </c>
      <c r="CD201" s="2">
        <f>IF(Cases[[#This Row],[Confirmation Type]]="Automatic",1,0)</f>
        <v>1</v>
      </c>
      <c r="CE201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202" spans="1:83" x14ac:dyDescent="0.2">
      <c r="A202" s="1" t="s">
        <v>1385</v>
      </c>
      <c r="B202" s="2" t="s">
        <v>1386</v>
      </c>
      <c r="C202" s="2" t="s">
        <v>633</v>
      </c>
      <c r="D202" s="2" t="s">
        <v>238</v>
      </c>
      <c r="E202" s="3">
        <v>0.15</v>
      </c>
      <c r="F202" s="3">
        <v>21.4</v>
      </c>
      <c r="G202" s="2" t="s">
        <v>190</v>
      </c>
      <c r="H202" s="2" t="s">
        <v>308</v>
      </c>
      <c r="I202" s="3" t="s">
        <v>114</v>
      </c>
      <c r="J202" s="3">
        <v>77</v>
      </c>
      <c r="K202" s="2" t="s">
        <v>1387</v>
      </c>
      <c r="L202" s="4">
        <v>46075</v>
      </c>
      <c r="M202" s="4">
        <v>46072</v>
      </c>
      <c r="N202" s="2" t="s">
        <v>677</v>
      </c>
      <c r="O202" s="2" t="s">
        <v>181</v>
      </c>
      <c r="P202" s="2" t="s">
        <v>895</v>
      </c>
      <c r="Q202" s="2" t="s">
        <v>86</v>
      </c>
      <c r="R202" s="2" t="s">
        <v>635</v>
      </c>
      <c r="S202" s="4">
        <v>46050</v>
      </c>
      <c r="T202" s="2" t="s">
        <v>1334</v>
      </c>
      <c r="U202" s="2" t="s">
        <v>181</v>
      </c>
      <c r="V202" s="2" t="s">
        <v>1335</v>
      </c>
      <c r="W202" s="2" t="s">
        <v>86</v>
      </c>
      <c r="X202" s="2" t="s">
        <v>117</v>
      </c>
      <c r="Y202" s="3" t="s">
        <v>118</v>
      </c>
      <c r="Z202" s="3">
        <v>21.54</v>
      </c>
      <c r="AA202" s="2" t="s">
        <v>90</v>
      </c>
      <c r="AB202" s="2" t="s">
        <v>635</v>
      </c>
      <c r="AC202" s="2" t="s">
        <v>633</v>
      </c>
      <c r="AD202" t="str" cm="1">
        <f t="array" ref="AD20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202" s="2" t="s">
        <v>158</v>
      </c>
      <c r="AF202" s="2" t="s">
        <v>92</v>
      </c>
      <c r="AG202" s="2" t="s">
        <v>119</v>
      </c>
      <c r="AH202" s="2" t="s">
        <v>120</v>
      </c>
      <c r="AK202" s="2" t="s">
        <v>1388</v>
      </c>
      <c r="AN202" s="3">
        <v>1</v>
      </c>
      <c r="AO202" s="3">
        <v>1</v>
      </c>
      <c r="AP202" s="3">
        <v>1</v>
      </c>
      <c r="AQ202" s="3">
        <v>1</v>
      </c>
      <c r="AR202" s="3">
        <v>0</v>
      </c>
      <c r="AS202" s="3">
        <v>1</v>
      </c>
      <c r="AT202" s="3">
        <v>0</v>
      </c>
      <c r="AU202" s="3">
        <v>0</v>
      </c>
      <c r="AV202" s="3">
        <v>1</v>
      </c>
      <c r="AW202" s="3">
        <v>0</v>
      </c>
      <c r="AX202" s="3">
        <v>0</v>
      </c>
      <c r="AY202" s="3">
        <v>1</v>
      </c>
      <c r="AZ202" s="3">
        <v>0</v>
      </c>
      <c r="BA202" s="3">
        <v>0</v>
      </c>
      <c r="BB202" s="3">
        <v>0</v>
      </c>
      <c r="BC202" s="3">
        <v>1</v>
      </c>
      <c r="BD202" s="3">
        <v>0</v>
      </c>
      <c r="BE202" s="3">
        <v>0</v>
      </c>
      <c r="BG202" s="2" t="s">
        <v>158</v>
      </c>
      <c r="BH202" s="3">
        <v>1</v>
      </c>
      <c r="BJ202" s="2" t="s">
        <v>96</v>
      </c>
      <c r="BL202" s="2" t="s">
        <v>123</v>
      </c>
      <c r="BM202" s="2" t="s">
        <v>123</v>
      </c>
      <c r="BN202" s="2" t="s">
        <v>124</v>
      </c>
      <c r="BO202" s="2" t="s">
        <v>125</v>
      </c>
      <c r="BP202" s="2" t="s">
        <v>242</v>
      </c>
      <c r="BQ202" s="2" t="s">
        <v>124</v>
      </c>
      <c r="BR202" s="2" t="s">
        <v>126</v>
      </c>
      <c r="BS202" s="2" t="s">
        <v>127</v>
      </c>
      <c r="BT202" s="2" t="s">
        <v>207</v>
      </c>
      <c r="BU202" s="2" t="s">
        <v>208</v>
      </c>
      <c r="BV202" s="2" t="s">
        <v>150</v>
      </c>
      <c r="BW202" s="2" t="s">
        <v>151</v>
      </c>
      <c r="BX202" s="2" t="s">
        <v>158</v>
      </c>
      <c r="BY20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02" s="2">
        <f>IF(AND(Cases[[#This Row],[Priority Level]]&gt;=3,Cases[[#This Row],[System Role]]&lt;&gt;"Productive"),1,0)</f>
        <v>0</v>
      </c>
      <c r="CA202" s="2">
        <f>IFERROR(IF(Cases[[#This Row],[Days at Customer]]&gt;MAX(1,Cases[[#This Row],[Days at SAP]]*2),1,0),0)</f>
        <v>1</v>
      </c>
      <c r="CB202" s="2">
        <f>IF(AND(Cases[[#This Row],[Initial Component]]&lt;&gt;"",Cases[[#This Row],[Component]]&lt;&gt;"",Cases[[#This Row],[Initial Component]]&lt;&gt;Cases[[#This Row],[Component]]),1,0)</f>
        <v>0</v>
      </c>
      <c r="CC202" s="2">
        <f>IF(OR(Cases[[#This Row],[Is Reopened]]="X",Cases[[#This Row],[No. of Reopenings]]&gt;0),1,0)</f>
        <v>0</v>
      </c>
      <c r="CD202" s="2">
        <f>IF(Cases[[#This Row],[Confirmation Type]]="Automatic",1,0)</f>
        <v>1</v>
      </c>
      <c r="CE202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03" spans="1:83" x14ac:dyDescent="0.2">
      <c r="A203" s="1" t="s">
        <v>1389</v>
      </c>
      <c r="B203" s="2" t="s">
        <v>1390</v>
      </c>
      <c r="C203" s="2" t="s">
        <v>1391</v>
      </c>
      <c r="D203" s="2" t="s">
        <v>238</v>
      </c>
      <c r="E203" s="3">
        <v>7.02</v>
      </c>
      <c r="F203" s="3">
        <v>34.74</v>
      </c>
      <c r="G203" s="2" t="s">
        <v>79</v>
      </c>
      <c r="H203" s="2" t="s">
        <v>80</v>
      </c>
      <c r="I203" s="3" t="s">
        <v>114</v>
      </c>
      <c r="J203" s="3">
        <v>78</v>
      </c>
      <c r="K203" s="2" t="s">
        <v>1392</v>
      </c>
      <c r="L203" s="4">
        <v>46096</v>
      </c>
      <c r="M203" s="4">
        <v>46090</v>
      </c>
      <c r="N203" s="2" t="s">
        <v>180</v>
      </c>
      <c r="O203" s="2" t="s">
        <v>181</v>
      </c>
      <c r="P203" s="2" t="s">
        <v>350</v>
      </c>
      <c r="Q203" s="2" t="s">
        <v>86</v>
      </c>
      <c r="R203" s="2" t="s">
        <v>1393</v>
      </c>
      <c r="S203" s="4">
        <v>46049</v>
      </c>
      <c r="T203" s="2" t="s">
        <v>1334</v>
      </c>
      <c r="U203" s="2" t="s">
        <v>181</v>
      </c>
      <c r="V203" s="2" t="s">
        <v>1335</v>
      </c>
      <c r="W203" s="2" t="s">
        <v>86</v>
      </c>
      <c r="X203" s="2" t="s">
        <v>117</v>
      </c>
      <c r="Y203" s="3" t="s">
        <v>118</v>
      </c>
      <c r="Z203" s="3">
        <v>41.76</v>
      </c>
      <c r="AA203" s="2" t="s">
        <v>90</v>
      </c>
      <c r="AB203" s="2" t="s">
        <v>1393</v>
      </c>
      <c r="AC203" s="2" t="s">
        <v>1391</v>
      </c>
      <c r="AD203" t="str" cm="1">
        <f t="array" ref="AD20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203" s="2" t="s">
        <v>139</v>
      </c>
      <c r="AF203" s="2" t="s">
        <v>92</v>
      </c>
      <c r="AG203" s="2" t="s">
        <v>119</v>
      </c>
      <c r="AH203" s="2" t="s">
        <v>120</v>
      </c>
      <c r="AK203" s="2" t="s">
        <v>1394</v>
      </c>
      <c r="AN203" s="3">
        <v>1</v>
      </c>
      <c r="AO203" s="3">
        <v>1</v>
      </c>
      <c r="AP203" s="3">
        <v>1</v>
      </c>
      <c r="AQ203" s="3">
        <v>1</v>
      </c>
      <c r="AR203" s="3">
        <v>0</v>
      </c>
      <c r="AS203" s="3">
        <v>0</v>
      </c>
      <c r="AT203" s="3">
        <v>1</v>
      </c>
      <c r="AU203" s="3">
        <v>0</v>
      </c>
      <c r="AV203" s="3">
        <v>1</v>
      </c>
      <c r="AW203" s="3">
        <v>0</v>
      </c>
      <c r="AX203" s="3">
        <v>0</v>
      </c>
      <c r="AY203" s="3">
        <v>0</v>
      </c>
      <c r="AZ203" s="3">
        <v>1</v>
      </c>
      <c r="BA203" s="3">
        <v>1</v>
      </c>
      <c r="BB203" s="3">
        <v>0</v>
      </c>
      <c r="BC203" s="3">
        <v>0</v>
      </c>
      <c r="BD203" s="3">
        <v>0</v>
      </c>
      <c r="BE203" s="3">
        <v>0</v>
      </c>
      <c r="BG203" s="2" t="s">
        <v>139</v>
      </c>
      <c r="BH203" s="3">
        <v>2</v>
      </c>
      <c r="BJ203" s="2" t="s">
        <v>96</v>
      </c>
      <c r="BL203" s="2" t="s">
        <v>123</v>
      </c>
      <c r="BM203" s="2" t="s">
        <v>123</v>
      </c>
      <c r="BN203" s="2" t="s">
        <v>124</v>
      </c>
      <c r="BO203" s="2" t="s">
        <v>125</v>
      </c>
      <c r="BP203" s="2" t="s">
        <v>242</v>
      </c>
      <c r="BQ203" s="2" t="s">
        <v>124</v>
      </c>
      <c r="BR203" s="2" t="s">
        <v>126</v>
      </c>
      <c r="BS203" s="2" t="s">
        <v>127</v>
      </c>
      <c r="BT203" s="2" t="s">
        <v>1395</v>
      </c>
      <c r="BU203" s="2" t="s">
        <v>1396</v>
      </c>
      <c r="BV203" s="2" t="s">
        <v>107</v>
      </c>
      <c r="BW203" s="2" t="s">
        <v>108</v>
      </c>
      <c r="BX203" s="2" t="s">
        <v>139</v>
      </c>
      <c r="BY20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03" s="2">
        <f>IF(AND(Cases[[#This Row],[Priority Level]]&gt;=3,Cases[[#This Row],[System Role]]&lt;&gt;"Productive"),1,0)</f>
        <v>0</v>
      </c>
      <c r="CA203" s="2">
        <f>IFERROR(IF(Cases[[#This Row],[Days at Customer]]&gt;MAX(1,Cases[[#This Row],[Days at SAP]]*2),1,0),0)</f>
        <v>1</v>
      </c>
      <c r="CB203" s="2">
        <f>IF(AND(Cases[[#This Row],[Initial Component]]&lt;&gt;"",Cases[[#This Row],[Component]]&lt;&gt;"",Cases[[#This Row],[Initial Component]]&lt;&gt;Cases[[#This Row],[Component]]),1,0)</f>
        <v>0</v>
      </c>
      <c r="CC203" s="2">
        <f>IF(OR(Cases[[#This Row],[Is Reopened]]="X",Cases[[#This Row],[No. of Reopenings]]&gt;0),1,0)</f>
        <v>0</v>
      </c>
      <c r="CD203" s="2">
        <f>IF(Cases[[#This Row],[Confirmation Type]]="Automatic",1,0)</f>
        <v>1</v>
      </c>
      <c r="CE203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04" spans="1:83" x14ac:dyDescent="0.2">
      <c r="A204" s="1" t="s">
        <v>1397</v>
      </c>
      <c r="B204" s="2" t="s">
        <v>1398</v>
      </c>
      <c r="C204" s="2" t="s">
        <v>550</v>
      </c>
      <c r="D204" s="2" t="s">
        <v>238</v>
      </c>
      <c r="E204" s="3">
        <v>5.73</v>
      </c>
      <c r="F204" s="3">
        <v>22.96</v>
      </c>
      <c r="G204" s="2" t="s">
        <v>133</v>
      </c>
      <c r="H204" s="2" t="s">
        <v>324</v>
      </c>
      <c r="I204" s="3" t="s">
        <v>114</v>
      </c>
      <c r="J204" s="3">
        <v>78</v>
      </c>
      <c r="K204" s="2" t="s">
        <v>1399</v>
      </c>
      <c r="L204" s="4">
        <v>46082</v>
      </c>
      <c r="M204" s="4">
        <v>46078</v>
      </c>
      <c r="N204" s="2" t="s">
        <v>677</v>
      </c>
      <c r="O204" s="2" t="s">
        <v>181</v>
      </c>
      <c r="P204" s="2" t="s">
        <v>678</v>
      </c>
      <c r="Q204" s="2" t="s">
        <v>86</v>
      </c>
      <c r="R204" s="2" t="s">
        <v>552</v>
      </c>
      <c r="S204" s="4">
        <v>46049</v>
      </c>
      <c r="T204" s="2" t="s">
        <v>1334</v>
      </c>
      <c r="U204" s="2" t="s">
        <v>181</v>
      </c>
      <c r="V204" s="2" t="s">
        <v>1335</v>
      </c>
      <c r="W204" s="2" t="s">
        <v>86</v>
      </c>
      <c r="X204" s="2" t="s">
        <v>117</v>
      </c>
      <c r="Y204" s="3" t="s">
        <v>118</v>
      </c>
      <c r="Z204" s="3">
        <v>28.69</v>
      </c>
      <c r="AA204" s="2" t="s">
        <v>90</v>
      </c>
      <c r="AB204" s="2" t="s">
        <v>552</v>
      </c>
      <c r="AC204" s="2" t="s">
        <v>550</v>
      </c>
      <c r="AD204" t="str" cm="1">
        <f t="array" ref="AD20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204" s="2" t="s">
        <v>139</v>
      </c>
      <c r="AF204" s="2" t="s">
        <v>92</v>
      </c>
      <c r="AG204" s="2" t="s">
        <v>553</v>
      </c>
      <c r="AH204" s="2" t="s">
        <v>554</v>
      </c>
      <c r="AK204" s="2" t="s">
        <v>1400</v>
      </c>
      <c r="AN204" s="3">
        <v>1</v>
      </c>
      <c r="AO204" s="3">
        <v>1</v>
      </c>
      <c r="AP204" s="3">
        <v>1</v>
      </c>
      <c r="AQ204" s="3">
        <v>1</v>
      </c>
      <c r="AR204" s="3">
        <v>0</v>
      </c>
      <c r="AS204" s="3">
        <v>0</v>
      </c>
      <c r="AT204" s="3">
        <v>1</v>
      </c>
      <c r="AU204" s="3">
        <v>0</v>
      </c>
      <c r="AV204" s="3">
        <v>1</v>
      </c>
      <c r="AW204" s="3">
        <v>0</v>
      </c>
      <c r="AX204" s="3">
        <v>0</v>
      </c>
      <c r="AY204" s="3">
        <v>0</v>
      </c>
      <c r="AZ204" s="3">
        <v>1</v>
      </c>
      <c r="BA204" s="3">
        <v>0</v>
      </c>
      <c r="BB204" s="3">
        <v>0</v>
      </c>
      <c r="BC204" s="3">
        <v>1</v>
      </c>
      <c r="BD204" s="3">
        <v>0</v>
      </c>
      <c r="BE204" s="3">
        <v>0</v>
      </c>
      <c r="BG204" s="2" t="s">
        <v>139</v>
      </c>
      <c r="BH204" s="3">
        <v>2</v>
      </c>
      <c r="BJ204" s="2" t="s">
        <v>96</v>
      </c>
      <c r="BL204" s="2" t="s">
        <v>556</v>
      </c>
      <c r="BM204" s="2" t="s">
        <v>557</v>
      </c>
      <c r="BN204" s="2" t="s">
        <v>99</v>
      </c>
      <c r="BO204" s="2" t="s">
        <v>100</v>
      </c>
      <c r="BP204" s="2" t="s">
        <v>242</v>
      </c>
      <c r="BQ204" s="2" t="s">
        <v>102</v>
      </c>
      <c r="BR204" s="2" t="s">
        <v>103</v>
      </c>
      <c r="BS204" s="2" t="s">
        <v>127</v>
      </c>
      <c r="BT204" s="2" t="s">
        <v>1171</v>
      </c>
      <c r="BU204" s="2" t="s">
        <v>1172</v>
      </c>
      <c r="BV204" s="2" t="s">
        <v>150</v>
      </c>
      <c r="BW204" s="2" t="s">
        <v>151</v>
      </c>
      <c r="BX204" s="2" t="s">
        <v>139</v>
      </c>
      <c r="BY20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04" s="2">
        <f>IF(AND(Cases[[#This Row],[Priority Level]]&gt;=3,Cases[[#This Row],[System Role]]&lt;&gt;"Productive"),1,0)</f>
        <v>0</v>
      </c>
      <c r="CA204" s="2">
        <f>IFERROR(IF(Cases[[#This Row],[Days at Customer]]&gt;MAX(1,Cases[[#This Row],[Days at SAP]]*2),1,0),0)</f>
        <v>1</v>
      </c>
      <c r="CB204" s="2">
        <f>IF(AND(Cases[[#This Row],[Initial Component]]&lt;&gt;"",Cases[[#This Row],[Component]]&lt;&gt;"",Cases[[#This Row],[Initial Component]]&lt;&gt;Cases[[#This Row],[Component]]),1,0)</f>
        <v>0</v>
      </c>
      <c r="CC204" s="2">
        <f>IF(OR(Cases[[#This Row],[Is Reopened]]="X",Cases[[#This Row],[No. of Reopenings]]&gt;0),1,0)</f>
        <v>0</v>
      </c>
      <c r="CD204" s="2">
        <f>IF(Cases[[#This Row],[Confirmation Type]]="Automatic",1,0)</f>
        <v>1</v>
      </c>
      <c r="CE20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05" spans="1:83" x14ac:dyDescent="0.2">
      <c r="A205" s="1" t="s">
        <v>1401</v>
      </c>
      <c r="B205" s="2" t="s">
        <v>1402</v>
      </c>
      <c r="C205" s="2" t="s">
        <v>1403</v>
      </c>
      <c r="D205" s="2" t="s">
        <v>238</v>
      </c>
      <c r="E205" s="3">
        <v>6.06</v>
      </c>
      <c r="F205" s="3">
        <v>21.6</v>
      </c>
      <c r="G205" s="2" t="s">
        <v>79</v>
      </c>
      <c r="H205" s="2" t="s">
        <v>178</v>
      </c>
      <c r="I205" s="3" t="s">
        <v>114</v>
      </c>
      <c r="J205" s="3">
        <v>78</v>
      </c>
      <c r="K205" s="2" t="s">
        <v>1404</v>
      </c>
      <c r="L205" s="4">
        <v>46082</v>
      </c>
      <c r="M205" s="4">
        <v>46077</v>
      </c>
      <c r="N205" s="2" t="s">
        <v>677</v>
      </c>
      <c r="O205" s="2" t="s">
        <v>181</v>
      </c>
      <c r="P205" s="2" t="s">
        <v>678</v>
      </c>
      <c r="Q205" s="2" t="s">
        <v>86</v>
      </c>
      <c r="R205" s="2" t="s">
        <v>1405</v>
      </c>
      <c r="S205" s="4">
        <v>46049</v>
      </c>
      <c r="T205" s="2" t="s">
        <v>1334</v>
      </c>
      <c r="U205" s="2" t="s">
        <v>181</v>
      </c>
      <c r="V205" s="2" t="s">
        <v>1335</v>
      </c>
      <c r="W205" s="2" t="s">
        <v>86</v>
      </c>
      <c r="X205" s="2" t="s">
        <v>117</v>
      </c>
      <c r="Y205" s="3" t="s">
        <v>118</v>
      </c>
      <c r="Z205" s="3">
        <v>27.65</v>
      </c>
      <c r="AA205" s="2" t="s">
        <v>90</v>
      </c>
      <c r="AB205" s="2" t="s">
        <v>1406</v>
      </c>
      <c r="AC205" s="2" t="s">
        <v>1407</v>
      </c>
      <c r="AD205" t="str" cm="1">
        <f t="array" ref="AD20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205" s="2" t="s">
        <v>158</v>
      </c>
      <c r="AF205" s="2" t="s">
        <v>92</v>
      </c>
      <c r="AG205" s="2" t="s">
        <v>119</v>
      </c>
      <c r="AH205" s="2" t="s">
        <v>120</v>
      </c>
      <c r="AK205" s="2" t="s">
        <v>1408</v>
      </c>
      <c r="AN205" s="3">
        <v>1</v>
      </c>
      <c r="AO205" s="3">
        <v>1</v>
      </c>
      <c r="AP205" s="3">
        <v>1</v>
      </c>
      <c r="AQ205" s="3">
        <v>1</v>
      </c>
      <c r="AR205" s="3">
        <v>0</v>
      </c>
      <c r="AS205" s="3">
        <v>0</v>
      </c>
      <c r="AT205" s="3">
        <v>1</v>
      </c>
      <c r="AU205" s="3">
        <v>0</v>
      </c>
      <c r="AV205" s="3">
        <v>1</v>
      </c>
      <c r="AW205" s="3">
        <v>0</v>
      </c>
      <c r="AX205" s="3">
        <v>0</v>
      </c>
      <c r="AY205" s="3">
        <v>0</v>
      </c>
      <c r="AZ205" s="3">
        <v>1</v>
      </c>
      <c r="BA205" s="3">
        <v>0</v>
      </c>
      <c r="BB205" s="3">
        <v>0</v>
      </c>
      <c r="BC205" s="3">
        <v>1</v>
      </c>
      <c r="BD205" s="3">
        <v>0</v>
      </c>
      <c r="BE205" s="3">
        <v>0</v>
      </c>
      <c r="BG205" s="2" t="s">
        <v>139</v>
      </c>
      <c r="BH205" s="3">
        <v>2</v>
      </c>
      <c r="BJ205" s="2" t="s">
        <v>96</v>
      </c>
      <c r="BL205" s="2" t="s">
        <v>123</v>
      </c>
      <c r="BM205" s="2" t="s">
        <v>123</v>
      </c>
      <c r="BN205" s="2" t="s">
        <v>124</v>
      </c>
      <c r="BO205" s="2" t="s">
        <v>125</v>
      </c>
      <c r="BP205" s="2" t="s">
        <v>242</v>
      </c>
      <c r="BQ205" s="2" t="s">
        <v>124</v>
      </c>
      <c r="BR205" s="2" t="s">
        <v>126</v>
      </c>
      <c r="BS205" s="2" t="s">
        <v>127</v>
      </c>
      <c r="BT205" s="2" t="s">
        <v>174</v>
      </c>
      <c r="BU205" s="2" t="s">
        <v>175</v>
      </c>
      <c r="BV205" s="2" t="s">
        <v>150</v>
      </c>
      <c r="BW205" s="2" t="s">
        <v>151</v>
      </c>
      <c r="BX205" s="2" t="s">
        <v>139</v>
      </c>
      <c r="BY20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05" s="2">
        <f>IF(AND(Cases[[#This Row],[Priority Level]]&gt;=3,Cases[[#This Row],[System Role]]&lt;&gt;"Productive"),1,0)</f>
        <v>0</v>
      </c>
      <c r="CA205" s="2">
        <f>IFERROR(IF(Cases[[#This Row],[Days at Customer]]&gt;MAX(1,Cases[[#This Row],[Days at SAP]]*2),1,0),0)</f>
        <v>1</v>
      </c>
      <c r="CB205" s="2">
        <f>IF(AND(Cases[[#This Row],[Initial Component]]&lt;&gt;"",Cases[[#This Row],[Component]]&lt;&gt;"",Cases[[#This Row],[Initial Component]]&lt;&gt;Cases[[#This Row],[Component]]),1,0)</f>
        <v>1</v>
      </c>
      <c r="CC205" s="2">
        <f>IF(OR(Cases[[#This Row],[Is Reopened]]="X",Cases[[#This Row],[No. of Reopenings]]&gt;0),1,0)</f>
        <v>0</v>
      </c>
      <c r="CD205" s="2">
        <f>IF(Cases[[#This Row],[Confirmation Type]]="Automatic",1,0)</f>
        <v>1</v>
      </c>
      <c r="CE205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206" spans="1:83" x14ac:dyDescent="0.2">
      <c r="A206" s="1" t="s">
        <v>1409</v>
      </c>
      <c r="B206" s="2" t="s">
        <v>1410</v>
      </c>
      <c r="C206" s="2" t="s">
        <v>1411</v>
      </c>
      <c r="D206" s="2" t="s">
        <v>238</v>
      </c>
      <c r="E206" s="3">
        <v>0.2</v>
      </c>
      <c r="F206" s="3">
        <v>28.39</v>
      </c>
      <c r="G206" s="2" t="s">
        <v>190</v>
      </c>
      <c r="H206" s="2" t="s">
        <v>191</v>
      </c>
      <c r="I206" s="3" t="s">
        <v>81</v>
      </c>
      <c r="J206" s="3">
        <v>78</v>
      </c>
      <c r="K206" s="2" t="s">
        <v>1412</v>
      </c>
      <c r="L206" s="4">
        <v>46082</v>
      </c>
      <c r="M206" s="4">
        <v>46078</v>
      </c>
      <c r="N206" s="2" t="s">
        <v>677</v>
      </c>
      <c r="O206" s="2" t="s">
        <v>181</v>
      </c>
      <c r="P206" s="2" t="s">
        <v>678</v>
      </c>
      <c r="Q206" s="2" t="s">
        <v>86</v>
      </c>
      <c r="R206" s="2" t="s">
        <v>1413</v>
      </c>
      <c r="S206" s="4">
        <v>46049</v>
      </c>
      <c r="T206" s="2" t="s">
        <v>1334</v>
      </c>
      <c r="U206" s="2" t="s">
        <v>181</v>
      </c>
      <c r="V206" s="2" t="s">
        <v>1335</v>
      </c>
      <c r="W206" s="2" t="s">
        <v>86</v>
      </c>
      <c r="X206" s="2" t="s">
        <v>88</v>
      </c>
      <c r="Y206" s="3" t="s">
        <v>89</v>
      </c>
      <c r="Z206" s="3">
        <v>28.59</v>
      </c>
      <c r="AA206" s="2" t="s">
        <v>90</v>
      </c>
      <c r="AB206" s="2" t="s">
        <v>1413</v>
      </c>
      <c r="AC206" s="2" t="s">
        <v>1411</v>
      </c>
      <c r="AD206" t="str" cm="1">
        <f t="array" ref="AD20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206" s="2" t="s">
        <v>91</v>
      </c>
      <c r="AF206" s="2" t="s">
        <v>92</v>
      </c>
      <c r="AG206" s="2" t="s">
        <v>93</v>
      </c>
      <c r="AH206" s="2" t="s">
        <v>94</v>
      </c>
      <c r="AJ206" s="2" t="s">
        <v>122</v>
      </c>
      <c r="AK206" s="2" t="s">
        <v>1414</v>
      </c>
      <c r="AN206" s="3">
        <v>1</v>
      </c>
      <c r="AO206" s="3">
        <v>1</v>
      </c>
      <c r="AP206" s="3">
        <v>1</v>
      </c>
      <c r="AQ206" s="3">
        <v>1</v>
      </c>
      <c r="AR206" s="3">
        <v>1</v>
      </c>
      <c r="AS206" s="3">
        <v>0</v>
      </c>
      <c r="AT206" s="3">
        <v>0</v>
      </c>
      <c r="AU206" s="3">
        <v>0</v>
      </c>
      <c r="AV206" s="3">
        <v>1</v>
      </c>
      <c r="AW206" s="3">
        <v>0</v>
      </c>
      <c r="AX206" s="3">
        <v>1</v>
      </c>
      <c r="AY206" s="3">
        <v>0</v>
      </c>
      <c r="AZ206" s="3">
        <v>0</v>
      </c>
      <c r="BA206" s="3">
        <v>0</v>
      </c>
      <c r="BB206" s="3">
        <v>0</v>
      </c>
      <c r="BC206" s="3">
        <v>1</v>
      </c>
      <c r="BD206" s="3">
        <v>1</v>
      </c>
      <c r="BE206" s="3">
        <v>0</v>
      </c>
      <c r="BG206" s="2" t="s">
        <v>91</v>
      </c>
      <c r="BH206" s="3">
        <v>3</v>
      </c>
      <c r="BJ206" s="2" t="s">
        <v>96</v>
      </c>
      <c r="BL206" s="2" t="s">
        <v>184</v>
      </c>
      <c r="BM206" s="2" t="s">
        <v>184</v>
      </c>
      <c r="BN206" s="2" t="s">
        <v>124</v>
      </c>
      <c r="BO206" s="2" t="s">
        <v>125</v>
      </c>
      <c r="BP206" s="2" t="s">
        <v>242</v>
      </c>
      <c r="BQ206" s="2" t="s">
        <v>124</v>
      </c>
      <c r="BR206" s="2" t="s">
        <v>126</v>
      </c>
      <c r="BS206" s="2" t="s">
        <v>127</v>
      </c>
      <c r="BT206" s="2" t="s">
        <v>1415</v>
      </c>
      <c r="BU206" s="2" t="s">
        <v>1416</v>
      </c>
      <c r="BV206" s="2" t="s">
        <v>150</v>
      </c>
      <c r="BW206" s="2" t="s">
        <v>151</v>
      </c>
      <c r="BX206" s="2" t="s">
        <v>91</v>
      </c>
      <c r="BY20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06" s="2">
        <f>IF(AND(Cases[[#This Row],[Priority Level]]&gt;=3,Cases[[#This Row],[System Role]]&lt;&gt;"Productive"),1,0)</f>
        <v>0</v>
      </c>
      <c r="CA206" s="2">
        <f>IFERROR(IF(Cases[[#This Row],[Days at Customer]]&gt;MAX(1,Cases[[#This Row],[Days at SAP]]*2),1,0),0)</f>
        <v>1</v>
      </c>
      <c r="CB206" s="2">
        <f>IF(AND(Cases[[#This Row],[Initial Component]]&lt;&gt;"",Cases[[#This Row],[Component]]&lt;&gt;"",Cases[[#This Row],[Initial Component]]&lt;&gt;Cases[[#This Row],[Component]]),1,0)</f>
        <v>0</v>
      </c>
      <c r="CC206" s="2">
        <f>IF(OR(Cases[[#This Row],[Is Reopened]]="X",Cases[[#This Row],[No. of Reopenings]]&gt;0),1,0)</f>
        <v>1</v>
      </c>
      <c r="CD206" s="2">
        <f>IF(Cases[[#This Row],[Confirmation Type]]="Automatic",1,0)</f>
        <v>1</v>
      </c>
      <c r="CE20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07" spans="1:83" x14ac:dyDescent="0.2">
      <c r="A207" s="1" t="s">
        <v>1417</v>
      </c>
      <c r="B207" s="2" t="s">
        <v>1418</v>
      </c>
      <c r="C207" s="2" t="s">
        <v>231</v>
      </c>
      <c r="D207" s="2" t="s">
        <v>238</v>
      </c>
      <c r="E207" s="3">
        <v>2</v>
      </c>
      <c r="F207" s="3">
        <v>28.34</v>
      </c>
      <c r="G207" s="2" t="s">
        <v>79</v>
      </c>
      <c r="H207" s="2" t="s">
        <v>178</v>
      </c>
      <c r="I207" s="3" t="s">
        <v>114</v>
      </c>
      <c r="J207" s="3">
        <v>79</v>
      </c>
      <c r="K207" s="2" t="s">
        <v>1419</v>
      </c>
      <c r="L207" s="4">
        <v>46096</v>
      </c>
      <c r="M207" s="4">
        <v>46079</v>
      </c>
      <c r="N207" s="2" t="s">
        <v>677</v>
      </c>
      <c r="O207" s="2" t="s">
        <v>181</v>
      </c>
      <c r="P207" s="2" t="s">
        <v>678</v>
      </c>
      <c r="Q207" s="2" t="s">
        <v>86</v>
      </c>
      <c r="R207" s="2" t="s">
        <v>233</v>
      </c>
      <c r="S207" s="4">
        <v>46048</v>
      </c>
      <c r="T207" s="2" t="s">
        <v>1334</v>
      </c>
      <c r="U207" s="2" t="s">
        <v>181</v>
      </c>
      <c r="V207" s="2" t="s">
        <v>1335</v>
      </c>
      <c r="W207" s="2" t="s">
        <v>86</v>
      </c>
      <c r="X207" s="2" t="s">
        <v>117</v>
      </c>
      <c r="Y207" s="3" t="s">
        <v>118</v>
      </c>
      <c r="Z207" s="3">
        <v>30.35</v>
      </c>
      <c r="AA207" s="2" t="s">
        <v>90</v>
      </c>
      <c r="AB207" s="2" t="s">
        <v>233</v>
      </c>
      <c r="AC207" s="2" t="s">
        <v>231</v>
      </c>
      <c r="AD207" t="str" cm="1">
        <f t="array" ref="AD20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207" s="2" t="s">
        <v>91</v>
      </c>
      <c r="AF207" s="2" t="s">
        <v>998</v>
      </c>
      <c r="AG207" s="2" t="s">
        <v>119</v>
      </c>
      <c r="AH207" s="2" t="s">
        <v>120</v>
      </c>
      <c r="AK207" s="2" t="s">
        <v>1420</v>
      </c>
      <c r="AN207" s="3">
        <v>1</v>
      </c>
      <c r="AO207" s="3">
        <v>1</v>
      </c>
      <c r="AP207" s="3">
        <v>1</v>
      </c>
      <c r="AQ207" s="3">
        <v>1</v>
      </c>
      <c r="AR207" s="3">
        <v>1</v>
      </c>
      <c r="AS207" s="3">
        <v>0</v>
      </c>
      <c r="AT207" s="3">
        <v>0</v>
      </c>
      <c r="AU207" s="3">
        <v>0</v>
      </c>
      <c r="AV207" s="3">
        <v>1</v>
      </c>
      <c r="AW207" s="3">
        <v>0</v>
      </c>
      <c r="AX207" s="3">
        <v>1</v>
      </c>
      <c r="AY207" s="3">
        <v>0</v>
      </c>
      <c r="AZ207" s="3">
        <v>0</v>
      </c>
      <c r="BA207" s="3">
        <v>0</v>
      </c>
      <c r="BB207" s="3">
        <v>0</v>
      </c>
      <c r="BC207" s="3">
        <v>1</v>
      </c>
      <c r="BD207" s="3">
        <v>0</v>
      </c>
      <c r="BE207" s="3">
        <v>0</v>
      </c>
      <c r="BG207" s="2" t="s">
        <v>91</v>
      </c>
      <c r="BH207" s="3">
        <v>3</v>
      </c>
      <c r="BJ207" s="2" t="s">
        <v>96</v>
      </c>
      <c r="BL207" s="2" t="s">
        <v>123</v>
      </c>
      <c r="BM207" s="2" t="s">
        <v>123</v>
      </c>
      <c r="BN207" s="2" t="s">
        <v>124</v>
      </c>
      <c r="BO207" s="2" t="s">
        <v>125</v>
      </c>
      <c r="BP207" s="2" t="s">
        <v>242</v>
      </c>
      <c r="BQ207" s="2" t="s">
        <v>124</v>
      </c>
      <c r="BR207" s="2" t="s">
        <v>126</v>
      </c>
      <c r="BS207" s="2" t="s">
        <v>127</v>
      </c>
      <c r="BT207" s="2" t="s">
        <v>207</v>
      </c>
      <c r="BU207" s="2" t="s">
        <v>208</v>
      </c>
      <c r="BV207" s="2" t="s">
        <v>150</v>
      </c>
      <c r="BW207" s="2" t="s">
        <v>151</v>
      </c>
      <c r="BX207" s="2" t="s">
        <v>91</v>
      </c>
      <c r="BY20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07" s="2">
        <f>IF(AND(Cases[[#This Row],[Priority Level]]&gt;=3,Cases[[#This Row],[System Role]]&lt;&gt;"Productive"),1,0)</f>
        <v>0</v>
      </c>
      <c r="CA207" s="2">
        <f>IFERROR(IF(Cases[[#This Row],[Days at Customer]]&gt;MAX(1,Cases[[#This Row],[Days at SAP]]*2),1,0),0)</f>
        <v>1</v>
      </c>
      <c r="CB207" s="2">
        <f>IF(AND(Cases[[#This Row],[Initial Component]]&lt;&gt;"",Cases[[#This Row],[Component]]&lt;&gt;"",Cases[[#This Row],[Initial Component]]&lt;&gt;Cases[[#This Row],[Component]]),1,0)</f>
        <v>0</v>
      </c>
      <c r="CC207" s="2">
        <f>IF(OR(Cases[[#This Row],[Is Reopened]]="X",Cases[[#This Row],[No. of Reopenings]]&gt;0),1,0)</f>
        <v>0</v>
      </c>
      <c r="CD207" s="2">
        <f>IF(Cases[[#This Row],[Confirmation Type]]="Automatic",1,0)</f>
        <v>1</v>
      </c>
      <c r="CE20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08" spans="1:83" x14ac:dyDescent="0.2">
      <c r="A208" s="1" t="s">
        <v>1421</v>
      </c>
      <c r="B208" s="2" t="s">
        <v>1422</v>
      </c>
      <c r="C208" s="2" t="s">
        <v>1423</v>
      </c>
      <c r="D208" s="2" t="s">
        <v>238</v>
      </c>
      <c r="E208" s="3">
        <v>0.78</v>
      </c>
      <c r="F208" s="3">
        <v>21.5</v>
      </c>
      <c r="G208" s="2" t="s">
        <v>79</v>
      </c>
      <c r="H208" s="2" t="s">
        <v>80</v>
      </c>
      <c r="I208" s="3" t="s">
        <v>114</v>
      </c>
      <c r="J208" s="3">
        <v>79</v>
      </c>
      <c r="K208" s="2" t="s">
        <v>1424</v>
      </c>
      <c r="L208" s="4">
        <v>46096</v>
      </c>
      <c r="M208" s="4">
        <v>46071</v>
      </c>
      <c r="N208" s="2" t="s">
        <v>677</v>
      </c>
      <c r="O208" s="2" t="s">
        <v>181</v>
      </c>
      <c r="P208" s="2" t="s">
        <v>895</v>
      </c>
      <c r="Q208" s="2" t="s">
        <v>86</v>
      </c>
      <c r="R208" s="2" t="s">
        <v>1425</v>
      </c>
      <c r="S208" s="4">
        <v>46048</v>
      </c>
      <c r="T208" s="2" t="s">
        <v>1334</v>
      </c>
      <c r="U208" s="2" t="s">
        <v>181</v>
      </c>
      <c r="V208" s="2" t="s">
        <v>1335</v>
      </c>
      <c r="W208" s="2" t="s">
        <v>86</v>
      </c>
      <c r="X208" s="2" t="s">
        <v>117</v>
      </c>
      <c r="Y208" s="3" t="s">
        <v>118</v>
      </c>
      <c r="Z208" s="3">
        <v>22.28</v>
      </c>
      <c r="AA208" s="2" t="s">
        <v>90</v>
      </c>
      <c r="AB208" s="2" t="s">
        <v>351</v>
      </c>
      <c r="AC208" s="2" t="s">
        <v>352</v>
      </c>
      <c r="AD208" t="str" cm="1">
        <f t="array" ref="AD20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208" s="2" t="s">
        <v>91</v>
      </c>
      <c r="AF208" s="2" t="s">
        <v>92</v>
      </c>
      <c r="AG208" s="2" t="s">
        <v>159</v>
      </c>
      <c r="AH208" s="2" t="s">
        <v>160</v>
      </c>
      <c r="AK208" s="2" t="s">
        <v>1426</v>
      </c>
      <c r="AN208" s="3">
        <v>1</v>
      </c>
      <c r="AO208" s="3">
        <v>1</v>
      </c>
      <c r="AP208" s="3">
        <v>1</v>
      </c>
      <c r="AQ208" s="3">
        <v>1</v>
      </c>
      <c r="AR208" s="3">
        <v>1</v>
      </c>
      <c r="AS208" s="3">
        <v>0</v>
      </c>
      <c r="AT208" s="3">
        <v>0</v>
      </c>
      <c r="AU208" s="3">
        <v>0</v>
      </c>
      <c r="AV208" s="3">
        <v>1</v>
      </c>
      <c r="AW208" s="3">
        <v>0</v>
      </c>
      <c r="AX208" s="3">
        <v>1</v>
      </c>
      <c r="AY208" s="3">
        <v>0</v>
      </c>
      <c r="AZ208" s="3">
        <v>0</v>
      </c>
      <c r="BA208" s="3">
        <v>0</v>
      </c>
      <c r="BB208" s="3">
        <v>0</v>
      </c>
      <c r="BC208" s="3">
        <v>1</v>
      </c>
      <c r="BD208" s="3">
        <v>0</v>
      </c>
      <c r="BE208" s="3">
        <v>0</v>
      </c>
      <c r="BG208" s="2" t="s">
        <v>91</v>
      </c>
      <c r="BH208" s="3">
        <v>3</v>
      </c>
      <c r="BJ208" s="2" t="s">
        <v>96</v>
      </c>
      <c r="BL208" s="2" t="s">
        <v>97</v>
      </c>
      <c r="BM208" s="2" t="s">
        <v>98</v>
      </c>
      <c r="BN208" s="2" t="s">
        <v>99</v>
      </c>
      <c r="BO208" s="2" t="s">
        <v>100</v>
      </c>
      <c r="BP208" s="2" t="s">
        <v>242</v>
      </c>
      <c r="BQ208" s="2" t="s">
        <v>102</v>
      </c>
      <c r="BR208" s="2" t="s">
        <v>103</v>
      </c>
      <c r="BS208" s="2" t="s">
        <v>127</v>
      </c>
      <c r="BT208" s="2" t="s">
        <v>1427</v>
      </c>
      <c r="BU208" s="2" t="s">
        <v>1428</v>
      </c>
      <c r="BV208" s="2" t="s">
        <v>150</v>
      </c>
      <c r="BW208" s="2" t="s">
        <v>151</v>
      </c>
      <c r="BX208" s="2" t="s">
        <v>91</v>
      </c>
      <c r="BY20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08" s="2">
        <f>IF(AND(Cases[[#This Row],[Priority Level]]&gt;=3,Cases[[#This Row],[System Role]]&lt;&gt;"Productive"),1,0)</f>
        <v>0</v>
      </c>
      <c r="CA208" s="2">
        <f>IFERROR(IF(Cases[[#This Row],[Days at Customer]]&gt;MAX(1,Cases[[#This Row],[Days at SAP]]*2),1,0),0)</f>
        <v>1</v>
      </c>
      <c r="CB208" s="2">
        <f>IF(AND(Cases[[#This Row],[Initial Component]]&lt;&gt;"",Cases[[#This Row],[Component]]&lt;&gt;"",Cases[[#This Row],[Initial Component]]&lt;&gt;Cases[[#This Row],[Component]]),1,0)</f>
        <v>1</v>
      </c>
      <c r="CC208" s="2">
        <f>IF(OR(Cases[[#This Row],[Is Reopened]]="X",Cases[[#This Row],[No. of Reopenings]]&gt;0),1,0)</f>
        <v>0</v>
      </c>
      <c r="CD208" s="2">
        <f>IF(Cases[[#This Row],[Confirmation Type]]="Automatic",1,0)</f>
        <v>1</v>
      </c>
      <c r="CE208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09" spans="1:83" x14ac:dyDescent="0.2">
      <c r="A209" s="1" t="s">
        <v>1429</v>
      </c>
      <c r="B209" s="2" t="s">
        <v>1430</v>
      </c>
      <c r="C209" s="2" t="s">
        <v>843</v>
      </c>
      <c r="D209" s="2" t="s">
        <v>238</v>
      </c>
      <c r="E209" s="3">
        <v>2.74</v>
      </c>
      <c r="F209" s="3">
        <v>23.18</v>
      </c>
      <c r="G209" s="2" t="s">
        <v>79</v>
      </c>
      <c r="H209" s="2" t="s">
        <v>80</v>
      </c>
      <c r="I209" s="3" t="s">
        <v>114</v>
      </c>
      <c r="J209" s="3">
        <v>81</v>
      </c>
      <c r="K209" s="2" t="s">
        <v>1431</v>
      </c>
      <c r="L209" s="4">
        <v>46075</v>
      </c>
      <c r="M209" s="4">
        <v>46072</v>
      </c>
      <c r="N209" s="2" t="s">
        <v>677</v>
      </c>
      <c r="O209" s="2" t="s">
        <v>181</v>
      </c>
      <c r="P209" s="2" t="s">
        <v>895</v>
      </c>
      <c r="Q209" s="2" t="s">
        <v>86</v>
      </c>
      <c r="R209" s="2" t="s">
        <v>842</v>
      </c>
      <c r="S209" s="4">
        <v>46046</v>
      </c>
      <c r="T209" s="2" t="s">
        <v>1334</v>
      </c>
      <c r="U209" s="2" t="s">
        <v>181</v>
      </c>
      <c r="V209" s="2" t="s">
        <v>83</v>
      </c>
      <c r="W209" s="2" t="s">
        <v>86</v>
      </c>
      <c r="X209" s="2" t="s">
        <v>117</v>
      </c>
      <c r="Y209" s="3" t="s">
        <v>118</v>
      </c>
      <c r="Z209" s="3">
        <v>25.92</v>
      </c>
      <c r="AA209" s="2" t="s">
        <v>138</v>
      </c>
      <c r="AB209" s="2" t="s">
        <v>842</v>
      </c>
      <c r="AC209" s="2" t="s">
        <v>843</v>
      </c>
      <c r="AD209" t="str" cm="1">
        <f t="array" ref="AD20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209" s="2" t="s">
        <v>139</v>
      </c>
      <c r="AF209" s="2" t="s">
        <v>92</v>
      </c>
      <c r="AG209" s="2" t="s">
        <v>274</v>
      </c>
      <c r="AH209" s="2" t="s">
        <v>275</v>
      </c>
      <c r="AJ209" s="2" t="s">
        <v>122</v>
      </c>
      <c r="AK209" s="2" t="s">
        <v>1432</v>
      </c>
      <c r="AN209" s="3">
        <v>1</v>
      </c>
      <c r="AO209" s="3">
        <v>1</v>
      </c>
      <c r="AP209" s="3">
        <v>1</v>
      </c>
      <c r="AQ209" s="3">
        <v>1</v>
      </c>
      <c r="AR209" s="3">
        <v>0</v>
      </c>
      <c r="AS209" s="3">
        <v>0</v>
      </c>
      <c r="AT209" s="3">
        <v>1</v>
      </c>
      <c r="AU209" s="3">
        <v>0</v>
      </c>
      <c r="AV209" s="3">
        <v>1</v>
      </c>
      <c r="AW209" s="3">
        <v>0</v>
      </c>
      <c r="AX209" s="3">
        <v>0</v>
      </c>
      <c r="AY209" s="3">
        <v>0</v>
      </c>
      <c r="AZ209" s="3">
        <v>1</v>
      </c>
      <c r="BA209" s="3">
        <v>0</v>
      </c>
      <c r="BB209" s="3">
        <v>0</v>
      </c>
      <c r="BC209" s="3">
        <v>1</v>
      </c>
      <c r="BD209" s="3">
        <v>1</v>
      </c>
      <c r="BE209" s="3">
        <v>0</v>
      </c>
      <c r="BG209" s="2" t="s">
        <v>139</v>
      </c>
      <c r="BH209" s="3">
        <v>2</v>
      </c>
      <c r="BJ209" s="2" t="s">
        <v>96</v>
      </c>
      <c r="BL209" s="2" t="s">
        <v>845</v>
      </c>
      <c r="BM209" s="2" t="s">
        <v>846</v>
      </c>
      <c r="BN209" s="2" t="s">
        <v>279</v>
      </c>
      <c r="BO209" s="2" t="s">
        <v>280</v>
      </c>
      <c r="BP209" s="2" t="s">
        <v>242</v>
      </c>
      <c r="BQ209" s="2" t="s">
        <v>448</v>
      </c>
      <c r="BR209" s="2" t="s">
        <v>449</v>
      </c>
      <c r="BS209" s="2" t="s">
        <v>450</v>
      </c>
      <c r="BT209" s="2" t="s">
        <v>148</v>
      </c>
      <c r="BU209" s="2" t="s">
        <v>847</v>
      </c>
      <c r="BV209" s="2" t="s">
        <v>150</v>
      </c>
      <c r="BW209" s="2" t="s">
        <v>151</v>
      </c>
      <c r="BX209" s="2" t="s">
        <v>139</v>
      </c>
      <c r="BY20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09" s="2">
        <f>IF(AND(Cases[[#This Row],[Priority Level]]&gt;=3,Cases[[#This Row],[System Role]]&lt;&gt;"Productive"),1,0)</f>
        <v>0</v>
      </c>
      <c r="CA209" s="2">
        <f>IFERROR(IF(Cases[[#This Row],[Days at Customer]]&gt;MAX(1,Cases[[#This Row],[Days at SAP]]*2),1,0),0)</f>
        <v>1</v>
      </c>
      <c r="CB209" s="2">
        <f>IF(AND(Cases[[#This Row],[Initial Component]]&lt;&gt;"",Cases[[#This Row],[Component]]&lt;&gt;"",Cases[[#This Row],[Initial Component]]&lt;&gt;Cases[[#This Row],[Component]]),1,0)</f>
        <v>0</v>
      </c>
      <c r="CC209" s="2">
        <f>IF(OR(Cases[[#This Row],[Is Reopened]]="X",Cases[[#This Row],[No. of Reopenings]]&gt;0),1,0)</f>
        <v>1</v>
      </c>
      <c r="CD209" s="2">
        <f>IF(Cases[[#This Row],[Confirmation Type]]="Automatic",1,0)</f>
        <v>1</v>
      </c>
      <c r="CE209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10" spans="1:83" x14ac:dyDescent="0.2">
      <c r="A210" s="1" t="s">
        <v>1433</v>
      </c>
      <c r="B210" s="2" t="s">
        <v>1434</v>
      </c>
      <c r="C210" s="2" t="s">
        <v>633</v>
      </c>
      <c r="D210" s="2" t="s">
        <v>238</v>
      </c>
      <c r="E210" s="3">
        <v>4.62</v>
      </c>
      <c r="F210" s="3">
        <v>22.89</v>
      </c>
      <c r="G210" s="2" t="s">
        <v>190</v>
      </c>
      <c r="H210" s="2" t="s">
        <v>308</v>
      </c>
      <c r="I210" s="3" t="s">
        <v>114</v>
      </c>
      <c r="J210" s="3">
        <v>82</v>
      </c>
      <c r="K210" s="2" t="s">
        <v>1435</v>
      </c>
      <c r="L210" s="4">
        <v>46075</v>
      </c>
      <c r="M210" s="4">
        <v>46073</v>
      </c>
      <c r="N210" s="2" t="s">
        <v>677</v>
      </c>
      <c r="O210" s="2" t="s">
        <v>181</v>
      </c>
      <c r="P210" s="2" t="s">
        <v>895</v>
      </c>
      <c r="Q210" s="2" t="s">
        <v>86</v>
      </c>
      <c r="R210" s="2" t="s">
        <v>635</v>
      </c>
      <c r="S210" s="4">
        <v>46045</v>
      </c>
      <c r="T210" s="2" t="s">
        <v>1334</v>
      </c>
      <c r="U210" s="2" t="s">
        <v>181</v>
      </c>
      <c r="V210" s="2" t="s">
        <v>83</v>
      </c>
      <c r="W210" s="2" t="s">
        <v>86</v>
      </c>
      <c r="X210" s="2" t="s">
        <v>117</v>
      </c>
      <c r="Y210" s="3" t="s">
        <v>118</v>
      </c>
      <c r="Z210" s="3">
        <v>27.52</v>
      </c>
      <c r="AA210" s="2" t="s">
        <v>90</v>
      </c>
      <c r="AB210" s="2" t="s">
        <v>292</v>
      </c>
      <c r="AC210" s="2" t="s">
        <v>289</v>
      </c>
      <c r="AD210" t="str" cm="1">
        <f t="array" ref="AD21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210" s="2" t="s">
        <v>91</v>
      </c>
      <c r="AF210" s="2" t="s">
        <v>92</v>
      </c>
      <c r="AG210" s="2" t="s">
        <v>119</v>
      </c>
      <c r="AH210" s="2" t="s">
        <v>120</v>
      </c>
      <c r="AK210" s="2" t="s">
        <v>1436</v>
      </c>
      <c r="AN210" s="3">
        <v>1</v>
      </c>
      <c r="AO210" s="3">
        <v>1</v>
      </c>
      <c r="AP210" s="3">
        <v>1</v>
      </c>
      <c r="AQ210" s="3">
        <v>1</v>
      </c>
      <c r="AR210" s="3">
        <v>1</v>
      </c>
      <c r="AS210" s="3">
        <v>0</v>
      </c>
      <c r="AT210" s="3">
        <v>0</v>
      </c>
      <c r="AU210" s="3">
        <v>0</v>
      </c>
      <c r="AV210" s="3">
        <v>1</v>
      </c>
      <c r="AW210" s="3">
        <v>0</v>
      </c>
      <c r="AX210" s="3">
        <v>1</v>
      </c>
      <c r="AY210" s="3">
        <v>0</v>
      </c>
      <c r="AZ210" s="3">
        <v>0</v>
      </c>
      <c r="BA210" s="3">
        <v>0</v>
      </c>
      <c r="BB210" s="3">
        <v>0</v>
      </c>
      <c r="BC210" s="3">
        <v>1</v>
      </c>
      <c r="BD210" s="3">
        <v>0</v>
      </c>
      <c r="BE210" s="3">
        <v>0</v>
      </c>
      <c r="BG210" s="2" t="s">
        <v>91</v>
      </c>
      <c r="BH210" s="3">
        <v>3</v>
      </c>
      <c r="BJ210" s="2" t="s">
        <v>96</v>
      </c>
      <c r="BL210" s="2" t="s">
        <v>123</v>
      </c>
      <c r="BM210" s="2" t="s">
        <v>123</v>
      </c>
      <c r="BN210" s="2" t="s">
        <v>124</v>
      </c>
      <c r="BO210" s="2" t="s">
        <v>125</v>
      </c>
      <c r="BP210" s="2" t="s">
        <v>242</v>
      </c>
      <c r="BQ210" s="2" t="s">
        <v>124</v>
      </c>
      <c r="BR210" s="2" t="s">
        <v>126</v>
      </c>
      <c r="BS210" s="2" t="s">
        <v>127</v>
      </c>
      <c r="BT210" s="2" t="s">
        <v>207</v>
      </c>
      <c r="BU210" s="2" t="s">
        <v>208</v>
      </c>
      <c r="BV210" s="2" t="s">
        <v>150</v>
      </c>
      <c r="BW210" s="2" t="s">
        <v>151</v>
      </c>
      <c r="BX210" s="2" t="s">
        <v>91</v>
      </c>
      <c r="BY21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10" s="2">
        <f>IF(AND(Cases[[#This Row],[Priority Level]]&gt;=3,Cases[[#This Row],[System Role]]&lt;&gt;"Productive"),1,0)</f>
        <v>0</v>
      </c>
      <c r="CA210" s="2">
        <f>IFERROR(IF(Cases[[#This Row],[Days at Customer]]&gt;MAX(1,Cases[[#This Row],[Days at SAP]]*2),1,0),0)</f>
        <v>1</v>
      </c>
      <c r="CB210" s="2">
        <f>IF(AND(Cases[[#This Row],[Initial Component]]&lt;&gt;"",Cases[[#This Row],[Component]]&lt;&gt;"",Cases[[#This Row],[Initial Component]]&lt;&gt;Cases[[#This Row],[Component]]),1,0)</f>
        <v>1</v>
      </c>
      <c r="CC210" s="2">
        <f>IF(OR(Cases[[#This Row],[Is Reopened]]="X",Cases[[#This Row],[No. of Reopenings]]&gt;0),1,0)</f>
        <v>0</v>
      </c>
      <c r="CD210" s="2">
        <f>IF(Cases[[#This Row],[Confirmation Type]]="Automatic",1,0)</f>
        <v>1</v>
      </c>
      <c r="CE21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11" spans="1:83" x14ac:dyDescent="0.2">
      <c r="A211" s="1" t="s">
        <v>1437</v>
      </c>
      <c r="B211" s="2" t="s">
        <v>1438</v>
      </c>
      <c r="C211" s="2" t="s">
        <v>1122</v>
      </c>
      <c r="D211" s="2" t="s">
        <v>238</v>
      </c>
      <c r="E211" s="3">
        <v>2.91</v>
      </c>
      <c r="F211" s="3">
        <v>21.5</v>
      </c>
      <c r="G211" s="2" t="s">
        <v>79</v>
      </c>
      <c r="H211" s="2" t="s">
        <v>290</v>
      </c>
      <c r="I211" s="3" t="s">
        <v>114</v>
      </c>
      <c r="J211" s="3">
        <v>82</v>
      </c>
      <c r="K211" s="2" t="s">
        <v>1439</v>
      </c>
      <c r="L211" s="4">
        <v>46075</v>
      </c>
      <c r="M211" s="4">
        <v>46069</v>
      </c>
      <c r="N211" s="2" t="s">
        <v>677</v>
      </c>
      <c r="O211" s="2" t="s">
        <v>181</v>
      </c>
      <c r="P211" s="2" t="s">
        <v>895</v>
      </c>
      <c r="Q211" s="2" t="s">
        <v>86</v>
      </c>
      <c r="R211" s="2" t="s">
        <v>1124</v>
      </c>
      <c r="S211" s="4">
        <v>46045</v>
      </c>
      <c r="T211" s="2" t="s">
        <v>1334</v>
      </c>
      <c r="U211" s="2" t="s">
        <v>181</v>
      </c>
      <c r="V211" s="2" t="s">
        <v>83</v>
      </c>
      <c r="W211" s="2" t="s">
        <v>86</v>
      </c>
      <c r="X211" s="2" t="s">
        <v>117</v>
      </c>
      <c r="Y211" s="3" t="s">
        <v>118</v>
      </c>
      <c r="Z211" s="3">
        <v>24.41</v>
      </c>
      <c r="AA211" s="2" t="s">
        <v>90</v>
      </c>
      <c r="AB211" s="2" t="s">
        <v>1440</v>
      </c>
      <c r="AC211" s="2" t="s">
        <v>1441</v>
      </c>
      <c r="AD211" t="str" cm="1">
        <f t="array" ref="AD21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211" s="2" t="s">
        <v>91</v>
      </c>
      <c r="AF211" s="2" t="s">
        <v>92</v>
      </c>
      <c r="AG211" s="2" t="s">
        <v>119</v>
      </c>
      <c r="AH211" s="2" t="s">
        <v>120</v>
      </c>
      <c r="AK211" s="2" t="s">
        <v>1442</v>
      </c>
      <c r="AN211" s="3">
        <v>1</v>
      </c>
      <c r="AO211" s="3">
        <v>1</v>
      </c>
      <c r="AP211" s="3">
        <v>1</v>
      </c>
      <c r="AQ211" s="3">
        <v>1</v>
      </c>
      <c r="AR211" s="3">
        <v>1</v>
      </c>
      <c r="AS211" s="3">
        <v>0</v>
      </c>
      <c r="AT211" s="3">
        <v>0</v>
      </c>
      <c r="AU211" s="3">
        <v>0</v>
      </c>
      <c r="AV211" s="3">
        <v>1</v>
      </c>
      <c r="AW211" s="3">
        <v>0</v>
      </c>
      <c r="AX211" s="3">
        <v>1</v>
      </c>
      <c r="AY211" s="3">
        <v>0</v>
      </c>
      <c r="AZ211" s="3">
        <v>0</v>
      </c>
      <c r="BA211" s="3">
        <v>0</v>
      </c>
      <c r="BB211" s="3">
        <v>0</v>
      </c>
      <c r="BC211" s="3">
        <v>1</v>
      </c>
      <c r="BD211" s="3">
        <v>0</v>
      </c>
      <c r="BE211" s="3">
        <v>0</v>
      </c>
      <c r="BG211" s="2" t="s">
        <v>91</v>
      </c>
      <c r="BH211" s="3">
        <v>3</v>
      </c>
      <c r="BJ211" s="2" t="s">
        <v>96</v>
      </c>
      <c r="BL211" s="2" t="s">
        <v>123</v>
      </c>
      <c r="BM211" s="2" t="s">
        <v>123</v>
      </c>
      <c r="BN211" s="2" t="s">
        <v>124</v>
      </c>
      <c r="BO211" s="2" t="s">
        <v>125</v>
      </c>
      <c r="BP211" s="2" t="s">
        <v>242</v>
      </c>
      <c r="BQ211" s="2" t="s">
        <v>124</v>
      </c>
      <c r="BR211" s="2" t="s">
        <v>126</v>
      </c>
      <c r="BS211" s="2" t="s">
        <v>127</v>
      </c>
      <c r="BT211" s="2" t="s">
        <v>207</v>
      </c>
      <c r="BU211" s="2" t="s">
        <v>208</v>
      </c>
      <c r="BV211" s="2" t="s">
        <v>150</v>
      </c>
      <c r="BW211" s="2" t="s">
        <v>151</v>
      </c>
      <c r="BX211" s="2" t="s">
        <v>91</v>
      </c>
      <c r="BY21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11" s="2">
        <f>IF(AND(Cases[[#This Row],[Priority Level]]&gt;=3,Cases[[#This Row],[System Role]]&lt;&gt;"Productive"),1,0)</f>
        <v>0</v>
      </c>
      <c r="CA211" s="2">
        <f>IFERROR(IF(Cases[[#This Row],[Days at Customer]]&gt;MAX(1,Cases[[#This Row],[Days at SAP]]*2),1,0),0)</f>
        <v>1</v>
      </c>
      <c r="CB211" s="2">
        <f>IF(AND(Cases[[#This Row],[Initial Component]]&lt;&gt;"",Cases[[#This Row],[Component]]&lt;&gt;"",Cases[[#This Row],[Initial Component]]&lt;&gt;Cases[[#This Row],[Component]]),1,0)</f>
        <v>1</v>
      </c>
      <c r="CC211" s="2">
        <f>IF(OR(Cases[[#This Row],[Is Reopened]]="X",Cases[[#This Row],[No. of Reopenings]]&gt;0),1,0)</f>
        <v>0</v>
      </c>
      <c r="CD211" s="2">
        <f>IF(Cases[[#This Row],[Confirmation Type]]="Automatic",1,0)</f>
        <v>1</v>
      </c>
      <c r="CE211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212" spans="1:83" x14ac:dyDescent="0.2">
      <c r="A212" s="1" t="s">
        <v>1443</v>
      </c>
      <c r="B212" s="2" t="s">
        <v>1444</v>
      </c>
      <c r="C212" s="2" t="s">
        <v>1445</v>
      </c>
      <c r="D212" s="2" t="s">
        <v>238</v>
      </c>
      <c r="E212" s="3">
        <v>2.99</v>
      </c>
      <c r="F212" s="3">
        <v>21.47</v>
      </c>
      <c r="G212" s="2" t="s">
        <v>133</v>
      </c>
      <c r="H212" s="2" t="s">
        <v>324</v>
      </c>
      <c r="I212" s="3" t="s">
        <v>114</v>
      </c>
      <c r="J212" s="3">
        <v>82</v>
      </c>
      <c r="K212" s="2" t="s">
        <v>1446</v>
      </c>
      <c r="L212" s="4">
        <v>46075</v>
      </c>
      <c r="M212" s="4">
        <v>46069</v>
      </c>
      <c r="N212" s="2" t="s">
        <v>677</v>
      </c>
      <c r="O212" s="2" t="s">
        <v>181</v>
      </c>
      <c r="P212" s="2" t="s">
        <v>895</v>
      </c>
      <c r="Q212" s="2" t="s">
        <v>86</v>
      </c>
      <c r="R212" s="2" t="s">
        <v>1447</v>
      </c>
      <c r="S212" s="4">
        <v>46045</v>
      </c>
      <c r="T212" s="2" t="s">
        <v>1334</v>
      </c>
      <c r="U212" s="2" t="s">
        <v>181</v>
      </c>
      <c r="V212" s="2" t="s">
        <v>83</v>
      </c>
      <c r="W212" s="2" t="s">
        <v>86</v>
      </c>
      <c r="X212" s="2" t="s">
        <v>117</v>
      </c>
      <c r="Y212" s="3" t="s">
        <v>118</v>
      </c>
      <c r="Z212" s="3">
        <v>24.46</v>
      </c>
      <c r="AA212" s="2" t="s">
        <v>90</v>
      </c>
      <c r="AB212" s="2" t="s">
        <v>1448</v>
      </c>
      <c r="AC212" s="2" t="s">
        <v>1449</v>
      </c>
      <c r="AD212" t="str" cm="1">
        <f t="array" ref="AD21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212" s="2" t="s">
        <v>139</v>
      </c>
      <c r="AF212" s="2" t="s">
        <v>92</v>
      </c>
      <c r="AG212" s="2" t="s">
        <v>119</v>
      </c>
      <c r="AH212" s="2" t="s">
        <v>120</v>
      </c>
      <c r="AK212" s="2" t="s">
        <v>1450</v>
      </c>
      <c r="AN212" s="3">
        <v>1</v>
      </c>
      <c r="AO212" s="3">
        <v>1</v>
      </c>
      <c r="AP212" s="3">
        <v>1</v>
      </c>
      <c r="AQ212" s="3">
        <v>1</v>
      </c>
      <c r="AR212" s="3">
        <v>0</v>
      </c>
      <c r="AS212" s="3">
        <v>0</v>
      </c>
      <c r="AT212" s="3">
        <v>1</v>
      </c>
      <c r="AU212" s="3">
        <v>0</v>
      </c>
      <c r="AV212" s="3">
        <v>1</v>
      </c>
      <c r="AW212" s="3">
        <v>0</v>
      </c>
      <c r="AX212" s="3">
        <v>0</v>
      </c>
      <c r="AY212" s="3">
        <v>0</v>
      </c>
      <c r="AZ212" s="3">
        <v>1</v>
      </c>
      <c r="BA212" s="3">
        <v>1</v>
      </c>
      <c r="BB212" s="3">
        <v>0</v>
      </c>
      <c r="BC212" s="3">
        <v>0</v>
      </c>
      <c r="BD212" s="3">
        <v>0</v>
      </c>
      <c r="BE212" s="3">
        <v>0</v>
      </c>
      <c r="BG212" s="2" t="s">
        <v>139</v>
      </c>
      <c r="BH212" s="3">
        <v>2</v>
      </c>
      <c r="BJ212" s="2" t="s">
        <v>96</v>
      </c>
      <c r="BL212" s="2" t="s">
        <v>123</v>
      </c>
      <c r="BM212" s="2" t="s">
        <v>123</v>
      </c>
      <c r="BN212" s="2" t="s">
        <v>124</v>
      </c>
      <c r="BO212" s="2" t="s">
        <v>125</v>
      </c>
      <c r="BP212" s="2" t="s">
        <v>242</v>
      </c>
      <c r="BQ212" s="2" t="s">
        <v>124</v>
      </c>
      <c r="BR212" s="2" t="s">
        <v>126</v>
      </c>
      <c r="BS212" s="2" t="s">
        <v>127</v>
      </c>
      <c r="BT212" s="2" t="s">
        <v>872</v>
      </c>
      <c r="BU212" s="2" t="s">
        <v>873</v>
      </c>
      <c r="BV212" s="2" t="s">
        <v>166</v>
      </c>
      <c r="BW212" s="2" t="s">
        <v>167</v>
      </c>
      <c r="BX212" s="2" t="s">
        <v>139</v>
      </c>
      <c r="BY21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12" s="2">
        <f>IF(AND(Cases[[#This Row],[Priority Level]]&gt;=3,Cases[[#This Row],[System Role]]&lt;&gt;"Productive"),1,0)</f>
        <v>0</v>
      </c>
      <c r="CA212" s="2">
        <f>IFERROR(IF(Cases[[#This Row],[Days at Customer]]&gt;MAX(1,Cases[[#This Row],[Days at SAP]]*2),1,0),0)</f>
        <v>1</v>
      </c>
      <c r="CB212" s="2">
        <f>IF(AND(Cases[[#This Row],[Initial Component]]&lt;&gt;"",Cases[[#This Row],[Component]]&lt;&gt;"",Cases[[#This Row],[Initial Component]]&lt;&gt;Cases[[#This Row],[Component]]),1,0)</f>
        <v>1</v>
      </c>
      <c r="CC212" s="2">
        <f>IF(OR(Cases[[#This Row],[Is Reopened]]="X",Cases[[#This Row],[No. of Reopenings]]&gt;0),1,0)</f>
        <v>0</v>
      </c>
      <c r="CD212" s="2">
        <f>IF(Cases[[#This Row],[Confirmation Type]]="Automatic",1,0)</f>
        <v>1</v>
      </c>
      <c r="CE212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13" spans="1:83" x14ac:dyDescent="0.2">
      <c r="A213" s="1" t="s">
        <v>1451</v>
      </c>
      <c r="B213" s="2" t="s">
        <v>1452</v>
      </c>
      <c r="C213" s="2" t="s">
        <v>1453</v>
      </c>
      <c r="D213" s="2" t="s">
        <v>238</v>
      </c>
      <c r="E213" s="3">
        <v>0.42</v>
      </c>
      <c r="F213" s="3">
        <v>21.44</v>
      </c>
      <c r="G213" s="2" t="s">
        <v>133</v>
      </c>
      <c r="H213" s="2" t="s">
        <v>324</v>
      </c>
      <c r="I213" s="3" t="s">
        <v>114</v>
      </c>
      <c r="J213" s="3">
        <v>83</v>
      </c>
      <c r="K213" s="2" t="s">
        <v>1454</v>
      </c>
      <c r="L213" s="4">
        <v>46075</v>
      </c>
      <c r="M213" s="4">
        <v>46066</v>
      </c>
      <c r="N213" s="2" t="s">
        <v>677</v>
      </c>
      <c r="O213" s="2" t="s">
        <v>181</v>
      </c>
      <c r="P213" s="2" t="s">
        <v>1079</v>
      </c>
      <c r="Q213" s="2" t="s">
        <v>86</v>
      </c>
      <c r="R213" s="2" t="s">
        <v>1455</v>
      </c>
      <c r="S213" s="4">
        <v>46044</v>
      </c>
      <c r="T213" s="2" t="s">
        <v>1334</v>
      </c>
      <c r="U213" s="2" t="s">
        <v>181</v>
      </c>
      <c r="V213" s="2" t="s">
        <v>83</v>
      </c>
      <c r="W213" s="2" t="s">
        <v>86</v>
      </c>
      <c r="X213" s="2" t="s">
        <v>117</v>
      </c>
      <c r="Y213" s="3" t="s">
        <v>118</v>
      </c>
      <c r="Z213" s="3">
        <v>21.86</v>
      </c>
      <c r="AA213" s="2" t="s">
        <v>90</v>
      </c>
      <c r="AB213" s="2" t="s">
        <v>1455</v>
      </c>
      <c r="AC213" s="2" t="s">
        <v>1453</v>
      </c>
      <c r="AD213" t="str" cm="1">
        <f t="array" ref="AD21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213" s="2" t="s">
        <v>139</v>
      </c>
      <c r="AF213" s="2" t="s">
        <v>998</v>
      </c>
      <c r="AG213" s="2" t="s">
        <v>119</v>
      </c>
      <c r="AH213" s="2" t="s">
        <v>120</v>
      </c>
      <c r="AK213" s="2" t="s">
        <v>1456</v>
      </c>
      <c r="AN213" s="3">
        <v>1</v>
      </c>
      <c r="AO213" s="3">
        <v>1</v>
      </c>
      <c r="AP213" s="3">
        <v>1</v>
      </c>
      <c r="AQ213" s="3">
        <v>1</v>
      </c>
      <c r="AR213" s="3">
        <v>0</v>
      </c>
      <c r="AS213" s="3">
        <v>0</v>
      </c>
      <c r="AT213" s="3">
        <v>1</v>
      </c>
      <c r="AU213" s="3">
        <v>0</v>
      </c>
      <c r="AV213" s="3">
        <v>1</v>
      </c>
      <c r="AW213" s="3">
        <v>0</v>
      </c>
      <c r="AX213" s="3">
        <v>0</v>
      </c>
      <c r="AY213" s="3">
        <v>0</v>
      </c>
      <c r="AZ213" s="3">
        <v>1</v>
      </c>
      <c r="BA213" s="3">
        <v>1</v>
      </c>
      <c r="BB213" s="3">
        <v>0</v>
      </c>
      <c r="BC213" s="3">
        <v>0</v>
      </c>
      <c r="BD213" s="3">
        <v>0</v>
      </c>
      <c r="BE213" s="3">
        <v>0</v>
      </c>
      <c r="BG213" s="2" t="s">
        <v>139</v>
      </c>
      <c r="BH213" s="3">
        <v>2</v>
      </c>
      <c r="BJ213" s="2" t="s">
        <v>96</v>
      </c>
      <c r="BL213" s="2" t="s">
        <v>779</v>
      </c>
      <c r="BM213" s="2" t="s">
        <v>780</v>
      </c>
      <c r="BN213" s="2" t="s">
        <v>99</v>
      </c>
      <c r="BO213" s="2" t="s">
        <v>100</v>
      </c>
      <c r="BP213" s="2" t="s">
        <v>242</v>
      </c>
      <c r="BQ213" s="2" t="s">
        <v>102</v>
      </c>
      <c r="BR213" s="2" t="s">
        <v>103</v>
      </c>
      <c r="BS213" s="2" t="s">
        <v>713</v>
      </c>
      <c r="BT213" s="2" t="s">
        <v>1457</v>
      </c>
      <c r="BU213" s="2" t="s">
        <v>1458</v>
      </c>
      <c r="BV213" s="2" t="s">
        <v>166</v>
      </c>
      <c r="BW213" s="2" t="s">
        <v>167</v>
      </c>
      <c r="BX213" s="2" t="s">
        <v>139</v>
      </c>
      <c r="BY21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13" s="2">
        <f>IF(AND(Cases[[#This Row],[Priority Level]]&gt;=3,Cases[[#This Row],[System Role]]&lt;&gt;"Productive"),1,0)</f>
        <v>0</v>
      </c>
      <c r="CA213" s="2">
        <f>IFERROR(IF(Cases[[#This Row],[Days at Customer]]&gt;MAX(1,Cases[[#This Row],[Days at SAP]]*2),1,0),0)</f>
        <v>1</v>
      </c>
      <c r="CB213" s="2">
        <f>IF(AND(Cases[[#This Row],[Initial Component]]&lt;&gt;"",Cases[[#This Row],[Component]]&lt;&gt;"",Cases[[#This Row],[Initial Component]]&lt;&gt;Cases[[#This Row],[Component]]),1,0)</f>
        <v>0</v>
      </c>
      <c r="CC213" s="2">
        <f>IF(OR(Cases[[#This Row],[Is Reopened]]="X",Cases[[#This Row],[No. of Reopenings]]&gt;0),1,0)</f>
        <v>0</v>
      </c>
      <c r="CD213" s="2">
        <f>IF(Cases[[#This Row],[Confirmation Type]]="Automatic",1,0)</f>
        <v>1</v>
      </c>
      <c r="CE213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14" spans="1:83" x14ac:dyDescent="0.2">
      <c r="A214" s="1" t="s">
        <v>3802</v>
      </c>
      <c r="B214" s="2" t="s">
        <v>3803</v>
      </c>
      <c r="C214" s="2" t="s">
        <v>623</v>
      </c>
      <c r="D214" s="2" t="s">
        <v>238</v>
      </c>
      <c r="E214" s="3">
        <v>20.27</v>
      </c>
      <c r="F214" s="3">
        <v>49.16</v>
      </c>
      <c r="G214" s="2" t="s">
        <v>133</v>
      </c>
      <c r="H214" s="2" t="s">
        <v>324</v>
      </c>
      <c r="I214" s="3" t="s">
        <v>114</v>
      </c>
      <c r="J214" s="3">
        <v>265</v>
      </c>
      <c r="K214" s="2" t="s">
        <v>3804</v>
      </c>
      <c r="L214" s="4">
        <v>46026</v>
      </c>
      <c r="M214" s="4">
        <v>45932</v>
      </c>
      <c r="N214" s="2" t="s">
        <v>2727</v>
      </c>
      <c r="O214" s="2" t="s">
        <v>1805</v>
      </c>
      <c r="P214" s="2" t="s">
        <v>3224</v>
      </c>
      <c r="Q214" s="2" t="s">
        <v>1806</v>
      </c>
      <c r="R214" s="2" t="s">
        <v>625</v>
      </c>
      <c r="S214" s="4">
        <v>45862</v>
      </c>
      <c r="T214" s="2" t="s">
        <v>3783</v>
      </c>
      <c r="U214" s="2" t="s">
        <v>3265</v>
      </c>
      <c r="V214" s="2" t="s">
        <v>3796</v>
      </c>
      <c r="W214" s="2" t="s">
        <v>1806</v>
      </c>
      <c r="X214" s="2" t="s">
        <v>117</v>
      </c>
      <c r="Y214" s="3" t="s">
        <v>118</v>
      </c>
      <c r="Z214" s="3">
        <v>69.42</v>
      </c>
      <c r="AA214" s="2" t="s">
        <v>90</v>
      </c>
      <c r="AB214" s="2" t="s">
        <v>205</v>
      </c>
      <c r="AC214" s="2" t="s">
        <v>203</v>
      </c>
      <c r="AD214" t="str" cm="1">
        <f t="array" ref="AD21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214" s="2" t="s">
        <v>91</v>
      </c>
      <c r="AF214" s="2" t="s">
        <v>92</v>
      </c>
      <c r="AG214" s="2" t="s">
        <v>119</v>
      </c>
      <c r="AH214" s="2" t="s">
        <v>120</v>
      </c>
      <c r="AK214" s="2" t="s">
        <v>3805</v>
      </c>
      <c r="AN214" s="3">
        <v>1</v>
      </c>
      <c r="AO214" s="3">
        <v>0</v>
      </c>
      <c r="AP214" s="3">
        <v>1</v>
      </c>
      <c r="AQ214" s="3">
        <v>1</v>
      </c>
      <c r="AR214" s="3">
        <v>1</v>
      </c>
      <c r="AS214" s="3">
        <v>0</v>
      </c>
      <c r="AT214" s="3">
        <v>0</v>
      </c>
      <c r="AU214" s="3">
        <v>0</v>
      </c>
      <c r="AV214" s="3">
        <v>1</v>
      </c>
      <c r="AW214" s="3">
        <v>0</v>
      </c>
      <c r="AX214" s="3">
        <v>1</v>
      </c>
      <c r="AY214" s="3">
        <v>0</v>
      </c>
      <c r="AZ214" s="3">
        <v>0</v>
      </c>
      <c r="BA214" s="3">
        <v>0</v>
      </c>
      <c r="BB214" s="3">
        <v>0</v>
      </c>
      <c r="BC214" s="3">
        <v>1</v>
      </c>
      <c r="BD214" s="3">
        <v>0</v>
      </c>
      <c r="BE214" s="3">
        <v>0</v>
      </c>
      <c r="BG214" s="2" t="s">
        <v>91</v>
      </c>
      <c r="BH214" s="3">
        <v>3</v>
      </c>
      <c r="BI214" s="2" t="s">
        <v>122</v>
      </c>
      <c r="BJ214" s="2" t="s">
        <v>96</v>
      </c>
      <c r="BL214" s="2" t="s">
        <v>123</v>
      </c>
      <c r="BM214" s="2" t="s">
        <v>123</v>
      </c>
      <c r="BN214" s="2" t="s">
        <v>124</v>
      </c>
      <c r="BO214" s="2" t="s">
        <v>125</v>
      </c>
      <c r="BP214" s="2" t="s">
        <v>242</v>
      </c>
      <c r="BQ214" s="2" t="s">
        <v>124</v>
      </c>
      <c r="BR214" s="2" t="s">
        <v>126</v>
      </c>
      <c r="BS214" s="2" t="s">
        <v>127</v>
      </c>
      <c r="BT214" s="2" t="s">
        <v>207</v>
      </c>
      <c r="BU214" s="2" t="s">
        <v>208</v>
      </c>
      <c r="BV214" s="2" t="s">
        <v>150</v>
      </c>
      <c r="BW214" s="2" t="s">
        <v>151</v>
      </c>
      <c r="BX214" s="2" t="s">
        <v>91</v>
      </c>
      <c r="BY21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14" s="2">
        <f>IF(AND(Cases[[#This Row],[Priority Level]]&gt;=3,Cases[[#This Row],[System Role]]&lt;&gt;"Productive"),1,0)</f>
        <v>0</v>
      </c>
      <c r="CA214" s="2">
        <f>IFERROR(IF(Cases[[#This Row],[Days at Customer]]&gt;MAX(1,Cases[[#This Row],[Days at SAP]]*2),1,0),0)</f>
        <v>1</v>
      </c>
      <c r="CB214" s="2">
        <f>IF(AND(Cases[[#This Row],[Initial Component]]&lt;&gt;"",Cases[[#This Row],[Component]]&lt;&gt;"",Cases[[#This Row],[Initial Component]]&lt;&gt;Cases[[#This Row],[Component]]),1,0)</f>
        <v>1</v>
      </c>
      <c r="CC214" s="2">
        <f>IF(OR(Cases[[#This Row],[Is Reopened]]="X",Cases[[#This Row],[No. of Reopenings]]&gt;0),1,0)</f>
        <v>0</v>
      </c>
      <c r="CD214" s="2">
        <f>IF(Cases[[#This Row],[Confirmation Type]]="Automatic",1,0)</f>
        <v>1</v>
      </c>
      <c r="CE214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15" spans="1:83" x14ac:dyDescent="0.2">
      <c r="A215" s="1" t="s">
        <v>1465</v>
      </c>
      <c r="B215" s="2" t="s">
        <v>1466</v>
      </c>
      <c r="C215" s="2" t="s">
        <v>1467</v>
      </c>
      <c r="D215" s="2" t="s">
        <v>238</v>
      </c>
      <c r="E215" s="3">
        <v>0.14000000000000001</v>
      </c>
      <c r="F215" s="3">
        <v>21.44</v>
      </c>
      <c r="G215" s="2" t="s">
        <v>79</v>
      </c>
      <c r="H215" s="2" t="s">
        <v>178</v>
      </c>
      <c r="I215" s="3" t="s">
        <v>114</v>
      </c>
      <c r="J215" s="3">
        <v>83</v>
      </c>
      <c r="K215" s="2" t="s">
        <v>1468</v>
      </c>
      <c r="L215" s="4">
        <v>46068</v>
      </c>
      <c r="M215" s="4">
        <v>46066</v>
      </c>
      <c r="N215" s="2" t="s">
        <v>677</v>
      </c>
      <c r="O215" s="2" t="s">
        <v>181</v>
      </c>
      <c r="P215" s="2" t="s">
        <v>1079</v>
      </c>
      <c r="Q215" s="2" t="s">
        <v>86</v>
      </c>
      <c r="R215" s="2" t="s">
        <v>1469</v>
      </c>
      <c r="S215" s="4">
        <v>46044</v>
      </c>
      <c r="T215" s="2" t="s">
        <v>1334</v>
      </c>
      <c r="U215" s="2" t="s">
        <v>181</v>
      </c>
      <c r="V215" s="2" t="s">
        <v>83</v>
      </c>
      <c r="W215" s="2" t="s">
        <v>86</v>
      </c>
      <c r="X215" s="2" t="s">
        <v>117</v>
      </c>
      <c r="Y215" s="3" t="s">
        <v>118</v>
      </c>
      <c r="Z215" s="3">
        <v>21.58</v>
      </c>
      <c r="AA215" s="2" t="s">
        <v>138</v>
      </c>
      <c r="AB215" s="2" t="s">
        <v>443</v>
      </c>
      <c r="AC215" s="2" t="s">
        <v>444</v>
      </c>
      <c r="AD215" t="str" cm="1">
        <f t="array" ref="AD21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215" s="2" t="s">
        <v>139</v>
      </c>
      <c r="AF215" s="2" t="s">
        <v>92</v>
      </c>
      <c r="AG215" s="2" t="s">
        <v>274</v>
      </c>
      <c r="AH215" s="2" t="s">
        <v>275</v>
      </c>
      <c r="AK215" s="2" t="s">
        <v>1470</v>
      </c>
      <c r="AN215" s="3">
        <v>1</v>
      </c>
      <c r="AO215" s="3">
        <v>1</v>
      </c>
      <c r="AP215" s="3">
        <v>1</v>
      </c>
      <c r="AQ215" s="3">
        <v>1</v>
      </c>
      <c r="AR215" s="3">
        <v>0</v>
      </c>
      <c r="AS215" s="3">
        <v>0</v>
      </c>
      <c r="AT215" s="3">
        <v>1</v>
      </c>
      <c r="AU215" s="3">
        <v>0</v>
      </c>
      <c r="AV215" s="3">
        <v>1</v>
      </c>
      <c r="AW215" s="3">
        <v>0</v>
      </c>
      <c r="AX215" s="3">
        <v>0</v>
      </c>
      <c r="AY215" s="3">
        <v>0</v>
      </c>
      <c r="AZ215" s="3">
        <v>1</v>
      </c>
      <c r="BA215" s="3">
        <v>1</v>
      </c>
      <c r="BB215" s="3">
        <v>0</v>
      </c>
      <c r="BC215" s="3">
        <v>0</v>
      </c>
      <c r="BD215" s="3">
        <v>0</v>
      </c>
      <c r="BE215" s="3">
        <v>0</v>
      </c>
      <c r="BG215" s="2" t="s">
        <v>139</v>
      </c>
      <c r="BH215" s="3">
        <v>2</v>
      </c>
      <c r="BJ215" s="2" t="s">
        <v>96</v>
      </c>
      <c r="BL215" s="2" t="s">
        <v>446</v>
      </c>
      <c r="BM215" s="2" t="s">
        <v>447</v>
      </c>
      <c r="BN215" s="2" t="s">
        <v>279</v>
      </c>
      <c r="BO215" s="2" t="s">
        <v>280</v>
      </c>
      <c r="BP215" s="2" t="s">
        <v>242</v>
      </c>
      <c r="BQ215" s="2" t="s">
        <v>448</v>
      </c>
      <c r="BR215" s="2" t="s">
        <v>449</v>
      </c>
      <c r="BS215" s="2" t="s">
        <v>450</v>
      </c>
      <c r="BT215" s="2" t="s">
        <v>1030</v>
      </c>
      <c r="BU215" s="2" t="s">
        <v>1031</v>
      </c>
      <c r="BV215" s="2" t="s">
        <v>166</v>
      </c>
      <c r="BW215" s="2" t="s">
        <v>167</v>
      </c>
      <c r="BX215" s="2" t="s">
        <v>139</v>
      </c>
      <c r="BY21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15" s="2">
        <f>IF(AND(Cases[[#This Row],[Priority Level]]&gt;=3,Cases[[#This Row],[System Role]]&lt;&gt;"Productive"),1,0)</f>
        <v>0</v>
      </c>
      <c r="CA215" s="2">
        <f>IFERROR(IF(Cases[[#This Row],[Days at Customer]]&gt;MAX(1,Cases[[#This Row],[Days at SAP]]*2),1,0),0)</f>
        <v>1</v>
      </c>
      <c r="CB215" s="2">
        <f>IF(AND(Cases[[#This Row],[Initial Component]]&lt;&gt;"",Cases[[#This Row],[Component]]&lt;&gt;"",Cases[[#This Row],[Initial Component]]&lt;&gt;Cases[[#This Row],[Component]]),1,0)</f>
        <v>1</v>
      </c>
      <c r="CC215" s="2">
        <f>IF(OR(Cases[[#This Row],[Is Reopened]]="X",Cases[[#This Row],[No. of Reopenings]]&gt;0),1,0)</f>
        <v>0</v>
      </c>
      <c r="CD215" s="2">
        <f>IF(Cases[[#This Row],[Confirmation Type]]="Automatic",1,0)</f>
        <v>1</v>
      </c>
      <c r="CE215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216" spans="1:83" x14ac:dyDescent="0.2">
      <c r="A216" s="1" t="s">
        <v>1471</v>
      </c>
      <c r="B216" s="2" t="s">
        <v>1472</v>
      </c>
      <c r="C216" s="2" t="s">
        <v>77</v>
      </c>
      <c r="D216" s="2" t="s">
        <v>238</v>
      </c>
      <c r="E216" s="3">
        <v>3.2</v>
      </c>
      <c r="F216" s="3">
        <v>21.28</v>
      </c>
      <c r="G216" s="2" t="s">
        <v>190</v>
      </c>
      <c r="H216" s="2" t="s">
        <v>666</v>
      </c>
      <c r="I216" s="3" t="s">
        <v>114</v>
      </c>
      <c r="J216" s="3">
        <v>83</v>
      </c>
      <c r="K216" s="2" t="s">
        <v>1473</v>
      </c>
      <c r="L216" s="4">
        <v>46075</v>
      </c>
      <c r="M216" s="4">
        <v>46068</v>
      </c>
      <c r="N216" s="2" t="s">
        <v>677</v>
      </c>
      <c r="O216" s="2" t="s">
        <v>181</v>
      </c>
      <c r="P216" s="2" t="s">
        <v>1079</v>
      </c>
      <c r="Q216" s="2" t="s">
        <v>86</v>
      </c>
      <c r="R216" s="2" t="s">
        <v>87</v>
      </c>
      <c r="S216" s="4">
        <v>46044</v>
      </c>
      <c r="T216" s="2" t="s">
        <v>1334</v>
      </c>
      <c r="U216" s="2" t="s">
        <v>181</v>
      </c>
      <c r="V216" s="2" t="s">
        <v>83</v>
      </c>
      <c r="W216" s="2" t="s">
        <v>86</v>
      </c>
      <c r="X216" s="2" t="s">
        <v>117</v>
      </c>
      <c r="Y216" s="3" t="s">
        <v>118</v>
      </c>
      <c r="Z216" s="3">
        <v>24.48</v>
      </c>
      <c r="AA216" s="2" t="s">
        <v>90</v>
      </c>
      <c r="AB216" s="2" t="s">
        <v>87</v>
      </c>
      <c r="AC216" s="2" t="s">
        <v>77</v>
      </c>
      <c r="AD216" t="str" cm="1">
        <f t="array" ref="AD21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216" s="2" t="s">
        <v>91</v>
      </c>
      <c r="AF216" s="2" t="s">
        <v>92</v>
      </c>
      <c r="AG216" s="2" t="s">
        <v>527</v>
      </c>
      <c r="AH216" s="2" t="s">
        <v>528</v>
      </c>
      <c r="AK216" s="2" t="s">
        <v>1474</v>
      </c>
      <c r="AN216" s="3">
        <v>1</v>
      </c>
      <c r="AO216" s="3">
        <v>1</v>
      </c>
      <c r="AP216" s="3">
        <v>1</v>
      </c>
      <c r="AQ216" s="3">
        <v>1</v>
      </c>
      <c r="AR216" s="3">
        <v>1</v>
      </c>
      <c r="AS216" s="3">
        <v>0</v>
      </c>
      <c r="AT216" s="3">
        <v>0</v>
      </c>
      <c r="AU216" s="3">
        <v>0</v>
      </c>
      <c r="AV216" s="3">
        <v>1</v>
      </c>
      <c r="AW216" s="3">
        <v>0</v>
      </c>
      <c r="AX216" s="3">
        <v>1</v>
      </c>
      <c r="AY216" s="3">
        <v>0</v>
      </c>
      <c r="AZ216" s="3">
        <v>0</v>
      </c>
      <c r="BA216" s="3">
        <v>1</v>
      </c>
      <c r="BB216" s="3">
        <v>0</v>
      </c>
      <c r="BC216" s="3">
        <v>0</v>
      </c>
      <c r="BD216" s="3">
        <v>0</v>
      </c>
      <c r="BE216" s="3">
        <v>0</v>
      </c>
      <c r="BG216" s="2" t="s">
        <v>91</v>
      </c>
      <c r="BH216" s="3">
        <v>3</v>
      </c>
      <c r="BJ216" s="2" t="s">
        <v>96</v>
      </c>
      <c r="BL216" s="2" t="s">
        <v>184</v>
      </c>
      <c r="BM216" s="2" t="s">
        <v>184</v>
      </c>
      <c r="BN216" s="2" t="s">
        <v>124</v>
      </c>
      <c r="BO216" s="2" t="s">
        <v>125</v>
      </c>
      <c r="BP216" s="2" t="s">
        <v>242</v>
      </c>
      <c r="BQ216" s="2" t="s">
        <v>124</v>
      </c>
      <c r="BR216" s="2" t="s">
        <v>126</v>
      </c>
      <c r="BS216" s="2" t="s">
        <v>713</v>
      </c>
      <c r="BT216" s="2" t="s">
        <v>343</v>
      </c>
      <c r="BU216" s="2" t="s">
        <v>714</v>
      </c>
      <c r="BV216" s="2" t="s">
        <v>166</v>
      </c>
      <c r="BW216" s="2" t="s">
        <v>167</v>
      </c>
      <c r="BX216" s="2" t="s">
        <v>91</v>
      </c>
      <c r="BY21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16" s="2">
        <f>IF(AND(Cases[[#This Row],[Priority Level]]&gt;=3,Cases[[#This Row],[System Role]]&lt;&gt;"Productive"),1,0)</f>
        <v>1</v>
      </c>
      <c r="CA216" s="2">
        <f>IFERROR(IF(Cases[[#This Row],[Days at Customer]]&gt;MAX(1,Cases[[#This Row],[Days at SAP]]*2),1,0),0)</f>
        <v>1</v>
      </c>
      <c r="CB216" s="2">
        <f>IF(AND(Cases[[#This Row],[Initial Component]]&lt;&gt;"",Cases[[#This Row],[Component]]&lt;&gt;"",Cases[[#This Row],[Initial Component]]&lt;&gt;Cases[[#This Row],[Component]]),1,0)</f>
        <v>0</v>
      </c>
      <c r="CC216" s="2">
        <f>IF(OR(Cases[[#This Row],[Is Reopened]]="X",Cases[[#This Row],[No. of Reopenings]]&gt;0),1,0)</f>
        <v>0</v>
      </c>
      <c r="CD216" s="2">
        <f>IF(Cases[[#This Row],[Confirmation Type]]="Automatic",1,0)</f>
        <v>1</v>
      </c>
      <c r="CE21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17" spans="1:83" x14ac:dyDescent="0.2">
      <c r="A217" s="1" t="s">
        <v>1475</v>
      </c>
      <c r="B217" s="2" t="s">
        <v>1476</v>
      </c>
      <c r="C217" s="2" t="s">
        <v>77</v>
      </c>
      <c r="D217" s="2" t="s">
        <v>78</v>
      </c>
      <c r="E217" s="3">
        <v>2.67</v>
      </c>
      <c r="F217" s="3">
        <v>16.28</v>
      </c>
      <c r="G217" s="2" t="s">
        <v>79</v>
      </c>
      <c r="H217" s="2" t="s">
        <v>80</v>
      </c>
      <c r="I217" s="3" t="s">
        <v>114</v>
      </c>
      <c r="J217" s="3">
        <v>83</v>
      </c>
      <c r="K217" s="2" t="s">
        <v>1477</v>
      </c>
      <c r="L217" s="4">
        <v>46068</v>
      </c>
      <c r="M217" s="4">
        <v>46063</v>
      </c>
      <c r="N217" s="2" t="s">
        <v>677</v>
      </c>
      <c r="O217" s="2" t="s">
        <v>181</v>
      </c>
      <c r="P217" s="2" t="s">
        <v>1079</v>
      </c>
      <c r="Q217" s="2" t="s">
        <v>86</v>
      </c>
      <c r="R217" s="2" t="s">
        <v>87</v>
      </c>
      <c r="S217" s="4">
        <v>46044</v>
      </c>
      <c r="T217" s="2" t="s">
        <v>1334</v>
      </c>
      <c r="U217" s="2" t="s">
        <v>181</v>
      </c>
      <c r="V217" s="2" t="s">
        <v>83</v>
      </c>
      <c r="W217" s="2" t="s">
        <v>86</v>
      </c>
      <c r="X217" s="2" t="s">
        <v>117</v>
      </c>
      <c r="Y217" s="3" t="s">
        <v>118</v>
      </c>
      <c r="Z217" s="3">
        <v>18.95</v>
      </c>
      <c r="AA217" s="2" t="s">
        <v>90</v>
      </c>
      <c r="AB217" s="2" t="s">
        <v>87</v>
      </c>
      <c r="AC217" s="2" t="s">
        <v>77</v>
      </c>
      <c r="AD217" t="str" cm="1">
        <f t="array" ref="AD21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217" s="2" t="s">
        <v>91</v>
      </c>
      <c r="AF217" s="2" t="s">
        <v>92</v>
      </c>
      <c r="AG217" s="2" t="s">
        <v>527</v>
      </c>
      <c r="AH217" s="2" t="s">
        <v>528</v>
      </c>
      <c r="AK217" s="2" t="s">
        <v>1478</v>
      </c>
      <c r="AN217" s="3">
        <v>1</v>
      </c>
      <c r="AO217" s="3">
        <v>1</v>
      </c>
      <c r="AP217" s="3">
        <v>1</v>
      </c>
      <c r="AQ217" s="3">
        <v>1</v>
      </c>
      <c r="AR217" s="3">
        <v>1</v>
      </c>
      <c r="AS217" s="3">
        <v>0</v>
      </c>
      <c r="AT217" s="3">
        <v>0</v>
      </c>
      <c r="AU217" s="3">
        <v>0</v>
      </c>
      <c r="AV217" s="3">
        <v>0</v>
      </c>
      <c r="AW217" s="3">
        <v>1</v>
      </c>
      <c r="AX217" s="3">
        <v>1</v>
      </c>
      <c r="AY217" s="3">
        <v>0</v>
      </c>
      <c r="AZ217" s="3">
        <v>0</v>
      </c>
      <c r="BA217" s="3">
        <v>1</v>
      </c>
      <c r="BB217" s="3">
        <v>0</v>
      </c>
      <c r="BC217" s="3">
        <v>0</v>
      </c>
      <c r="BD217" s="3">
        <v>0</v>
      </c>
      <c r="BE217" s="3">
        <v>0</v>
      </c>
      <c r="BG217" s="2" t="s">
        <v>91</v>
      </c>
      <c r="BH217" s="3">
        <v>3</v>
      </c>
      <c r="BJ217" s="2" t="s">
        <v>96</v>
      </c>
      <c r="BL217" s="2" t="s">
        <v>184</v>
      </c>
      <c r="BM217" s="2" t="s">
        <v>184</v>
      </c>
      <c r="BN217" s="2" t="s">
        <v>124</v>
      </c>
      <c r="BO217" s="2" t="s">
        <v>125</v>
      </c>
      <c r="BP217" s="2" t="s">
        <v>101</v>
      </c>
      <c r="BQ217" s="2" t="s">
        <v>124</v>
      </c>
      <c r="BR217" s="2" t="s">
        <v>126</v>
      </c>
      <c r="BS217" s="2" t="s">
        <v>713</v>
      </c>
      <c r="BT217" s="2" t="s">
        <v>343</v>
      </c>
      <c r="BU217" s="2" t="s">
        <v>714</v>
      </c>
      <c r="BV217" s="2" t="s">
        <v>166</v>
      </c>
      <c r="BW217" s="2" t="s">
        <v>167</v>
      </c>
      <c r="BX217" s="2" t="s">
        <v>91</v>
      </c>
      <c r="BY21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17" s="2">
        <f>IF(AND(Cases[[#This Row],[Priority Level]]&gt;=3,Cases[[#This Row],[System Role]]&lt;&gt;"Productive"),1,0)</f>
        <v>1</v>
      </c>
      <c r="CA217" s="2">
        <f>IFERROR(IF(Cases[[#This Row],[Days at Customer]]&gt;MAX(1,Cases[[#This Row],[Days at SAP]]*2),1,0),0)</f>
        <v>1</v>
      </c>
      <c r="CB217" s="2">
        <f>IF(AND(Cases[[#This Row],[Initial Component]]&lt;&gt;"",Cases[[#This Row],[Component]]&lt;&gt;"",Cases[[#This Row],[Initial Component]]&lt;&gt;Cases[[#This Row],[Component]]),1,0)</f>
        <v>0</v>
      </c>
      <c r="CC217" s="2">
        <f>IF(OR(Cases[[#This Row],[Is Reopened]]="X",Cases[[#This Row],[No. of Reopenings]]&gt;0),1,0)</f>
        <v>0</v>
      </c>
      <c r="CD217" s="2">
        <f>IF(Cases[[#This Row],[Confirmation Type]]="Automatic",1,0)</f>
        <v>0</v>
      </c>
      <c r="CE21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18" spans="1:83" x14ac:dyDescent="0.2">
      <c r="A218" s="1" t="s">
        <v>1479</v>
      </c>
      <c r="B218" s="2" t="s">
        <v>1480</v>
      </c>
      <c r="C218" s="2" t="s">
        <v>77</v>
      </c>
      <c r="D218" s="2" t="s">
        <v>78</v>
      </c>
      <c r="E218" s="3">
        <v>7.0000000000000007E-2</v>
      </c>
      <c r="F218" s="3">
        <v>11.8</v>
      </c>
      <c r="G218" s="2" t="s">
        <v>190</v>
      </c>
      <c r="H218" s="2" t="s">
        <v>191</v>
      </c>
      <c r="I218" s="3" t="s">
        <v>81</v>
      </c>
      <c r="J218" s="3">
        <v>83</v>
      </c>
      <c r="K218" s="2" t="s">
        <v>1481</v>
      </c>
      <c r="L218" s="4">
        <v>46061</v>
      </c>
      <c r="M218" s="4">
        <v>46056</v>
      </c>
      <c r="N218" s="2" t="s">
        <v>677</v>
      </c>
      <c r="O218" s="2" t="s">
        <v>181</v>
      </c>
      <c r="P218" s="2" t="s">
        <v>1165</v>
      </c>
      <c r="Q218" s="2" t="s">
        <v>86</v>
      </c>
      <c r="R218" s="2" t="s">
        <v>87</v>
      </c>
      <c r="S218" s="4">
        <v>46044</v>
      </c>
      <c r="T218" s="2" t="s">
        <v>1334</v>
      </c>
      <c r="U218" s="2" t="s">
        <v>181</v>
      </c>
      <c r="V218" s="2" t="s">
        <v>83</v>
      </c>
      <c r="W218" s="2" t="s">
        <v>86</v>
      </c>
      <c r="X218" s="2" t="s">
        <v>88</v>
      </c>
      <c r="Y218" s="3" t="s">
        <v>89</v>
      </c>
      <c r="Z218" s="3">
        <v>11.87</v>
      </c>
      <c r="AA218" s="2" t="s">
        <v>90</v>
      </c>
      <c r="AB218" s="2" t="s">
        <v>87</v>
      </c>
      <c r="AC218" s="2" t="s">
        <v>77</v>
      </c>
      <c r="AD218" t="str" cm="1">
        <f t="array" ref="AD21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218" s="2" t="s">
        <v>91</v>
      </c>
      <c r="AF218" s="2" t="s">
        <v>92</v>
      </c>
      <c r="AG218" s="2" t="s">
        <v>93</v>
      </c>
      <c r="AH218" s="2" t="s">
        <v>94</v>
      </c>
      <c r="AJ218" s="2" t="s">
        <v>122</v>
      </c>
      <c r="AK218" s="2" t="s">
        <v>1482</v>
      </c>
      <c r="AN218" s="3">
        <v>1</v>
      </c>
      <c r="AO218" s="3">
        <v>1</v>
      </c>
      <c r="AP218" s="3">
        <v>1</v>
      </c>
      <c r="AQ218" s="3">
        <v>1</v>
      </c>
      <c r="AR218" s="3">
        <v>1</v>
      </c>
      <c r="AS218" s="3">
        <v>0</v>
      </c>
      <c r="AT218" s="3">
        <v>0</v>
      </c>
      <c r="AU218" s="3">
        <v>0</v>
      </c>
      <c r="AV218" s="3">
        <v>0</v>
      </c>
      <c r="AW218" s="3">
        <v>1</v>
      </c>
      <c r="AX218" s="3">
        <v>1</v>
      </c>
      <c r="AY218" s="3">
        <v>0</v>
      </c>
      <c r="AZ218" s="3">
        <v>0</v>
      </c>
      <c r="BA218" s="3">
        <v>1</v>
      </c>
      <c r="BB218" s="3">
        <v>0</v>
      </c>
      <c r="BC218" s="3">
        <v>0</v>
      </c>
      <c r="BD218" s="3">
        <v>1</v>
      </c>
      <c r="BE218" s="3">
        <v>0</v>
      </c>
      <c r="BG218" s="2" t="s">
        <v>91</v>
      </c>
      <c r="BH218" s="3">
        <v>3</v>
      </c>
      <c r="BJ218" s="2" t="s">
        <v>96</v>
      </c>
      <c r="BL218" s="2" t="s">
        <v>184</v>
      </c>
      <c r="BM218" s="2" t="s">
        <v>184</v>
      </c>
      <c r="BN218" s="2" t="s">
        <v>124</v>
      </c>
      <c r="BO218" s="2" t="s">
        <v>125</v>
      </c>
      <c r="BP218" s="2" t="s">
        <v>101</v>
      </c>
      <c r="BQ218" s="2" t="s">
        <v>124</v>
      </c>
      <c r="BR218" s="2" t="s">
        <v>126</v>
      </c>
      <c r="BS218" s="2" t="s">
        <v>104</v>
      </c>
      <c r="BT218" s="2" t="s">
        <v>343</v>
      </c>
      <c r="BU218" s="2" t="s">
        <v>344</v>
      </c>
      <c r="BV218" s="2" t="s">
        <v>166</v>
      </c>
      <c r="BW218" s="2" t="s">
        <v>167</v>
      </c>
      <c r="BX218" s="2" t="s">
        <v>91</v>
      </c>
      <c r="BY21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18" s="2">
        <f>IF(AND(Cases[[#This Row],[Priority Level]]&gt;=3,Cases[[#This Row],[System Role]]&lt;&gt;"Productive"),1,0)</f>
        <v>1</v>
      </c>
      <c r="CA218" s="2">
        <f>IFERROR(IF(Cases[[#This Row],[Days at Customer]]&gt;MAX(1,Cases[[#This Row],[Days at SAP]]*2),1,0),0)</f>
        <v>1</v>
      </c>
      <c r="CB218" s="2">
        <f>IF(AND(Cases[[#This Row],[Initial Component]]&lt;&gt;"",Cases[[#This Row],[Component]]&lt;&gt;"",Cases[[#This Row],[Initial Component]]&lt;&gt;Cases[[#This Row],[Component]]),1,0)</f>
        <v>0</v>
      </c>
      <c r="CC218" s="2">
        <f>IF(OR(Cases[[#This Row],[Is Reopened]]="X",Cases[[#This Row],[No. of Reopenings]]&gt;0),1,0)</f>
        <v>1</v>
      </c>
      <c r="CD218" s="2">
        <f>IF(Cases[[#This Row],[Confirmation Type]]="Automatic",1,0)</f>
        <v>0</v>
      </c>
      <c r="CE218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219" spans="1:83" x14ac:dyDescent="0.2">
      <c r="A219" s="1" t="s">
        <v>1483</v>
      </c>
      <c r="B219" s="2" t="s">
        <v>1484</v>
      </c>
      <c r="C219" s="2" t="s">
        <v>1485</v>
      </c>
      <c r="D219" s="2" t="s">
        <v>238</v>
      </c>
      <c r="E219" s="3">
        <v>0.1</v>
      </c>
      <c r="F219" s="3">
        <v>26.4</v>
      </c>
      <c r="G219" s="2" t="s">
        <v>79</v>
      </c>
      <c r="H219" s="2" t="s">
        <v>80</v>
      </c>
      <c r="I219" s="3" t="s">
        <v>114</v>
      </c>
      <c r="J219" s="3">
        <v>83</v>
      </c>
      <c r="K219" s="2" t="s">
        <v>1486</v>
      </c>
      <c r="L219" s="4">
        <v>46075</v>
      </c>
      <c r="M219" s="4">
        <v>46071</v>
      </c>
      <c r="N219" s="2" t="s">
        <v>677</v>
      </c>
      <c r="O219" s="2" t="s">
        <v>181</v>
      </c>
      <c r="P219" s="2" t="s">
        <v>895</v>
      </c>
      <c r="Q219" s="2" t="s">
        <v>86</v>
      </c>
      <c r="R219" s="2" t="s">
        <v>1440</v>
      </c>
      <c r="S219" s="4">
        <v>46044</v>
      </c>
      <c r="T219" s="2" t="s">
        <v>1334</v>
      </c>
      <c r="U219" s="2" t="s">
        <v>181</v>
      </c>
      <c r="V219" s="2" t="s">
        <v>83</v>
      </c>
      <c r="W219" s="2" t="s">
        <v>86</v>
      </c>
      <c r="X219" s="2" t="s">
        <v>117</v>
      </c>
      <c r="Y219" s="3" t="s">
        <v>118</v>
      </c>
      <c r="Z219" s="3">
        <v>26.5</v>
      </c>
      <c r="AA219" s="2" t="s">
        <v>90</v>
      </c>
      <c r="AB219" s="2" t="s">
        <v>1440</v>
      </c>
      <c r="AC219" s="2" t="s">
        <v>1485</v>
      </c>
      <c r="AD219" t="str" cm="1">
        <f t="array" ref="AD21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219" s="2" t="s">
        <v>182</v>
      </c>
      <c r="AF219" s="2" t="s">
        <v>92</v>
      </c>
      <c r="AG219" s="2" t="s">
        <v>119</v>
      </c>
      <c r="AH219" s="2" t="s">
        <v>120</v>
      </c>
      <c r="AK219" s="2" t="s">
        <v>1487</v>
      </c>
      <c r="AN219" s="3">
        <v>1</v>
      </c>
      <c r="AO219" s="3">
        <v>1</v>
      </c>
      <c r="AP219" s="3">
        <v>1</v>
      </c>
      <c r="AQ219" s="3">
        <v>1</v>
      </c>
      <c r="AR219" s="3">
        <v>0</v>
      </c>
      <c r="AS219" s="3">
        <v>0</v>
      </c>
      <c r="AT219" s="3">
        <v>0</v>
      </c>
      <c r="AU219" s="3">
        <v>1</v>
      </c>
      <c r="AV219" s="3">
        <v>1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1</v>
      </c>
      <c r="BD219" s="3">
        <v>0</v>
      </c>
      <c r="BE219" s="3">
        <v>1</v>
      </c>
      <c r="BG219" s="2" t="s">
        <v>182</v>
      </c>
      <c r="BH219" s="3">
        <v>4</v>
      </c>
      <c r="BJ219" s="2" t="s">
        <v>96</v>
      </c>
      <c r="BL219" s="2" t="s">
        <v>123</v>
      </c>
      <c r="BM219" s="2" t="s">
        <v>123</v>
      </c>
      <c r="BN219" s="2" t="s">
        <v>124</v>
      </c>
      <c r="BO219" s="2" t="s">
        <v>125</v>
      </c>
      <c r="BP219" s="2" t="s">
        <v>242</v>
      </c>
      <c r="BQ219" s="2" t="s">
        <v>124</v>
      </c>
      <c r="BR219" s="2" t="s">
        <v>126</v>
      </c>
      <c r="BS219" s="2" t="s">
        <v>127</v>
      </c>
      <c r="BT219" s="2" t="s">
        <v>207</v>
      </c>
      <c r="BU219" s="2" t="s">
        <v>208</v>
      </c>
      <c r="BV219" s="2" t="s">
        <v>150</v>
      </c>
      <c r="BW219" s="2" t="s">
        <v>151</v>
      </c>
      <c r="BX219" s="2" t="s">
        <v>182</v>
      </c>
      <c r="BY21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19" s="2">
        <f>IF(AND(Cases[[#This Row],[Priority Level]]&gt;=3,Cases[[#This Row],[System Role]]&lt;&gt;"Productive"),1,0)</f>
        <v>0</v>
      </c>
      <c r="CA219" s="2">
        <f>IFERROR(IF(Cases[[#This Row],[Days at Customer]]&gt;MAX(1,Cases[[#This Row],[Days at SAP]]*2),1,0),0)</f>
        <v>1</v>
      </c>
      <c r="CB219" s="2">
        <f>IF(AND(Cases[[#This Row],[Initial Component]]&lt;&gt;"",Cases[[#This Row],[Component]]&lt;&gt;"",Cases[[#This Row],[Initial Component]]&lt;&gt;Cases[[#This Row],[Component]]),1,0)</f>
        <v>0</v>
      </c>
      <c r="CC219" s="2">
        <f>IF(OR(Cases[[#This Row],[Is Reopened]]="X",Cases[[#This Row],[No. of Reopenings]]&gt;0),1,0)</f>
        <v>0</v>
      </c>
      <c r="CD219" s="2">
        <f>IF(Cases[[#This Row],[Confirmation Type]]="Automatic",1,0)</f>
        <v>1</v>
      </c>
      <c r="CE219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20" spans="1:83" x14ac:dyDescent="0.2">
      <c r="A220" s="1" t="s">
        <v>1488</v>
      </c>
      <c r="B220" s="2" t="s">
        <v>1489</v>
      </c>
      <c r="C220" s="2" t="s">
        <v>1128</v>
      </c>
      <c r="D220" s="2" t="s">
        <v>238</v>
      </c>
      <c r="E220" s="3">
        <v>2.54</v>
      </c>
      <c r="F220" s="3">
        <v>31.19</v>
      </c>
      <c r="G220" s="2" t="s">
        <v>79</v>
      </c>
      <c r="H220" s="2" t="s">
        <v>155</v>
      </c>
      <c r="I220" s="3" t="s">
        <v>114</v>
      </c>
      <c r="J220" s="3">
        <v>83</v>
      </c>
      <c r="K220" s="2" t="s">
        <v>1490</v>
      </c>
      <c r="L220" s="4">
        <v>46082</v>
      </c>
      <c r="M220" s="4">
        <v>46078</v>
      </c>
      <c r="N220" s="2" t="s">
        <v>677</v>
      </c>
      <c r="O220" s="2" t="s">
        <v>181</v>
      </c>
      <c r="P220" s="2" t="s">
        <v>678</v>
      </c>
      <c r="Q220" s="2" t="s">
        <v>86</v>
      </c>
      <c r="R220" s="2" t="s">
        <v>1130</v>
      </c>
      <c r="S220" s="4">
        <v>46044</v>
      </c>
      <c r="T220" s="2" t="s">
        <v>1334</v>
      </c>
      <c r="U220" s="2" t="s">
        <v>181</v>
      </c>
      <c r="V220" s="2" t="s">
        <v>83</v>
      </c>
      <c r="W220" s="2" t="s">
        <v>86</v>
      </c>
      <c r="X220" s="2" t="s">
        <v>117</v>
      </c>
      <c r="Y220" s="3" t="s">
        <v>118</v>
      </c>
      <c r="Z220" s="3">
        <v>33.74</v>
      </c>
      <c r="AA220" s="2" t="s">
        <v>90</v>
      </c>
      <c r="AB220" s="2" t="s">
        <v>1130</v>
      </c>
      <c r="AC220" s="2" t="s">
        <v>1128</v>
      </c>
      <c r="AD220" t="str" cm="1">
        <f t="array" ref="AD22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220" s="2" t="s">
        <v>139</v>
      </c>
      <c r="AF220" s="2" t="s">
        <v>92</v>
      </c>
      <c r="AG220" s="2" t="s">
        <v>119</v>
      </c>
      <c r="AH220" s="2" t="s">
        <v>120</v>
      </c>
      <c r="AK220" s="2" t="s">
        <v>1491</v>
      </c>
      <c r="AN220" s="3">
        <v>1</v>
      </c>
      <c r="AO220" s="3">
        <v>1</v>
      </c>
      <c r="AP220" s="3">
        <v>1</v>
      </c>
      <c r="AQ220" s="3">
        <v>1</v>
      </c>
      <c r="AR220" s="3">
        <v>0</v>
      </c>
      <c r="AS220" s="3">
        <v>0</v>
      </c>
      <c r="AT220" s="3">
        <v>1</v>
      </c>
      <c r="AU220" s="3">
        <v>0</v>
      </c>
      <c r="AV220" s="3">
        <v>1</v>
      </c>
      <c r="AW220" s="3">
        <v>0</v>
      </c>
      <c r="AX220" s="3">
        <v>0</v>
      </c>
      <c r="AY220" s="3">
        <v>0</v>
      </c>
      <c r="AZ220" s="3">
        <v>1</v>
      </c>
      <c r="BA220" s="3">
        <v>0</v>
      </c>
      <c r="BB220" s="3">
        <v>0</v>
      </c>
      <c r="BC220" s="3">
        <v>1</v>
      </c>
      <c r="BD220" s="3">
        <v>0</v>
      </c>
      <c r="BE220" s="3">
        <v>0</v>
      </c>
      <c r="BG220" s="2" t="s">
        <v>139</v>
      </c>
      <c r="BH220" s="3">
        <v>2</v>
      </c>
      <c r="BJ220" s="2" t="s">
        <v>96</v>
      </c>
      <c r="BL220" s="2" t="s">
        <v>123</v>
      </c>
      <c r="BM220" s="2" t="s">
        <v>123</v>
      </c>
      <c r="BN220" s="2" t="s">
        <v>124</v>
      </c>
      <c r="BO220" s="2" t="s">
        <v>125</v>
      </c>
      <c r="BP220" s="2" t="s">
        <v>242</v>
      </c>
      <c r="BQ220" s="2" t="s">
        <v>124</v>
      </c>
      <c r="BR220" s="2" t="s">
        <v>126</v>
      </c>
      <c r="BS220" s="2" t="s">
        <v>127</v>
      </c>
      <c r="BT220" s="2" t="s">
        <v>174</v>
      </c>
      <c r="BU220" s="2" t="s">
        <v>175</v>
      </c>
      <c r="BV220" s="2" t="s">
        <v>150</v>
      </c>
      <c r="BW220" s="2" t="s">
        <v>151</v>
      </c>
      <c r="BX220" s="2" t="s">
        <v>139</v>
      </c>
      <c r="BY22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20" s="2">
        <f>IF(AND(Cases[[#This Row],[Priority Level]]&gt;=3,Cases[[#This Row],[System Role]]&lt;&gt;"Productive"),1,0)</f>
        <v>0</v>
      </c>
      <c r="CA220" s="2">
        <f>IFERROR(IF(Cases[[#This Row],[Days at Customer]]&gt;MAX(1,Cases[[#This Row],[Days at SAP]]*2),1,0),0)</f>
        <v>1</v>
      </c>
      <c r="CB220" s="2">
        <f>IF(AND(Cases[[#This Row],[Initial Component]]&lt;&gt;"",Cases[[#This Row],[Component]]&lt;&gt;"",Cases[[#This Row],[Initial Component]]&lt;&gt;Cases[[#This Row],[Component]]),1,0)</f>
        <v>0</v>
      </c>
      <c r="CC220" s="2">
        <f>IF(OR(Cases[[#This Row],[Is Reopened]]="X",Cases[[#This Row],[No. of Reopenings]]&gt;0),1,0)</f>
        <v>0</v>
      </c>
      <c r="CD220" s="2">
        <f>IF(Cases[[#This Row],[Confirmation Type]]="Automatic",1,0)</f>
        <v>1</v>
      </c>
      <c r="CE22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21" spans="1:83" x14ac:dyDescent="0.2">
      <c r="A221" s="1" t="s">
        <v>1492</v>
      </c>
      <c r="B221" s="2" t="s">
        <v>1493</v>
      </c>
      <c r="C221" s="2" t="s">
        <v>633</v>
      </c>
      <c r="D221" s="2" t="s">
        <v>238</v>
      </c>
      <c r="E221" s="3">
        <v>0.63</v>
      </c>
      <c r="F221" s="3">
        <v>22.16</v>
      </c>
      <c r="G221" s="2" t="s">
        <v>79</v>
      </c>
      <c r="H221" s="2" t="s">
        <v>155</v>
      </c>
      <c r="I221" s="3" t="s">
        <v>114</v>
      </c>
      <c r="J221" s="3">
        <v>84</v>
      </c>
      <c r="K221" s="2" t="s">
        <v>1494</v>
      </c>
      <c r="L221" s="4">
        <v>46068</v>
      </c>
      <c r="M221" s="4">
        <v>46066</v>
      </c>
      <c r="N221" s="2" t="s">
        <v>677</v>
      </c>
      <c r="O221" s="2" t="s">
        <v>181</v>
      </c>
      <c r="P221" s="2" t="s">
        <v>1079</v>
      </c>
      <c r="Q221" s="2" t="s">
        <v>86</v>
      </c>
      <c r="R221" s="2" t="s">
        <v>635</v>
      </c>
      <c r="S221" s="4">
        <v>46043</v>
      </c>
      <c r="T221" s="2" t="s">
        <v>1334</v>
      </c>
      <c r="U221" s="2" t="s">
        <v>181</v>
      </c>
      <c r="V221" s="2" t="s">
        <v>83</v>
      </c>
      <c r="W221" s="2" t="s">
        <v>86</v>
      </c>
      <c r="X221" s="2" t="s">
        <v>117</v>
      </c>
      <c r="Y221" s="3" t="s">
        <v>118</v>
      </c>
      <c r="Z221" s="3">
        <v>22.79</v>
      </c>
      <c r="AA221" s="2" t="s">
        <v>90</v>
      </c>
      <c r="AB221" s="2" t="s">
        <v>635</v>
      </c>
      <c r="AC221" s="2" t="s">
        <v>633</v>
      </c>
      <c r="AD221" t="str" cm="1">
        <f t="array" ref="AD22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221" s="2" t="s">
        <v>91</v>
      </c>
      <c r="AF221" s="2" t="s">
        <v>998</v>
      </c>
      <c r="AG221" s="2" t="s">
        <v>119</v>
      </c>
      <c r="AH221" s="2" t="s">
        <v>120</v>
      </c>
      <c r="AK221" s="2" t="s">
        <v>1495</v>
      </c>
      <c r="AN221" s="3">
        <v>1</v>
      </c>
      <c r="AO221" s="3">
        <v>1</v>
      </c>
      <c r="AP221" s="3">
        <v>1</v>
      </c>
      <c r="AQ221" s="3">
        <v>1</v>
      </c>
      <c r="AR221" s="3">
        <v>1</v>
      </c>
      <c r="AS221" s="3">
        <v>0</v>
      </c>
      <c r="AT221" s="3">
        <v>0</v>
      </c>
      <c r="AU221" s="3">
        <v>0</v>
      </c>
      <c r="AV221" s="3">
        <v>1</v>
      </c>
      <c r="AW221" s="3">
        <v>0</v>
      </c>
      <c r="AX221" s="3">
        <v>1</v>
      </c>
      <c r="AY221" s="3">
        <v>0</v>
      </c>
      <c r="AZ221" s="3">
        <v>0</v>
      </c>
      <c r="BA221" s="3">
        <v>0</v>
      </c>
      <c r="BB221" s="3">
        <v>0</v>
      </c>
      <c r="BC221" s="3">
        <v>1</v>
      </c>
      <c r="BD221" s="3">
        <v>0</v>
      </c>
      <c r="BE221" s="3">
        <v>0</v>
      </c>
      <c r="BG221" s="2" t="s">
        <v>91</v>
      </c>
      <c r="BH221" s="3">
        <v>3</v>
      </c>
      <c r="BJ221" s="2" t="s">
        <v>96</v>
      </c>
      <c r="BL221" s="2" t="s">
        <v>123</v>
      </c>
      <c r="BM221" s="2" t="s">
        <v>123</v>
      </c>
      <c r="BN221" s="2" t="s">
        <v>124</v>
      </c>
      <c r="BO221" s="2" t="s">
        <v>125</v>
      </c>
      <c r="BP221" s="2" t="s">
        <v>242</v>
      </c>
      <c r="BQ221" s="2" t="s">
        <v>124</v>
      </c>
      <c r="BR221" s="2" t="s">
        <v>126</v>
      </c>
      <c r="BS221" s="2" t="s">
        <v>127</v>
      </c>
      <c r="BT221" s="2" t="s">
        <v>207</v>
      </c>
      <c r="BU221" s="2" t="s">
        <v>208</v>
      </c>
      <c r="BV221" s="2" t="s">
        <v>150</v>
      </c>
      <c r="BW221" s="2" t="s">
        <v>151</v>
      </c>
      <c r="BX221" s="2" t="s">
        <v>91</v>
      </c>
      <c r="BY22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21" s="2">
        <f>IF(AND(Cases[[#This Row],[Priority Level]]&gt;=3,Cases[[#This Row],[System Role]]&lt;&gt;"Productive"),1,0)</f>
        <v>0</v>
      </c>
      <c r="CA221" s="2">
        <f>IFERROR(IF(Cases[[#This Row],[Days at Customer]]&gt;MAX(1,Cases[[#This Row],[Days at SAP]]*2),1,0),0)</f>
        <v>1</v>
      </c>
      <c r="CB221" s="2">
        <f>IF(AND(Cases[[#This Row],[Initial Component]]&lt;&gt;"",Cases[[#This Row],[Component]]&lt;&gt;"",Cases[[#This Row],[Initial Component]]&lt;&gt;Cases[[#This Row],[Component]]),1,0)</f>
        <v>0</v>
      </c>
      <c r="CC221" s="2">
        <f>IF(OR(Cases[[#This Row],[Is Reopened]]="X",Cases[[#This Row],[No. of Reopenings]]&gt;0),1,0)</f>
        <v>0</v>
      </c>
      <c r="CD221" s="2">
        <f>IF(Cases[[#This Row],[Confirmation Type]]="Automatic",1,0)</f>
        <v>1</v>
      </c>
      <c r="CE221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22" spans="1:83" x14ac:dyDescent="0.2">
      <c r="A222" s="1" t="s">
        <v>1496</v>
      </c>
      <c r="B222" s="2" t="s">
        <v>1497</v>
      </c>
      <c r="C222" s="2" t="s">
        <v>1498</v>
      </c>
      <c r="D222" s="2" t="s">
        <v>78</v>
      </c>
      <c r="E222" s="3">
        <v>0.03</v>
      </c>
      <c r="F222" s="3">
        <v>7.63</v>
      </c>
      <c r="G222" s="2" t="s">
        <v>190</v>
      </c>
      <c r="H222" s="2" t="s">
        <v>191</v>
      </c>
      <c r="I222" s="3" t="s">
        <v>114</v>
      </c>
      <c r="J222" s="3">
        <v>84</v>
      </c>
      <c r="K222" s="2" t="s">
        <v>1499</v>
      </c>
      <c r="L222" s="4">
        <v>46054</v>
      </c>
      <c r="M222" s="4">
        <v>46051</v>
      </c>
      <c r="N222" s="2" t="s">
        <v>1334</v>
      </c>
      <c r="O222" s="2" t="s">
        <v>181</v>
      </c>
      <c r="P222" s="2" t="s">
        <v>1335</v>
      </c>
      <c r="Q222" s="2" t="s">
        <v>86</v>
      </c>
      <c r="R222" s="2" t="s">
        <v>1500</v>
      </c>
      <c r="S222" s="4">
        <v>46043</v>
      </c>
      <c r="T222" s="2" t="s">
        <v>1334</v>
      </c>
      <c r="U222" s="2" t="s">
        <v>181</v>
      </c>
      <c r="V222" s="2" t="s">
        <v>83</v>
      </c>
      <c r="W222" s="2" t="s">
        <v>86</v>
      </c>
      <c r="X222" s="2" t="s">
        <v>117</v>
      </c>
      <c r="Y222" s="3" t="s">
        <v>118</v>
      </c>
      <c r="Z222" s="3">
        <v>7.66</v>
      </c>
      <c r="AA222" s="2" t="s">
        <v>90</v>
      </c>
      <c r="AB222" s="2" t="s">
        <v>1500</v>
      </c>
      <c r="AC222" s="2" t="s">
        <v>1498</v>
      </c>
      <c r="AD222" t="str" cm="1">
        <f t="array" ref="AD22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222" s="2" t="s">
        <v>139</v>
      </c>
      <c r="AF222" s="2" t="s">
        <v>998</v>
      </c>
      <c r="AG222" s="2" t="s">
        <v>159</v>
      </c>
      <c r="AH222" s="2" t="s">
        <v>160</v>
      </c>
      <c r="AK222" s="2" t="s">
        <v>1501</v>
      </c>
      <c r="AN222" s="3">
        <v>1</v>
      </c>
      <c r="AO222" s="3">
        <v>1</v>
      </c>
      <c r="AP222" s="3">
        <v>1</v>
      </c>
      <c r="AQ222" s="3">
        <v>1</v>
      </c>
      <c r="AR222" s="3">
        <v>1</v>
      </c>
      <c r="AS222" s="3">
        <v>0</v>
      </c>
      <c r="AT222" s="3">
        <v>0</v>
      </c>
      <c r="AU222" s="3">
        <v>0</v>
      </c>
      <c r="AV222" s="3">
        <v>0</v>
      </c>
      <c r="AW222" s="3">
        <v>1</v>
      </c>
      <c r="AX222" s="3">
        <v>1</v>
      </c>
      <c r="AY222" s="3">
        <v>0</v>
      </c>
      <c r="AZ222" s="3">
        <v>0</v>
      </c>
      <c r="BA222" s="3">
        <v>1</v>
      </c>
      <c r="BB222" s="3">
        <v>0</v>
      </c>
      <c r="BC222" s="3">
        <v>0</v>
      </c>
      <c r="BD222" s="3">
        <v>0</v>
      </c>
      <c r="BE222" s="3">
        <v>0</v>
      </c>
      <c r="BG222" s="2" t="s">
        <v>91</v>
      </c>
      <c r="BH222" s="3">
        <v>3</v>
      </c>
      <c r="BJ222" s="2" t="s">
        <v>96</v>
      </c>
      <c r="BL222" s="2" t="s">
        <v>382</v>
      </c>
      <c r="BM222" s="2" t="s">
        <v>382</v>
      </c>
      <c r="BN222" s="2" t="s">
        <v>99</v>
      </c>
      <c r="BO222" s="2" t="s">
        <v>100</v>
      </c>
      <c r="BP222" s="2" t="s">
        <v>101</v>
      </c>
      <c r="BQ222" s="2" t="s">
        <v>383</v>
      </c>
      <c r="BR222" s="2" t="s">
        <v>384</v>
      </c>
      <c r="BS222" s="2" t="s">
        <v>127</v>
      </c>
      <c r="BT222" s="2" t="s">
        <v>385</v>
      </c>
      <c r="BU222" s="2" t="s">
        <v>386</v>
      </c>
      <c r="BV222" s="2" t="s">
        <v>166</v>
      </c>
      <c r="BW222" s="2" t="s">
        <v>167</v>
      </c>
      <c r="BX222" s="2" t="s">
        <v>91</v>
      </c>
      <c r="BY22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22" s="2">
        <f>IF(AND(Cases[[#This Row],[Priority Level]]&gt;=3,Cases[[#This Row],[System Role]]&lt;&gt;"Productive"),1,0)</f>
        <v>1</v>
      </c>
      <c r="CA222" s="2">
        <f>IFERROR(IF(Cases[[#This Row],[Days at Customer]]&gt;MAX(1,Cases[[#This Row],[Days at SAP]]*2),1,0),0)</f>
        <v>1</v>
      </c>
      <c r="CB222" s="2">
        <f>IF(AND(Cases[[#This Row],[Initial Component]]&lt;&gt;"",Cases[[#This Row],[Component]]&lt;&gt;"",Cases[[#This Row],[Initial Component]]&lt;&gt;Cases[[#This Row],[Component]]),1,0)</f>
        <v>0</v>
      </c>
      <c r="CC222" s="2">
        <f>IF(OR(Cases[[#This Row],[Is Reopened]]="X",Cases[[#This Row],[No. of Reopenings]]&gt;0),1,0)</f>
        <v>0</v>
      </c>
      <c r="CD222" s="2">
        <f>IF(Cases[[#This Row],[Confirmation Type]]="Automatic",1,0)</f>
        <v>0</v>
      </c>
      <c r="CE222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23" spans="1:83" x14ac:dyDescent="0.2">
      <c r="A223" s="1" t="s">
        <v>1502</v>
      </c>
      <c r="B223" s="2" t="s">
        <v>1503</v>
      </c>
      <c r="C223" s="2" t="s">
        <v>1504</v>
      </c>
      <c r="D223" s="2" t="s">
        <v>78</v>
      </c>
      <c r="E223" s="3">
        <v>3.62</v>
      </c>
      <c r="F223" s="3">
        <v>17.55</v>
      </c>
      <c r="G223" s="2" t="s">
        <v>79</v>
      </c>
      <c r="H223" s="2" t="s">
        <v>155</v>
      </c>
      <c r="I223" s="3" t="s">
        <v>114</v>
      </c>
      <c r="J223" s="3">
        <v>84</v>
      </c>
      <c r="K223" s="2" t="s">
        <v>1505</v>
      </c>
      <c r="L223" s="4">
        <v>46068</v>
      </c>
      <c r="M223" s="4">
        <v>46064</v>
      </c>
      <c r="N223" s="2" t="s">
        <v>677</v>
      </c>
      <c r="O223" s="2" t="s">
        <v>181</v>
      </c>
      <c r="P223" s="2" t="s">
        <v>1079</v>
      </c>
      <c r="Q223" s="2" t="s">
        <v>86</v>
      </c>
      <c r="R223" s="2" t="s">
        <v>1506</v>
      </c>
      <c r="S223" s="4">
        <v>46043</v>
      </c>
      <c r="T223" s="2" t="s">
        <v>1334</v>
      </c>
      <c r="U223" s="2" t="s">
        <v>181</v>
      </c>
      <c r="V223" s="2" t="s">
        <v>83</v>
      </c>
      <c r="W223" s="2" t="s">
        <v>86</v>
      </c>
      <c r="X223" s="2" t="s">
        <v>117</v>
      </c>
      <c r="Y223" s="3" t="s">
        <v>118</v>
      </c>
      <c r="Z223" s="3">
        <v>21.17</v>
      </c>
      <c r="AA223" s="2" t="s">
        <v>138</v>
      </c>
      <c r="AB223" s="2" t="s">
        <v>443</v>
      </c>
      <c r="AC223" s="2" t="s">
        <v>444</v>
      </c>
      <c r="AD223" t="str" cm="1">
        <f t="array" ref="AD22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223" s="2" t="s">
        <v>139</v>
      </c>
      <c r="AF223" s="2" t="s">
        <v>92</v>
      </c>
      <c r="AG223" s="2" t="s">
        <v>274</v>
      </c>
      <c r="AH223" s="2" t="s">
        <v>275</v>
      </c>
      <c r="AJ223" s="2" t="s">
        <v>122</v>
      </c>
      <c r="AK223" s="2" t="s">
        <v>1507</v>
      </c>
      <c r="AN223" s="3">
        <v>1</v>
      </c>
      <c r="AO223" s="3">
        <v>1</v>
      </c>
      <c r="AP223" s="3">
        <v>1</v>
      </c>
      <c r="AQ223" s="3">
        <v>1</v>
      </c>
      <c r="AR223" s="3">
        <v>0</v>
      </c>
      <c r="AS223" s="3">
        <v>0</v>
      </c>
      <c r="AT223" s="3">
        <v>1</v>
      </c>
      <c r="AU223" s="3">
        <v>0</v>
      </c>
      <c r="AV223" s="3">
        <v>0</v>
      </c>
      <c r="AW223" s="3">
        <v>1</v>
      </c>
      <c r="AX223" s="3">
        <v>0</v>
      </c>
      <c r="AY223" s="3">
        <v>0</v>
      </c>
      <c r="AZ223" s="3">
        <v>1</v>
      </c>
      <c r="BA223" s="3">
        <v>1</v>
      </c>
      <c r="BB223" s="3">
        <v>0</v>
      </c>
      <c r="BC223" s="3">
        <v>0</v>
      </c>
      <c r="BD223" s="3">
        <v>3</v>
      </c>
      <c r="BE223" s="3">
        <v>0</v>
      </c>
      <c r="BG223" s="2" t="s">
        <v>139</v>
      </c>
      <c r="BH223" s="3">
        <v>2</v>
      </c>
      <c r="BJ223" s="2" t="s">
        <v>96</v>
      </c>
      <c r="BL223" s="2" t="s">
        <v>446</v>
      </c>
      <c r="BM223" s="2" t="s">
        <v>447</v>
      </c>
      <c r="BN223" s="2" t="s">
        <v>279</v>
      </c>
      <c r="BO223" s="2" t="s">
        <v>280</v>
      </c>
      <c r="BP223" s="2" t="s">
        <v>101</v>
      </c>
      <c r="BQ223" s="2" t="s">
        <v>448</v>
      </c>
      <c r="BR223" s="2" t="s">
        <v>449</v>
      </c>
      <c r="BS223" s="2" t="s">
        <v>450</v>
      </c>
      <c r="BT223" s="2" t="s">
        <v>1030</v>
      </c>
      <c r="BU223" s="2" t="s">
        <v>1031</v>
      </c>
      <c r="BV223" s="2" t="s">
        <v>166</v>
      </c>
      <c r="BW223" s="2" t="s">
        <v>167</v>
      </c>
      <c r="BX223" s="2" t="s">
        <v>139</v>
      </c>
      <c r="BY22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23" s="2">
        <f>IF(AND(Cases[[#This Row],[Priority Level]]&gt;=3,Cases[[#This Row],[System Role]]&lt;&gt;"Productive"),1,0)</f>
        <v>0</v>
      </c>
      <c r="CA223" s="2">
        <f>IFERROR(IF(Cases[[#This Row],[Days at Customer]]&gt;MAX(1,Cases[[#This Row],[Days at SAP]]*2),1,0),0)</f>
        <v>1</v>
      </c>
      <c r="CB223" s="2">
        <f>IF(AND(Cases[[#This Row],[Initial Component]]&lt;&gt;"",Cases[[#This Row],[Component]]&lt;&gt;"",Cases[[#This Row],[Initial Component]]&lt;&gt;Cases[[#This Row],[Component]]),1,0)</f>
        <v>1</v>
      </c>
      <c r="CC223" s="2">
        <f>IF(OR(Cases[[#This Row],[Is Reopened]]="X",Cases[[#This Row],[No. of Reopenings]]&gt;0),1,0)</f>
        <v>1</v>
      </c>
      <c r="CD223" s="2">
        <f>IF(Cases[[#This Row],[Confirmation Type]]="Automatic",1,0)</f>
        <v>0</v>
      </c>
      <c r="CE223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224" spans="1:83" x14ac:dyDescent="0.2">
      <c r="A224" s="1" t="s">
        <v>1508</v>
      </c>
      <c r="B224" s="2" t="s">
        <v>1509</v>
      </c>
      <c r="C224" s="2" t="s">
        <v>289</v>
      </c>
      <c r="D224" s="2" t="s">
        <v>238</v>
      </c>
      <c r="E224" s="3">
        <v>17.02</v>
      </c>
      <c r="F224" s="3">
        <v>24.77</v>
      </c>
      <c r="G224" s="2" t="s">
        <v>79</v>
      </c>
      <c r="H224" s="2" t="s">
        <v>178</v>
      </c>
      <c r="I224" s="3" t="s">
        <v>81</v>
      </c>
      <c r="J224" s="3">
        <v>84</v>
      </c>
      <c r="K224" s="2" t="s">
        <v>1510</v>
      </c>
      <c r="L224" s="4">
        <v>46089</v>
      </c>
      <c r="M224" s="4">
        <v>46085</v>
      </c>
      <c r="N224" s="2" t="s">
        <v>180</v>
      </c>
      <c r="O224" s="2" t="s">
        <v>181</v>
      </c>
      <c r="P224" s="2" t="s">
        <v>526</v>
      </c>
      <c r="Q224" s="2" t="s">
        <v>86</v>
      </c>
      <c r="R224" s="2" t="s">
        <v>292</v>
      </c>
      <c r="S224" s="4">
        <v>46043</v>
      </c>
      <c r="T224" s="2" t="s">
        <v>1334</v>
      </c>
      <c r="U224" s="2" t="s">
        <v>181</v>
      </c>
      <c r="V224" s="2" t="s">
        <v>83</v>
      </c>
      <c r="W224" s="2" t="s">
        <v>86</v>
      </c>
      <c r="X224" s="2" t="s">
        <v>88</v>
      </c>
      <c r="Y224" s="3" t="s">
        <v>89</v>
      </c>
      <c r="Z224" s="3">
        <v>41.79</v>
      </c>
      <c r="AA224" s="2" t="s">
        <v>90</v>
      </c>
      <c r="AB224" s="2" t="s">
        <v>292</v>
      </c>
      <c r="AC224" s="2" t="s">
        <v>289</v>
      </c>
      <c r="AD224" t="str" cm="1">
        <f t="array" ref="AD22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224" s="2" t="s">
        <v>91</v>
      </c>
      <c r="AF224" s="2" t="s">
        <v>92</v>
      </c>
      <c r="AG224" s="2" t="s">
        <v>93</v>
      </c>
      <c r="AH224" s="2" t="s">
        <v>94</v>
      </c>
      <c r="AK224" s="2" t="s">
        <v>1511</v>
      </c>
      <c r="AN224" s="3">
        <v>1</v>
      </c>
      <c r="AO224" s="3">
        <v>1</v>
      </c>
      <c r="AP224" s="3">
        <v>1</v>
      </c>
      <c r="AQ224" s="3">
        <v>1</v>
      </c>
      <c r="AR224" s="3">
        <v>1</v>
      </c>
      <c r="AS224" s="3">
        <v>0</v>
      </c>
      <c r="AT224" s="3">
        <v>0</v>
      </c>
      <c r="AU224" s="3">
        <v>0</v>
      </c>
      <c r="AV224" s="3">
        <v>1</v>
      </c>
      <c r="AW224" s="3">
        <v>0</v>
      </c>
      <c r="AX224" s="3">
        <v>1</v>
      </c>
      <c r="AY224" s="3">
        <v>0</v>
      </c>
      <c r="AZ224" s="3">
        <v>0</v>
      </c>
      <c r="BA224" s="3">
        <v>0</v>
      </c>
      <c r="BB224" s="3">
        <v>0</v>
      </c>
      <c r="BC224" s="3">
        <v>1</v>
      </c>
      <c r="BD224" s="3">
        <v>0</v>
      </c>
      <c r="BE224" s="3">
        <v>0</v>
      </c>
      <c r="BG224" s="2" t="s">
        <v>91</v>
      </c>
      <c r="BH224" s="3">
        <v>3</v>
      </c>
      <c r="BJ224" s="2" t="s">
        <v>96</v>
      </c>
      <c r="BL224" s="2" t="s">
        <v>184</v>
      </c>
      <c r="BM224" s="2" t="s">
        <v>184</v>
      </c>
      <c r="BN224" s="2" t="s">
        <v>124</v>
      </c>
      <c r="BO224" s="2" t="s">
        <v>125</v>
      </c>
      <c r="BP224" s="2" t="s">
        <v>242</v>
      </c>
      <c r="BQ224" s="2" t="s">
        <v>124</v>
      </c>
      <c r="BR224" s="2" t="s">
        <v>126</v>
      </c>
      <c r="BS224" s="2" t="s">
        <v>104</v>
      </c>
      <c r="BT224" s="2" t="s">
        <v>185</v>
      </c>
      <c r="BU224" s="2" t="s">
        <v>968</v>
      </c>
      <c r="BV224" s="2" t="s">
        <v>150</v>
      </c>
      <c r="BW224" s="2" t="s">
        <v>151</v>
      </c>
      <c r="BX224" s="2" t="s">
        <v>91</v>
      </c>
      <c r="BY22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24" s="2">
        <f>IF(AND(Cases[[#This Row],[Priority Level]]&gt;=3,Cases[[#This Row],[System Role]]&lt;&gt;"Productive"),1,0)</f>
        <v>0</v>
      </c>
      <c r="CA224" s="2">
        <f>IFERROR(IF(Cases[[#This Row],[Days at Customer]]&gt;MAX(1,Cases[[#This Row],[Days at SAP]]*2),1,0),0)</f>
        <v>0</v>
      </c>
      <c r="CB224" s="2">
        <f>IF(AND(Cases[[#This Row],[Initial Component]]&lt;&gt;"",Cases[[#This Row],[Component]]&lt;&gt;"",Cases[[#This Row],[Initial Component]]&lt;&gt;Cases[[#This Row],[Component]]),1,0)</f>
        <v>0</v>
      </c>
      <c r="CC224" s="2">
        <f>IF(OR(Cases[[#This Row],[Is Reopened]]="X",Cases[[#This Row],[No. of Reopenings]]&gt;0),1,0)</f>
        <v>0</v>
      </c>
      <c r="CD224" s="2">
        <f>IF(Cases[[#This Row],[Confirmation Type]]="Automatic",1,0)</f>
        <v>1</v>
      </c>
      <c r="CE22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25" spans="1:83" x14ac:dyDescent="0.2">
      <c r="A225" s="1" t="s">
        <v>1801</v>
      </c>
      <c r="B225" s="2" t="s">
        <v>1802</v>
      </c>
      <c r="C225" s="2" t="s">
        <v>111</v>
      </c>
      <c r="D225" s="2" t="s">
        <v>78</v>
      </c>
      <c r="E225" s="3">
        <v>0</v>
      </c>
      <c r="F225" s="3">
        <v>6.62</v>
      </c>
      <c r="G225" s="2" t="s">
        <v>112</v>
      </c>
      <c r="H225" s="2" t="s">
        <v>113</v>
      </c>
      <c r="I225" s="3" t="s">
        <v>114</v>
      </c>
      <c r="J225" s="3">
        <v>105</v>
      </c>
      <c r="K225" s="2" t="s">
        <v>1803</v>
      </c>
      <c r="L225" s="4">
        <v>46033</v>
      </c>
      <c r="M225" s="4">
        <v>46031</v>
      </c>
      <c r="N225" s="2" t="s">
        <v>1334</v>
      </c>
      <c r="O225" s="2" t="s">
        <v>181</v>
      </c>
      <c r="P225" s="2" t="s">
        <v>677</v>
      </c>
      <c r="Q225" s="2" t="s">
        <v>86</v>
      </c>
      <c r="R225" s="2" t="s">
        <v>116</v>
      </c>
      <c r="S225" s="4">
        <v>46022</v>
      </c>
      <c r="T225" s="2" t="s">
        <v>1804</v>
      </c>
      <c r="U225" s="2" t="s">
        <v>1805</v>
      </c>
      <c r="V225" s="2" t="s">
        <v>1334</v>
      </c>
      <c r="W225" s="2" t="s">
        <v>1806</v>
      </c>
      <c r="X225" s="2" t="s">
        <v>117</v>
      </c>
      <c r="Y225" s="3" t="s">
        <v>118</v>
      </c>
      <c r="Z225" s="3">
        <v>6.62</v>
      </c>
      <c r="AA225" s="2" t="s">
        <v>90</v>
      </c>
      <c r="AB225" s="2" t="s">
        <v>116</v>
      </c>
      <c r="AC225" s="2" t="s">
        <v>111</v>
      </c>
      <c r="AD225" t="str" cm="1">
        <f t="array" ref="AD22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225" s="2" t="s">
        <v>139</v>
      </c>
      <c r="AF225" s="2" t="s">
        <v>92</v>
      </c>
      <c r="AG225" s="2" t="s">
        <v>119</v>
      </c>
      <c r="AH225" s="2" t="s">
        <v>120</v>
      </c>
      <c r="AK225" s="2" t="s">
        <v>1807</v>
      </c>
      <c r="AN225" s="3">
        <v>1</v>
      </c>
      <c r="AO225" s="3">
        <v>1</v>
      </c>
      <c r="AP225" s="3">
        <v>1</v>
      </c>
      <c r="AQ225" s="3">
        <v>1</v>
      </c>
      <c r="AR225" s="3">
        <v>0</v>
      </c>
      <c r="AS225" s="3">
        <v>0</v>
      </c>
      <c r="AT225" s="3">
        <v>1</v>
      </c>
      <c r="AU225" s="3">
        <v>0</v>
      </c>
      <c r="AV225" s="3">
        <v>0</v>
      </c>
      <c r="AW225" s="3">
        <v>1</v>
      </c>
      <c r="AX225" s="3">
        <v>0</v>
      </c>
      <c r="AY225" s="3">
        <v>0</v>
      </c>
      <c r="AZ225" s="3">
        <v>1</v>
      </c>
      <c r="BA225" s="3">
        <v>0</v>
      </c>
      <c r="BB225" s="3">
        <v>0</v>
      </c>
      <c r="BC225" s="3">
        <v>1</v>
      </c>
      <c r="BD225" s="3">
        <v>0</v>
      </c>
      <c r="BE225" s="3">
        <v>0</v>
      </c>
      <c r="BG225" s="2" t="s">
        <v>139</v>
      </c>
      <c r="BH225" s="3">
        <v>2</v>
      </c>
      <c r="BI225" s="2" t="s">
        <v>122</v>
      </c>
      <c r="BJ225" s="2" t="s">
        <v>96</v>
      </c>
      <c r="BL225" s="2" t="s">
        <v>123</v>
      </c>
      <c r="BM225" s="2" t="s">
        <v>123</v>
      </c>
      <c r="BN225" s="2" t="s">
        <v>124</v>
      </c>
      <c r="BO225" s="2" t="s">
        <v>125</v>
      </c>
      <c r="BP225" s="2" t="s">
        <v>101</v>
      </c>
      <c r="BQ225" s="2" t="s">
        <v>124</v>
      </c>
      <c r="BR225" s="2" t="s">
        <v>126</v>
      </c>
      <c r="BS225" s="2" t="s">
        <v>127</v>
      </c>
      <c r="BT225" s="2" t="s">
        <v>207</v>
      </c>
      <c r="BU225" s="2" t="s">
        <v>208</v>
      </c>
      <c r="BV225" s="2" t="s">
        <v>150</v>
      </c>
      <c r="BW225" s="2" t="s">
        <v>151</v>
      </c>
      <c r="BX225" s="2" t="s">
        <v>139</v>
      </c>
      <c r="BY22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25" s="2">
        <f>IF(AND(Cases[[#This Row],[Priority Level]]&gt;=3,Cases[[#This Row],[System Role]]&lt;&gt;"Productive"),1,0)</f>
        <v>0</v>
      </c>
      <c r="CA225" s="2">
        <f>IFERROR(IF(Cases[[#This Row],[Days at Customer]]&gt;MAX(1,Cases[[#This Row],[Days at SAP]]*2),1,0),0)</f>
        <v>1</v>
      </c>
      <c r="CB225" s="2">
        <f>IF(AND(Cases[[#This Row],[Initial Component]]&lt;&gt;"",Cases[[#This Row],[Component]]&lt;&gt;"",Cases[[#This Row],[Initial Component]]&lt;&gt;Cases[[#This Row],[Component]]),1,0)</f>
        <v>0</v>
      </c>
      <c r="CC225" s="2">
        <f>IF(OR(Cases[[#This Row],[Is Reopened]]="X",Cases[[#This Row],[No. of Reopenings]]&gt;0),1,0)</f>
        <v>0</v>
      </c>
      <c r="CD225" s="2">
        <f>IF(Cases[[#This Row],[Confirmation Type]]="Automatic",1,0)</f>
        <v>0</v>
      </c>
      <c r="CE225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26" spans="1:83" x14ac:dyDescent="0.2">
      <c r="A226" s="1" t="s">
        <v>1516</v>
      </c>
      <c r="B226" s="2" t="s">
        <v>1517</v>
      </c>
      <c r="C226" s="2" t="s">
        <v>1518</v>
      </c>
      <c r="D226" s="2" t="s">
        <v>78</v>
      </c>
      <c r="E226" s="3">
        <v>1.28</v>
      </c>
      <c r="F226" s="3">
        <v>33.47</v>
      </c>
      <c r="G226" s="2" t="s">
        <v>79</v>
      </c>
      <c r="H226" s="2" t="s">
        <v>732</v>
      </c>
      <c r="I226" s="3" t="s">
        <v>114</v>
      </c>
      <c r="J226" s="3">
        <v>84</v>
      </c>
      <c r="K226" s="2" t="s">
        <v>1519</v>
      </c>
      <c r="L226" s="4">
        <v>46096</v>
      </c>
      <c r="M226" s="4">
        <v>46078</v>
      </c>
      <c r="N226" s="2" t="s">
        <v>677</v>
      </c>
      <c r="O226" s="2" t="s">
        <v>181</v>
      </c>
      <c r="P226" s="2" t="s">
        <v>678</v>
      </c>
      <c r="Q226" s="2" t="s">
        <v>86</v>
      </c>
      <c r="R226" s="2" t="s">
        <v>1520</v>
      </c>
      <c r="S226" s="4">
        <v>46043</v>
      </c>
      <c r="T226" s="2" t="s">
        <v>1334</v>
      </c>
      <c r="U226" s="2" t="s">
        <v>181</v>
      </c>
      <c r="V226" s="2" t="s">
        <v>83</v>
      </c>
      <c r="W226" s="2" t="s">
        <v>86</v>
      </c>
      <c r="X226" s="2" t="s">
        <v>117</v>
      </c>
      <c r="Y226" s="3" t="s">
        <v>118</v>
      </c>
      <c r="Z226" s="3">
        <v>34.75</v>
      </c>
      <c r="AA226" s="2" t="s">
        <v>90</v>
      </c>
      <c r="AB226" s="2" t="s">
        <v>1521</v>
      </c>
      <c r="AC226" s="2" t="s">
        <v>1522</v>
      </c>
      <c r="AD226" t="str" cm="1">
        <f t="array" ref="AD22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226" s="2" t="s">
        <v>139</v>
      </c>
      <c r="AF226" s="2" t="s">
        <v>92</v>
      </c>
      <c r="AG226" s="2" t="s">
        <v>353</v>
      </c>
      <c r="AH226" s="2" t="s">
        <v>354</v>
      </c>
      <c r="AJ226" s="2" t="s">
        <v>122</v>
      </c>
      <c r="AK226" s="2" t="s">
        <v>1523</v>
      </c>
      <c r="AN226" s="3">
        <v>1</v>
      </c>
      <c r="AO226" s="3">
        <v>1</v>
      </c>
      <c r="AP226" s="3">
        <v>1</v>
      </c>
      <c r="AQ226" s="3">
        <v>1</v>
      </c>
      <c r="AR226" s="3">
        <v>0</v>
      </c>
      <c r="AS226" s="3">
        <v>0</v>
      </c>
      <c r="AT226" s="3">
        <v>1</v>
      </c>
      <c r="AU226" s="3">
        <v>0</v>
      </c>
      <c r="AV226" s="3">
        <v>0</v>
      </c>
      <c r="AW226" s="3">
        <v>1</v>
      </c>
      <c r="AX226" s="3">
        <v>0</v>
      </c>
      <c r="AY226" s="3">
        <v>0</v>
      </c>
      <c r="AZ226" s="3">
        <v>1</v>
      </c>
      <c r="BA226" s="3">
        <v>0</v>
      </c>
      <c r="BB226" s="3">
        <v>0</v>
      </c>
      <c r="BC226" s="3">
        <v>1</v>
      </c>
      <c r="BD226" s="3">
        <v>2</v>
      </c>
      <c r="BE226" s="3">
        <v>0</v>
      </c>
      <c r="BG226" s="2" t="s">
        <v>139</v>
      </c>
      <c r="BH226" s="3">
        <v>2</v>
      </c>
      <c r="BJ226" s="2" t="s">
        <v>96</v>
      </c>
      <c r="BL226" s="2" t="s">
        <v>97</v>
      </c>
      <c r="BM226" s="2" t="s">
        <v>98</v>
      </c>
      <c r="BN226" s="2" t="s">
        <v>99</v>
      </c>
      <c r="BO226" s="2" t="s">
        <v>100</v>
      </c>
      <c r="BP226" s="2" t="s">
        <v>101</v>
      </c>
      <c r="BQ226" s="2" t="s">
        <v>102</v>
      </c>
      <c r="BR226" s="2" t="s">
        <v>103</v>
      </c>
      <c r="BS226" s="2" t="s">
        <v>127</v>
      </c>
      <c r="BT226" s="2" t="s">
        <v>356</v>
      </c>
      <c r="BU226" s="2" t="s">
        <v>357</v>
      </c>
      <c r="BV226" s="2" t="s">
        <v>150</v>
      </c>
      <c r="BW226" s="2" t="s">
        <v>151</v>
      </c>
      <c r="BX226" s="2" t="s">
        <v>139</v>
      </c>
      <c r="BY22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26" s="2">
        <f>IF(AND(Cases[[#This Row],[Priority Level]]&gt;=3,Cases[[#This Row],[System Role]]&lt;&gt;"Productive"),1,0)</f>
        <v>0</v>
      </c>
      <c r="CA226" s="2">
        <f>IFERROR(IF(Cases[[#This Row],[Days at Customer]]&gt;MAX(1,Cases[[#This Row],[Days at SAP]]*2),1,0),0)</f>
        <v>1</v>
      </c>
      <c r="CB226" s="2">
        <f>IF(AND(Cases[[#This Row],[Initial Component]]&lt;&gt;"",Cases[[#This Row],[Component]]&lt;&gt;"",Cases[[#This Row],[Initial Component]]&lt;&gt;Cases[[#This Row],[Component]]),1,0)</f>
        <v>1</v>
      </c>
      <c r="CC226" s="2">
        <f>IF(OR(Cases[[#This Row],[Is Reopened]]="X",Cases[[#This Row],[No. of Reopenings]]&gt;0),1,0)</f>
        <v>1</v>
      </c>
      <c r="CD226" s="2">
        <f>IF(Cases[[#This Row],[Confirmation Type]]="Automatic",1,0)</f>
        <v>0</v>
      </c>
      <c r="CE226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227" spans="1:83" x14ac:dyDescent="0.2">
      <c r="A227" s="1" t="s">
        <v>1524</v>
      </c>
      <c r="B227" s="2" t="s">
        <v>1525</v>
      </c>
      <c r="C227" s="2" t="s">
        <v>925</v>
      </c>
      <c r="D227" s="2" t="s">
        <v>238</v>
      </c>
      <c r="E227" s="3">
        <v>2.2000000000000002</v>
      </c>
      <c r="F227" s="3">
        <v>31.53</v>
      </c>
      <c r="G227" s="2" t="s">
        <v>79</v>
      </c>
      <c r="H227" s="2" t="s">
        <v>178</v>
      </c>
      <c r="I227" s="3" t="s">
        <v>114</v>
      </c>
      <c r="J227" s="3">
        <v>84</v>
      </c>
      <c r="K227" s="2" t="s">
        <v>1526</v>
      </c>
      <c r="L227" s="4">
        <v>46082</v>
      </c>
      <c r="M227" s="4">
        <v>46077</v>
      </c>
      <c r="N227" s="2" t="s">
        <v>677</v>
      </c>
      <c r="O227" s="2" t="s">
        <v>181</v>
      </c>
      <c r="P227" s="2" t="s">
        <v>678</v>
      </c>
      <c r="Q227" s="2" t="s">
        <v>86</v>
      </c>
      <c r="R227" s="2" t="s">
        <v>927</v>
      </c>
      <c r="S227" s="4">
        <v>46043</v>
      </c>
      <c r="T227" s="2" t="s">
        <v>1334</v>
      </c>
      <c r="U227" s="2" t="s">
        <v>181</v>
      </c>
      <c r="V227" s="2" t="s">
        <v>83</v>
      </c>
      <c r="W227" s="2" t="s">
        <v>86</v>
      </c>
      <c r="X227" s="2" t="s">
        <v>117</v>
      </c>
      <c r="Y227" s="3" t="s">
        <v>118</v>
      </c>
      <c r="Z227" s="3">
        <v>33.729999999999997</v>
      </c>
      <c r="AA227" s="2" t="s">
        <v>138</v>
      </c>
      <c r="AB227" s="2" t="s">
        <v>927</v>
      </c>
      <c r="AC227" s="2" t="s">
        <v>925</v>
      </c>
      <c r="AD227" t="str" cm="1">
        <f t="array" ref="AD22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EAM</v>
      </c>
      <c r="AE227" s="2" t="s">
        <v>139</v>
      </c>
      <c r="AF227" s="2" t="s">
        <v>92</v>
      </c>
      <c r="AG227" s="2" t="s">
        <v>274</v>
      </c>
      <c r="AH227" s="2" t="s">
        <v>275</v>
      </c>
      <c r="AJ227" s="2" t="s">
        <v>122</v>
      </c>
      <c r="AK227" s="2" t="s">
        <v>1527</v>
      </c>
      <c r="AN227" s="3">
        <v>1</v>
      </c>
      <c r="AO227" s="3">
        <v>1</v>
      </c>
      <c r="AP227" s="3">
        <v>1</v>
      </c>
      <c r="AQ227" s="3">
        <v>1</v>
      </c>
      <c r="AR227" s="3">
        <v>1</v>
      </c>
      <c r="AS227" s="3">
        <v>0</v>
      </c>
      <c r="AT227" s="3">
        <v>0</v>
      </c>
      <c r="AU227" s="3">
        <v>0</v>
      </c>
      <c r="AV227" s="3">
        <v>1</v>
      </c>
      <c r="AW227" s="3">
        <v>0</v>
      </c>
      <c r="AX227" s="3">
        <v>1</v>
      </c>
      <c r="AY227" s="3">
        <v>0</v>
      </c>
      <c r="AZ227" s="3">
        <v>0</v>
      </c>
      <c r="BA227" s="3">
        <v>0</v>
      </c>
      <c r="BB227" s="3">
        <v>0</v>
      </c>
      <c r="BC227" s="3">
        <v>1</v>
      </c>
      <c r="BD227" s="3">
        <v>1</v>
      </c>
      <c r="BE227" s="3">
        <v>0</v>
      </c>
      <c r="BG227" s="2" t="s">
        <v>91</v>
      </c>
      <c r="BH227" s="3">
        <v>3</v>
      </c>
      <c r="BJ227" s="2" t="s">
        <v>96</v>
      </c>
      <c r="BL227" s="2" t="s">
        <v>931</v>
      </c>
      <c r="BM227" s="2" t="s">
        <v>932</v>
      </c>
      <c r="BN227" s="2" t="s">
        <v>279</v>
      </c>
      <c r="BO227" s="2" t="s">
        <v>280</v>
      </c>
      <c r="BP227" s="2" t="s">
        <v>242</v>
      </c>
      <c r="BQ227" s="2" t="s">
        <v>448</v>
      </c>
      <c r="BR227" s="2" t="s">
        <v>449</v>
      </c>
      <c r="BS227" s="2" t="s">
        <v>450</v>
      </c>
      <c r="BT227" s="2" t="s">
        <v>148</v>
      </c>
      <c r="BU227" s="2" t="s">
        <v>933</v>
      </c>
      <c r="BV227" s="2" t="s">
        <v>150</v>
      </c>
      <c r="BW227" s="2" t="s">
        <v>151</v>
      </c>
      <c r="BX227" s="2" t="s">
        <v>91</v>
      </c>
      <c r="BY22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27" s="2">
        <f>IF(AND(Cases[[#This Row],[Priority Level]]&gt;=3,Cases[[#This Row],[System Role]]&lt;&gt;"Productive"),1,0)</f>
        <v>0</v>
      </c>
      <c r="CA227" s="2">
        <f>IFERROR(IF(Cases[[#This Row],[Days at Customer]]&gt;MAX(1,Cases[[#This Row],[Days at SAP]]*2),1,0),0)</f>
        <v>1</v>
      </c>
      <c r="CB227" s="2">
        <f>IF(AND(Cases[[#This Row],[Initial Component]]&lt;&gt;"",Cases[[#This Row],[Component]]&lt;&gt;"",Cases[[#This Row],[Initial Component]]&lt;&gt;Cases[[#This Row],[Component]]),1,0)</f>
        <v>0</v>
      </c>
      <c r="CC227" s="2">
        <f>IF(OR(Cases[[#This Row],[Is Reopened]]="X",Cases[[#This Row],[No. of Reopenings]]&gt;0),1,0)</f>
        <v>1</v>
      </c>
      <c r="CD227" s="2">
        <f>IF(Cases[[#This Row],[Confirmation Type]]="Automatic",1,0)</f>
        <v>1</v>
      </c>
      <c r="CE227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228" spans="1:83" x14ac:dyDescent="0.2">
      <c r="A228" s="1" t="s">
        <v>1936</v>
      </c>
      <c r="B228" s="2" t="s">
        <v>1937</v>
      </c>
      <c r="C228" s="2" t="s">
        <v>111</v>
      </c>
      <c r="D228" s="2" t="s">
        <v>78</v>
      </c>
      <c r="E228" s="3">
        <v>0</v>
      </c>
      <c r="F228" s="3">
        <v>7.01</v>
      </c>
      <c r="G228" s="2" t="s">
        <v>112</v>
      </c>
      <c r="H228" s="2" t="s">
        <v>113</v>
      </c>
      <c r="I228" s="3" t="s">
        <v>114</v>
      </c>
      <c r="J228" s="3">
        <v>117</v>
      </c>
      <c r="K228" s="2" t="s">
        <v>1938</v>
      </c>
      <c r="L228" s="4">
        <v>46033</v>
      </c>
      <c r="M228" s="4">
        <v>46028</v>
      </c>
      <c r="N228" s="2" t="s">
        <v>1334</v>
      </c>
      <c r="O228" s="2" t="s">
        <v>181</v>
      </c>
      <c r="P228" s="2" t="s">
        <v>677</v>
      </c>
      <c r="Q228" s="2" t="s">
        <v>86</v>
      </c>
      <c r="R228" s="2" t="s">
        <v>116</v>
      </c>
      <c r="S228" s="4">
        <v>46010</v>
      </c>
      <c r="T228" s="2" t="s">
        <v>1804</v>
      </c>
      <c r="U228" s="2" t="s">
        <v>1805</v>
      </c>
      <c r="V228" s="2" t="s">
        <v>1930</v>
      </c>
      <c r="W228" s="2" t="s">
        <v>1806</v>
      </c>
      <c r="X228" s="2" t="s">
        <v>117</v>
      </c>
      <c r="Y228" s="3" t="s">
        <v>118</v>
      </c>
      <c r="Z228" s="3">
        <v>7.01</v>
      </c>
      <c r="AA228" s="2" t="s">
        <v>90</v>
      </c>
      <c r="AB228" s="2" t="s">
        <v>116</v>
      </c>
      <c r="AC228" s="2" t="s">
        <v>111</v>
      </c>
      <c r="AD228" t="str" cm="1">
        <f t="array" ref="AD22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228" s="2" t="s">
        <v>139</v>
      </c>
      <c r="AF228" s="2" t="s">
        <v>92</v>
      </c>
      <c r="AG228" s="2" t="s">
        <v>119</v>
      </c>
      <c r="AH228" s="2" t="s">
        <v>120</v>
      </c>
      <c r="AK228" s="2" t="s">
        <v>1939</v>
      </c>
      <c r="AN228" s="3">
        <v>1</v>
      </c>
      <c r="AO228" s="3">
        <v>1</v>
      </c>
      <c r="AP228" s="3">
        <v>1</v>
      </c>
      <c r="AQ228" s="3">
        <v>1</v>
      </c>
      <c r="AR228" s="3">
        <v>0</v>
      </c>
      <c r="AS228" s="3">
        <v>0</v>
      </c>
      <c r="AT228" s="3">
        <v>1</v>
      </c>
      <c r="AU228" s="3">
        <v>0</v>
      </c>
      <c r="AV228" s="3">
        <v>0</v>
      </c>
      <c r="AW228" s="3">
        <v>1</v>
      </c>
      <c r="AX228" s="3">
        <v>0</v>
      </c>
      <c r="AY228" s="3">
        <v>0</v>
      </c>
      <c r="AZ228" s="3">
        <v>1</v>
      </c>
      <c r="BA228" s="3">
        <v>0</v>
      </c>
      <c r="BB228" s="3">
        <v>0</v>
      </c>
      <c r="BC228" s="3">
        <v>1</v>
      </c>
      <c r="BD228" s="3">
        <v>0</v>
      </c>
      <c r="BE228" s="3">
        <v>0</v>
      </c>
      <c r="BG228" s="2" t="s">
        <v>139</v>
      </c>
      <c r="BH228" s="3">
        <v>2</v>
      </c>
      <c r="BI228" s="2" t="s">
        <v>122</v>
      </c>
      <c r="BJ228" s="2" t="s">
        <v>96</v>
      </c>
      <c r="BL228" s="2" t="s">
        <v>123</v>
      </c>
      <c r="BM228" s="2" t="s">
        <v>123</v>
      </c>
      <c r="BN228" s="2" t="s">
        <v>124</v>
      </c>
      <c r="BO228" s="2" t="s">
        <v>125</v>
      </c>
      <c r="BP228" s="2" t="s">
        <v>101</v>
      </c>
      <c r="BQ228" s="2" t="s">
        <v>124</v>
      </c>
      <c r="BR228" s="2" t="s">
        <v>126</v>
      </c>
      <c r="BS228" s="2" t="s">
        <v>127</v>
      </c>
      <c r="BT228" s="2" t="s">
        <v>207</v>
      </c>
      <c r="BU228" s="2" t="s">
        <v>208</v>
      </c>
      <c r="BV228" s="2" t="s">
        <v>150</v>
      </c>
      <c r="BW228" s="2" t="s">
        <v>151</v>
      </c>
      <c r="BX228" s="2" t="s">
        <v>139</v>
      </c>
      <c r="BY22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28" s="2">
        <f>IF(AND(Cases[[#This Row],[Priority Level]]&gt;=3,Cases[[#This Row],[System Role]]&lt;&gt;"Productive"),1,0)</f>
        <v>0</v>
      </c>
      <c r="CA228" s="2">
        <f>IFERROR(IF(Cases[[#This Row],[Days at Customer]]&gt;MAX(1,Cases[[#This Row],[Days at SAP]]*2),1,0),0)</f>
        <v>1</v>
      </c>
      <c r="CB228" s="2">
        <f>IF(AND(Cases[[#This Row],[Initial Component]]&lt;&gt;"",Cases[[#This Row],[Component]]&lt;&gt;"",Cases[[#This Row],[Initial Component]]&lt;&gt;Cases[[#This Row],[Component]]),1,0)</f>
        <v>0</v>
      </c>
      <c r="CC228" s="2">
        <f>IF(OR(Cases[[#This Row],[Is Reopened]]="X",Cases[[#This Row],[No. of Reopenings]]&gt;0),1,0)</f>
        <v>0</v>
      </c>
      <c r="CD228" s="2">
        <f>IF(Cases[[#This Row],[Confirmation Type]]="Automatic",1,0)</f>
        <v>0</v>
      </c>
      <c r="CE22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29" spans="1:83" x14ac:dyDescent="0.2">
      <c r="A229" s="1" t="s">
        <v>1532</v>
      </c>
      <c r="B229" s="2" t="s">
        <v>1533</v>
      </c>
      <c r="C229" s="2" t="s">
        <v>1534</v>
      </c>
      <c r="D229" s="2" t="s">
        <v>238</v>
      </c>
      <c r="E229" s="3">
        <v>1.97</v>
      </c>
      <c r="F229" s="3">
        <v>26.73</v>
      </c>
      <c r="G229" s="2" t="s">
        <v>190</v>
      </c>
      <c r="H229" s="2" t="s">
        <v>666</v>
      </c>
      <c r="I229" s="3" t="s">
        <v>114</v>
      </c>
      <c r="J229" s="3">
        <v>85</v>
      </c>
      <c r="K229" s="2" t="s">
        <v>1535</v>
      </c>
      <c r="L229" s="4">
        <v>46075</v>
      </c>
      <c r="M229" s="4">
        <v>46071</v>
      </c>
      <c r="N229" s="2" t="s">
        <v>677</v>
      </c>
      <c r="O229" s="2" t="s">
        <v>181</v>
      </c>
      <c r="P229" s="2" t="s">
        <v>895</v>
      </c>
      <c r="Q229" s="2" t="s">
        <v>86</v>
      </c>
      <c r="R229" s="2" t="s">
        <v>1536</v>
      </c>
      <c r="S229" s="4">
        <v>46042</v>
      </c>
      <c r="T229" s="2" t="s">
        <v>1334</v>
      </c>
      <c r="U229" s="2" t="s">
        <v>181</v>
      </c>
      <c r="V229" s="2" t="s">
        <v>83</v>
      </c>
      <c r="W229" s="2" t="s">
        <v>86</v>
      </c>
      <c r="X229" s="2" t="s">
        <v>117</v>
      </c>
      <c r="Y229" s="3" t="s">
        <v>118</v>
      </c>
      <c r="Z229" s="3">
        <v>28.7</v>
      </c>
      <c r="AA229" s="2" t="s">
        <v>138</v>
      </c>
      <c r="AB229" s="2" t="s">
        <v>443</v>
      </c>
      <c r="AC229" s="2" t="s">
        <v>444</v>
      </c>
      <c r="AD229" t="str" cm="1">
        <f t="array" ref="AD22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229" s="2" t="s">
        <v>91</v>
      </c>
      <c r="AF229" s="2" t="s">
        <v>92</v>
      </c>
      <c r="AG229" s="2" t="s">
        <v>274</v>
      </c>
      <c r="AH229" s="2" t="s">
        <v>275</v>
      </c>
      <c r="AK229" s="2" t="s">
        <v>1537</v>
      </c>
      <c r="AN229" s="3">
        <v>1</v>
      </c>
      <c r="AO229" s="3">
        <v>1</v>
      </c>
      <c r="AP229" s="3">
        <v>1</v>
      </c>
      <c r="AQ229" s="3">
        <v>1</v>
      </c>
      <c r="AR229" s="3">
        <v>1</v>
      </c>
      <c r="AS229" s="3">
        <v>0</v>
      </c>
      <c r="AT229" s="3">
        <v>0</v>
      </c>
      <c r="AU229" s="3">
        <v>0</v>
      </c>
      <c r="AV229" s="3">
        <v>1</v>
      </c>
      <c r="AW229" s="3">
        <v>0</v>
      </c>
      <c r="AX229" s="3">
        <v>1</v>
      </c>
      <c r="AY229" s="3">
        <v>0</v>
      </c>
      <c r="AZ229" s="3">
        <v>0</v>
      </c>
      <c r="BA229" s="3">
        <v>1</v>
      </c>
      <c r="BB229" s="3">
        <v>0</v>
      </c>
      <c r="BC229" s="3">
        <v>0</v>
      </c>
      <c r="BD229" s="3">
        <v>0</v>
      </c>
      <c r="BE229" s="3">
        <v>0</v>
      </c>
      <c r="BG229" s="2" t="s">
        <v>91</v>
      </c>
      <c r="BH229" s="3">
        <v>3</v>
      </c>
      <c r="BJ229" s="2" t="s">
        <v>96</v>
      </c>
      <c r="BL229" s="2" t="s">
        <v>446</v>
      </c>
      <c r="BM229" s="2" t="s">
        <v>447</v>
      </c>
      <c r="BN229" s="2" t="s">
        <v>279</v>
      </c>
      <c r="BO229" s="2" t="s">
        <v>280</v>
      </c>
      <c r="BP229" s="2" t="s">
        <v>242</v>
      </c>
      <c r="BQ229" s="2" t="s">
        <v>448</v>
      </c>
      <c r="BR229" s="2" t="s">
        <v>449</v>
      </c>
      <c r="BS229" s="2" t="s">
        <v>450</v>
      </c>
      <c r="BT229" s="2" t="s">
        <v>1030</v>
      </c>
      <c r="BU229" s="2" t="s">
        <v>1031</v>
      </c>
      <c r="BV229" s="2" t="s">
        <v>166</v>
      </c>
      <c r="BW229" s="2" t="s">
        <v>167</v>
      </c>
      <c r="BX229" s="2" t="s">
        <v>91</v>
      </c>
      <c r="BY22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29" s="2">
        <f>IF(AND(Cases[[#This Row],[Priority Level]]&gt;=3,Cases[[#This Row],[System Role]]&lt;&gt;"Productive"),1,0)</f>
        <v>1</v>
      </c>
      <c r="CA229" s="2">
        <f>IFERROR(IF(Cases[[#This Row],[Days at Customer]]&gt;MAX(1,Cases[[#This Row],[Days at SAP]]*2),1,0),0)</f>
        <v>1</v>
      </c>
      <c r="CB229" s="2">
        <f>IF(AND(Cases[[#This Row],[Initial Component]]&lt;&gt;"",Cases[[#This Row],[Component]]&lt;&gt;"",Cases[[#This Row],[Initial Component]]&lt;&gt;Cases[[#This Row],[Component]]),1,0)</f>
        <v>1</v>
      </c>
      <c r="CC229" s="2">
        <f>IF(OR(Cases[[#This Row],[Is Reopened]]="X",Cases[[#This Row],[No. of Reopenings]]&gt;0),1,0)</f>
        <v>0</v>
      </c>
      <c r="CD229" s="2">
        <f>IF(Cases[[#This Row],[Confirmation Type]]="Automatic",1,0)</f>
        <v>1</v>
      </c>
      <c r="CE229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230" spans="1:83" x14ac:dyDescent="0.2">
      <c r="A230" s="1" t="s">
        <v>1538</v>
      </c>
      <c r="B230" s="2" t="s">
        <v>1539</v>
      </c>
      <c r="C230" s="2" t="s">
        <v>1540</v>
      </c>
      <c r="D230" s="2" t="s">
        <v>238</v>
      </c>
      <c r="E230" s="3">
        <v>4.4000000000000004</v>
      </c>
      <c r="F230" s="3">
        <v>25.15</v>
      </c>
      <c r="G230" s="2" t="s">
        <v>190</v>
      </c>
      <c r="H230" s="2" t="s">
        <v>1205</v>
      </c>
      <c r="I230" s="3" t="s">
        <v>114</v>
      </c>
      <c r="J230" s="3">
        <v>85</v>
      </c>
      <c r="K230" s="2" t="s">
        <v>1541</v>
      </c>
      <c r="L230" s="4">
        <v>46103</v>
      </c>
      <c r="M230" s="4">
        <v>46072</v>
      </c>
      <c r="N230" s="2" t="s">
        <v>677</v>
      </c>
      <c r="O230" s="2" t="s">
        <v>181</v>
      </c>
      <c r="P230" s="2" t="s">
        <v>895</v>
      </c>
      <c r="Q230" s="2" t="s">
        <v>86</v>
      </c>
      <c r="R230" s="2" t="s">
        <v>1542</v>
      </c>
      <c r="S230" s="4">
        <v>46042</v>
      </c>
      <c r="T230" s="2" t="s">
        <v>1334</v>
      </c>
      <c r="U230" s="2" t="s">
        <v>181</v>
      </c>
      <c r="V230" s="2" t="s">
        <v>83</v>
      </c>
      <c r="W230" s="2" t="s">
        <v>86</v>
      </c>
      <c r="X230" s="2" t="s">
        <v>117</v>
      </c>
      <c r="Y230" s="3" t="s">
        <v>118</v>
      </c>
      <c r="Z230" s="3">
        <v>29.55</v>
      </c>
      <c r="AA230" s="2" t="s">
        <v>90</v>
      </c>
      <c r="AB230" s="2" t="s">
        <v>87</v>
      </c>
      <c r="AC230" s="2" t="s">
        <v>77</v>
      </c>
      <c r="AD230" t="str" cm="1">
        <f t="array" ref="AD23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230" s="2" t="s">
        <v>91</v>
      </c>
      <c r="AF230" s="2" t="s">
        <v>92</v>
      </c>
      <c r="AG230" s="2" t="s">
        <v>119</v>
      </c>
      <c r="AH230" s="2" t="s">
        <v>120</v>
      </c>
      <c r="AK230" s="2" t="s">
        <v>1543</v>
      </c>
      <c r="AN230" s="3">
        <v>1</v>
      </c>
      <c r="AO230" s="3">
        <v>1</v>
      </c>
      <c r="AP230" s="3">
        <v>1</v>
      </c>
      <c r="AQ230" s="3">
        <v>1</v>
      </c>
      <c r="AR230" s="3">
        <v>1</v>
      </c>
      <c r="AS230" s="3">
        <v>0</v>
      </c>
      <c r="AT230" s="3">
        <v>0</v>
      </c>
      <c r="AU230" s="3">
        <v>0</v>
      </c>
      <c r="AV230" s="3">
        <v>1</v>
      </c>
      <c r="AW230" s="3">
        <v>0</v>
      </c>
      <c r="AX230" s="3">
        <v>1</v>
      </c>
      <c r="AY230" s="3">
        <v>0</v>
      </c>
      <c r="AZ230" s="3">
        <v>0</v>
      </c>
      <c r="BA230" s="3">
        <v>1</v>
      </c>
      <c r="BB230" s="3">
        <v>0</v>
      </c>
      <c r="BC230" s="3">
        <v>0</v>
      </c>
      <c r="BD230" s="3">
        <v>0</v>
      </c>
      <c r="BE230" s="3">
        <v>0</v>
      </c>
      <c r="BG230" s="2" t="s">
        <v>91</v>
      </c>
      <c r="BH230" s="3">
        <v>3</v>
      </c>
      <c r="BJ230" s="2" t="s">
        <v>96</v>
      </c>
      <c r="BL230" s="2" t="s">
        <v>123</v>
      </c>
      <c r="BM230" s="2" t="s">
        <v>123</v>
      </c>
      <c r="BN230" s="2" t="s">
        <v>124</v>
      </c>
      <c r="BO230" s="2" t="s">
        <v>125</v>
      </c>
      <c r="BP230" s="2" t="s">
        <v>242</v>
      </c>
      <c r="BQ230" s="2" t="s">
        <v>124</v>
      </c>
      <c r="BR230" s="2" t="s">
        <v>126</v>
      </c>
      <c r="BS230" s="2" t="s">
        <v>127</v>
      </c>
      <c r="BT230" s="2" t="s">
        <v>199</v>
      </c>
      <c r="BU230" s="2" t="s">
        <v>200</v>
      </c>
      <c r="BV230" s="2" t="s">
        <v>166</v>
      </c>
      <c r="BW230" s="2" t="s">
        <v>167</v>
      </c>
      <c r="BX230" s="2" t="s">
        <v>91</v>
      </c>
      <c r="BY23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30" s="2">
        <f>IF(AND(Cases[[#This Row],[Priority Level]]&gt;=3,Cases[[#This Row],[System Role]]&lt;&gt;"Productive"),1,0)</f>
        <v>1</v>
      </c>
      <c r="CA230" s="2">
        <f>IFERROR(IF(Cases[[#This Row],[Days at Customer]]&gt;MAX(1,Cases[[#This Row],[Days at SAP]]*2),1,0),0)</f>
        <v>1</v>
      </c>
      <c r="CB230" s="2">
        <f>IF(AND(Cases[[#This Row],[Initial Component]]&lt;&gt;"",Cases[[#This Row],[Component]]&lt;&gt;"",Cases[[#This Row],[Initial Component]]&lt;&gt;Cases[[#This Row],[Component]]),1,0)</f>
        <v>1</v>
      </c>
      <c r="CC230" s="2">
        <f>IF(OR(Cases[[#This Row],[Is Reopened]]="X",Cases[[#This Row],[No. of Reopenings]]&gt;0),1,0)</f>
        <v>0</v>
      </c>
      <c r="CD230" s="2">
        <f>IF(Cases[[#This Row],[Confirmation Type]]="Automatic",1,0)</f>
        <v>1</v>
      </c>
      <c r="CE230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231" spans="1:83" x14ac:dyDescent="0.2">
      <c r="A231" s="1" t="s">
        <v>1544</v>
      </c>
      <c r="B231" s="2" t="s">
        <v>1545</v>
      </c>
      <c r="C231" s="2" t="s">
        <v>1546</v>
      </c>
      <c r="D231" s="2" t="s">
        <v>238</v>
      </c>
      <c r="E231" s="3">
        <v>7.26</v>
      </c>
      <c r="F231" s="3">
        <v>23.44</v>
      </c>
      <c r="G231" s="2" t="s">
        <v>79</v>
      </c>
      <c r="H231" s="2" t="s">
        <v>290</v>
      </c>
      <c r="I231" s="3" t="s">
        <v>114</v>
      </c>
      <c r="J231" s="3">
        <v>86</v>
      </c>
      <c r="K231" s="2" t="s">
        <v>1547</v>
      </c>
      <c r="L231" s="4">
        <v>46075</v>
      </c>
      <c r="M231" s="4">
        <v>46071</v>
      </c>
      <c r="N231" s="2" t="s">
        <v>677</v>
      </c>
      <c r="O231" s="2" t="s">
        <v>181</v>
      </c>
      <c r="P231" s="2" t="s">
        <v>895</v>
      </c>
      <c r="Q231" s="2" t="s">
        <v>86</v>
      </c>
      <c r="R231" s="2" t="s">
        <v>1548</v>
      </c>
      <c r="S231" s="4">
        <v>46041</v>
      </c>
      <c r="T231" s="2" t="s">
        <v>1334</v>
      </c>
      <c r="U231" s="2" t="s">
        <v>181</v>
      </c>
      <c r="V231" s="2" t="s">
        <v>83</v>
      </c>
      <c r="W231" s="2" t="s">
        <v>86</v>
      </c>
      <c r="X231" s="2" t="s">
        <v>117</v>
      </c>
      <c r="Y231" s="3" t="s">
        <v>118</v>
      </c>
      <c r="Z231" s="3">
        <v>30.71</v>
      </c>
      <c r="AA231" s="2" t="s">
        <v>90</v>
      </c>
      <c r="AB231" s="2" t="s">
        <v>1548</v>
      </c>
      <c r="AC231" s="2" t="s">
        <v>1546</v>
      </c>
      <c r="AD231" t="str" cm="1">
        <f t="array" ref="AD23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231" s="2" t="s">
        <v>158</v>
      </c>
      <c r="AF231" s="2" t="s">
        <v>998</v>
      </c>
      <c r="AG231" s="2" t="s">
        <v>119</v>
      </c>
      <c r="AH231" s="2" t="s">
        <v>120</v>
      </c>
      <c r="AJ231" s="2" t="s">
        <v>122</v>
      </c>
      <c r="AK231" s="2" t="s">
        <v>1549</v>
      </c>
      <c r="AN231" s="3">
        <v>1</v>
      </c>
      <c r="AO231" s="3">
        <v>1</v>
      </c>
      <c r="AP231" s="3">
        <v>1</v>
      </c>
      <c r="AQ231" s="3">
        <v>1</v>
      </c>
      <c r="AR231" s="3">
        <v>0</v>
      </c>
      <c r="AS231" s="3">
        <v>1</v>
      </c>
      <c r="AT231" s="3">
        <v>0</v>
      </c>
      <c r="AU231" s="3">
        <v>0</v>
      </c>
      <c r="AV231" s="3">
        <v>1</v>
      </c>
      <c r="AW231" s="3">
        <v>0</v>
      </c>
      <c r="AX231" s="3">
        <v>0</v>
      </c>
      <c r="AY231" s="3">
        <v>1</v>
      </c>
      <c r="AZ231" s="3">
        <v>0</v>
      </c>
      <c r="BA231" s="3">
        <v>1</v>
      </c>
      <c r="BB231" s="3">
        <v>0</v>
      </c>
      <c r="BC231" s="3">
        <v>0</v>
      </c>
      <c r="BD231" s="3">
        <v>2</v>
      </c>
      <c r="BE231" s="3">
        <v>0</v>
      </c>
      <c r="BG231" s="2" t="s">
        <v>158</v>
      </c>
      <c r="BH231" s="3">
        <v>1</v>
      </c>
      <c r="BJ231" s="2" t="s">
        <v>96</v>
      </c>
      <c r="BL231" s="2" t="s">
        <v>123</v>
      </c>
      <c r="BM231" s="2" t="s">
        <v>123</v>
      </c>
      <c r="BN231" s="2" t="s">
        <v>124</v>
      </c>
      <c r="BO231" s="2" t="s">
        <v>125</v>
      </c>
      <c r="BP231" s="2" t="s">
        <v>242</v>
      </c>
      <c r="BQ231" s="2" t="s">
        <v>124</v>
      </c>
      <c r="BR231" s="2" t="s">
        <v>126</v>
      </c>
      <c r="BS231" s="2" t="s">
        <v>127</v>
      </c>
      <c r="BT231" s="2" t="s">
        <v>1550</v>
      </c>
      <c r="BU231" s="2" t="s">
        <v>1551</v>
      </c>
      <c r="BV231" s="2" t="s">
        <v>107</v>
      </c>
      <c r="BW231" s="2" t="s">
        <v>108</v>
      </c>
      <c r="BX231" s="2" t="s">
        <v>158</v>
      </c>
      <c r="BY23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31" s="2">
        <f>IF(AND(Cases[[#This Row],[Priority Level]]&gt;=3,Cases[[#This Row],[System Role]]&lt;&gt;"Productive"),1,0)</f>
        <v>0</v>
      </c>
      <c r="CA231" s="2">
        <f>IFERROR(IF(Cases[[#This Row],[Days at Customer]]&gt;MAX(1,Cases[[#This Row],[Days at SAP]]*2),1,0),0)</f>
        <v>1</v>
      </c>
      <c r="CB231" s="2">
        <f>IF(AND(Cases[[#This Row],[Initial Component]]&lt;&gt;"",Cases[[#This Row],[Component]]&lt;&gt;"",Cases[[#This Row],[Initial Component]]&lt;&gt;Cases[[#This Row],[Component]]),1,0)</f>
        <v>0</v>
      </c>
      <c r="CC231" s="2">
        <f>IF(OR(Cases[[#This Row],[Is Reopened]]="X",Cases[[#This Row],[No. of Reopenings]]&gt;0),1,0)</f>
        <v>1</v>
      </c>
      <c r="CD231" s="2">
        <f>IF(Cases[[#This Row],[Confirmation Type]]="Automatic",1,0)</f>
        <v>1</v>
      </c>
      <c r="CE231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232" spans="1:83" x14ac:dyDescent="0.2">
      <c r="A232" s="1" t="s">
        <v>1552</v>
      </c>
      <c r="B232" s="2" t="s">
        <v>1553</v>
      </c>
      <c r="C232" s="2" t="s">
        <v>170</v>
      </c>
      <c r="D232" s="2" t="s">
        <v>78</v>
      </c>
      <c r="E232" s="3">
        <v>1.8</v>
      </c>
      <c r="F232" s="3">
        <v>13.24</v>
      </c>
      <c r="G232" s="2" t="s">
        <v>133</v>
      </c>
      <c r="H232" s="2" t="s">
        <v>995</v>
      </c>
      <c r="I232" s="3" t="s">
        <v>114</v>
      </c>
      <c r="J232" s="3">
        <v>86</v>
      </c>
      <c r="K232" s="2" t="s">
        <v>1554</v>
      </c>
      <c r="L232" s="4">
        <v>46061</v>
      </c>
      <c r="M232" s="4">
        <v>46056</v>
      </c>
      <c r="N232" s="2" t="s">
        <v>677</v>
      </c>
      <c r="O232" s="2" t="s">
        <v>181</v>
      </c>
      <c r="P232" s="2" t="s">
        <v>1165</v>
      </c>
      <c r="Q232" s="2" t="s">
        <v>86</v>
      </c>
      <c r="R232" s="2" t="s">
        <v>172</v>
      </c>
      <c r="S232" s="4">
        <v>46041</v>
      </c>
      <c r="T232" s="2" t="s">
        <v>1334</v>
      </c>
      <c r="U232" s="2" t="s">
        <v>181</v>
      </c>
      <c r="V232" s="2" t="s">
        <v>83</v>
      </c>
      <c r="W232" s="2" t="s">
        <v>86</v>
      </c>
      <c r="X232" s="2" t="s">
        <v>117</v>
      </c>
      <c r="Y232" s="3" t="s">
        <v>118</v>
      </c>
      <c r="Z232" s="3">
        <v>15.04</v>
      </c>
      <c r="AA232" s="2" t="s">
        <v>90</v>
      </c>
      <c r="AB232" s="2" t="s">
        <v>1555</v>
      </c>
      <c r="AC232" s="2" t="s">
        <v>1556</v>
      </c>
      <c r="AD232" t="str" cm="1">
        <f t="array" ref="AD23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232" s="2" t="s">
        <v>91</v>
      </c>
      <c r="AF232" s="2" t="s">
        <v>92</v>
      </c>
      <c r="AG232" s="2" t="s">
        <v>119</v>
      </c>
      <c r="AH232" s="2" t="s">
        <v>120</v>
      </c>
      <c r="AK232" s="2" t="s">
        <v>1557</v>
      </c>
      <c r="AN232" s="3">
        <v>1</v>
      </c>
      <c r="AO232" s="3">
        <v>1</v>
      </c>
      <c r="AP232" s="3">
        <v>1</v>
      </c>
      <c r="AQ232" s="3">
        <v>1</v>
      </c>
      <c r="AR232" s="3">
        <v>1</v>
      </c>
      <c r="AS232" s="3">
        <v>0</v>
      </c>
      <c r="AT232" s="3">
        <v>0</v>
      </c>
      <c r="AU232" s="3">
        <v>0</v>
      </c>
      <c r="AV232" s="3">
        <v>0</v>
      </c>
      <c r="AW232" s="3">
        <v>1</v>
      </c>
      <c r="AX232" s="3">
        <v>1</v>
      </c>
      <c r="AY232" s="3">
        <v>0</v>
      </c>
      <c r="AZ232" s="3">
        <v>0</v>
      </c>
      <c r="BA232" s="3">
        <v>0</v>
      </c>
      <c r="BB232" s="3">
        <v>0</v>
      </c>
      <c r="BC232" s="3">
        <v>1</v>
      </c>
      <c r="BD232" s="3">
        <v>0</v>
      </c>
      <c r="BE232" s="3">
        <v>0</v>
      </c>
      <c r="BG232" s="2" t="s">
        <v>91</v>
      </c>
      <c r="BH232" s="3">
        <v>3</v>
      </c>
      <c r="BJ232" s="2" t="s">
        <v>96</v>
      </c>
      <c r="BL232" s="2" t="s">
        <v>123</v>
      </c>
      <c r="BM232" s="2" t="s">
        <v>123</v>
      </c>
      <c r="BN232" s="2" t="s">
        <v>124</v>
      </c>
      <c r="BO232" s="2" t="s">
        <v>125</v>
      </c>
      <c r="BP232" s="2" t="s">
        <v>101</v>
      </c>
      <c r="BQ232" s="2" t="s">
        <v>124</v>
      </c>
      <c r="BR232" s="2" t="s">
        <v>126</v>
      </c>
      <c r="BS232" s="2" t="s">
        <v>127</v>
      </c>
      <c r="BT232" s="2" t="s">
        <v>174</v>
      </c>
      <c r="BU232" s="2" t="s">
        <v>175</v>
      </c>
      <c r="BV232" s="2" t="s">
        <v>150</v>
      </c>
      <c r="BW232" s="2" t="s">
        <v>151</v>
      </c>
      <c r="BX232" s="2" t="s">
        <v>91</v>
      </c>
      <c r="BY23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32" s="2">
        <f>IF(AND(Cases[[#This Row],[Priority Level]]&gt;=3,Cases[[#This Row],[System Role]]&lt;&gt;"Productive"),1,0)</f>
        <v>0</v>
      </c>
      <c r="CA232" s="2">
        <f>IFERROR(IF(Cases[[#This Row],[Days at Customer]]&gt;MAX(1,Cases[[#This Row],[Days at SAP]]*2),1,0),0)</f>
        <v>1</v>
      </c>
      <c r="CB232" s="2">
        <f>IF(AND(Cases[[#This Row],[Initial Component]]&lt;&gt;"",Cases[[#This Row],[Component]]&lt;&gt;"",Cases[[#This Row],[Initial Component]]&lt;&gt;Cases[[#This Row],[Component]]),1,0)</f>
        <v>1</v>
      </c>
      <c r="CC232" s="2">
        <f>IF(OR(Cases[[#This Row],[Is Reopened]]="X",Cases[[#This Row],[No. of Reopenings]]&gt;0),1,0)</f>
        <v>0</v>
      </c>
      <c r="CD232" s="2">
        <f>IF(Cases[[#This Row],[Confirmation Type]]="Automatic",1,0)</f>
        <v>0</v>
      </c>
      <c r="CE232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33" spans="1:83" x14ac:dyDescent="0.2">
      <c r="A233" s="1" t="s">
        <v>1558</v>
      </c>
      <c r="B233" s="2" t="s">
        <v>1559</v>
      </c>
      <c r="C233" s="2" t="s">
        <v>1560</v>
      </c>
      <c r="D233" s="2" t="s">
        <v>78</v>
      </c>
      <c r="E233" s="3">
        <v>1.1499999999999999</v>
      </c>
      <c r="F233" s="3">
        <v>6.75</v>
      </c>
      <c r="G233" s="2" t="s">
        <v>79</v>
      </c>
      <c r="H233" s="2" t="s">
        <v>80</v>
      </c>
      <c r="I233" s="3" t="s">
        <v>114</v>
      </c>
      <c r="J233" s="3">
        <v>86</v>
      </c>
      <c r="K233" s="2" t="s">
        <v>1561</v>
      </c>
      <c r="L233" s="4">
        <v>46054</v>
      </c>
      <c r="M233" s="4">
        <v>46049</v>
      </c>
      <c r="N233" s="2" t="s">
        <v>1334</v>
      </c>
      <c r="O233" s="2" t="s">
        <v>181</v>
      </c>
      <c r="P233" s="2" t="s">
        <v>1335</v>
      </c>
      <c r="Q233" s="2" t="s">
        <v>86</v>
      </c>
      <c r="R233" s="2" t="s">
        <v>1562</v>
      </c>
      <c r="S233" s="4">
        <v>46041</v>
      </c>
      <c r="T233" s="2" t="s">
        <v>1334</v>
      </c>
      <c r="U233" s="2" t="s">
        <v>181</v>
      </c>
      <c r="V233" s="2" t="s">
        <v>83</v>
      </c>
      <c r="W233" s="2" t="s">
        <v>86</v>
      </c>
      <c r="X233" s="2" t="s">
        <v>117</v>
      </c>
      <c r="Y233" s="3" t="s">
        <v>118</v>
      </c>
      <c r="Z233" s="3">
        <v>7.9</v>
      </c>
      <c r="AA233" s="2" t="s">
        <v>90</v>
      </c>
      <c r="AB233" s="2" t="s">
        <v>1562</v>
      </c>
      <c r="AC233" s="2" t="s">
        <v>1560</v>
      </c>
      <c r="AD233" t="str" cm="1">
        <f t="array" ref="AD23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233" s="2" t="s">
        <v>91</v>
      </c>
      <c r="AF233" s="2" t="s">
        <v>92</v>
      </c>
      <c r="AG233" s="2" t="s">
        <v>553</v>
      </c>
      <c r="AH233" s="2" t="s">
        <v>554</v>
      </c>
      <c r="AJ233" s="2" t="s">
        <v>122</v>
      </c>
      <c r="AK233" s="2" t="s">
        <v>1563</v>
      </c>
      <c r="AN233" s="3">
        <v>1</v>
      </c>
      <c r="AO233" s="3">
        <v>1</v>
      </c>
      <c r="AP233" s="3">
        <v>1</v>
      </c>
      <c r="AQ233" s="3">
        <v>1</v>
      </c>
      <c r="AR233" s="3">
        <v>1</v>
      </c>
      <c r="AS233" s="3">
        <v>0</v>
      </c>
      <c r="AT233" s="3">
        <v>0</v>
      </c>
      <c r="AU233" s="3">
        <v>0</v>
      </c>
      <c r="AV233" s="3">
        <v>0</v>
      </c>
      <c r="AW233" s="3">
        <v>1</v>
      </c>
      <c r="AX233" s="3">
        <v>1</v>
      </c>
      <c r="AY233" s="3">
        <v>0</v>
      </c>
      <c r="AZ233" s="3">
        <v>0</v>
      </c>
      <c r="BA233" s="3">
        <v>0</v>
      </c>
      <c r="BB233" s="3">
        <v>0</v>
      </c>
      <c r="BC233" s="3">
        <v>1</v>
      </c>
      <c r="BD233" s="3">
        <v>1</v>
      </c>
      <c r="BE233" s="3">
        <v>0</v>
      </c>
      <c r="BG233" s="2" t="s">
        <v>91</v>
      </c>
      <c r="BH233" s="3">
        <v>3</v>
      </c>
      <c r="BJ233" s="2" t="s">
        <v>96</v>
      </c>
      <c r="BL233" s="2" t="s">
        <v>556</v>
      </c>
      <c r="BM233" s="2" t="s">
        <v>557</v>
      </c>
      <c r="BN233" s="2" t="s">
        <v>99</v>
      </c>
      <c r="BO233" s="2" t="s">
        <v>100</v>
      </c>
      <c r="BP233" s="2" t="s">
        <v>101</v>
      </c>
      <c r="BQ233" s="2" t="s">
        <v>102</v>
      </c>
      <c r="BR233" s="2" t="s">
        <v>103</v>
      </c>
      <c r="BS233" s="2" t="s">
        <v>127</v>
      </c>
      <c r="BT233" s="2" t="s">
        <v>1171</v>
      </c>
      <c r="BU233" s="2" t="s">
        <v>1172</v>
      </c>
      <c r="BV233" s="2" t="s">
        <v>150</v>
      </c>
      <c r="BW233" s="2" t="s">
        <v>151</v>
      </c>
      <c r="BX233" s="2" t="s">
        <v>91</v>
      </c>
      <c r="BY23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33" s="2">
        <f>IF(AND(Cases[[#This Row],[Priority Level]]&gt;=3,Cases[[#This Row],[System Role]]&lt;&gt;"Productive"),1,0)</f>
        <v>0</v>
      </c>
      <c r="CA233" s="2">
        <f>IFERROR(IF(Cases[[#This Row],[Days at Customer]]&gt;MAX(1,Cases[[#This Row],[Days at SAP]]*2),1,0),0)</f>
        <v>1</v>
      </c>
      <c r="CB233" s="2">
        <f>IF(AND(Cases[[#This Row],[Initial Component]]&lt;&gt;"",Cases[[#This Row],[Component]]&lt;&gt;"",Cases[[#This Row],[Initial Component]]&lt;&gt;Cases[[#This Row],[Component]]),1,0)</f>
        <v>0</v>
      </c>
      <c r="CC233" s="2">
        <f>IF(OR(Cases[[#This Row],[Is Reopened]]="X",Cases[[#This Row],[No. of Reopenings]]&gt;0),1,0)</f>
        <v>1</v>
      </c>
      <c r="CD233" s="2">
        <f>IF(Cases[[#This Row],[Confirmation Type]]="Automatic",1,0)</f>
        <v>0</v>
      </c>
      <c r="CE233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34" spans="1:83" x14ac:dyDescent="0.2">
      <c r="A234" s="1" t="s">
        <v>1963</v>
      </c>
      <c r="B234" s="2" t="s">
        <v>1964</v>
      </c>
      <c r="C234" s="2" t="s">
        <v>1461</v>
      </c>
      <c r="D234" s="2" t="s">
        <v>238</v>
      </c>
      <c r="E234" s="3">
        <v>0.02</v>
      </c>
      <c r="F234" s="3">
        <v>21.55</v>
      </c>
      <c r="G234" s="2" t="s">
        <v>190</v>
      </c>
      <c r="H234" s="2" t="s">
        <v>191</v>
      </c>
      <c r="I234" s="3" t="s">
        <v>114</v>
      </c>
      <c r="J234" s="3">
        <v>118</v>
      </c>
      <c r="K234" s="2" t="s">
        <v>1965</v>
      </c>
      <c r="L234" s="4">
        <v>46033</v>
      </c>
      <c r="M234" s="4">
        <v>46031</v>
      </c>
      <c r="N234" s="2" t="s">
        <v>1334</v>
      </c>
      <c r="O234" s="2" t="s">
        <v>181</v>
      </c>
      <c r="P234" s="2" t="s">
        <v>677</v>
      </c>
      <c r="Q234" s="2" t="s">
        <v>86</v>
      </c>
      <c r="R234" s="2" t="s">
        <v>1463</v>
      </c>
      <c r="S234" s="4">
        <v>46009</v>
      </c>
      <c r="T234" s="2" t="s">
        <v>1804</v>
      </c>
      <c r="U234" s="2" t="s">
        <v>1805</v>
      </c>
      <c r="V234" s="2" t="s">
        <v>1930</v>
      </c>
      <c r="W234" s="2" t="s">
        <v>1806</v>
      </c>
      <c r="X234" s="2" t="s">
        <v>117</v>
      </c>
      <c r="Y234" s="3" t="s">
        <v>118</v>
      </c>
      <c r="Z234" s="3">
        <v>21.57</v>
      </c>
      <c r="AA234" s="2" t="s">
        <v>90</v>
      </c>
      <c r="AB234" s="2" t="s">
        <v>1463</v>
      </c>
      <c r="AC234" s="2" t="s">
        <v>1461</v>
      </c>
      <c r="AD234" t="str" cm="1">
        <f t="array" ref="AD23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234" s="2" t="s">
        <v>91</v>
      </c>
      <c r="AF234" s="2" t="s">
        <v>92</v>
      </c>
      <c r="AG234" s="2" t="s">
        <v>119</v>
      </c>
      <c r="AH234" s="2" t="s">
        <v>120</v>
      </c>
      <c r="AK234" s="2" t="s">
        <v>1966</v>
      </c>
      <c r="AN234" s="3">
        <v>1</v>
      </c>
      <c r="AO234" s="3">
        <v>1</v>
      </c>
      <c r="AP234" s="3">
        <v>1</v>
      </c>
      <c r="AQ234" s="3">
        <v>1</v>
      </c>
      <c r="AR234" s="3">
        <v>1</v>
      </c>
      <c r="AS234" s="3">
        <v>0</v>
      </c>
      <c r="AT234" s="3">
        <v>0</v>
      </c>
      <c r="AU234" s="3">
        <v>0</v>
      </c>
      <c r="AV234" s="3">
        <v>1</v>
      </c>
      <c r="AW234" s="3">
        <v>0</v>
      </c>
      <c r="AX234" s="3">
        <v>1</v>
      </c>
      <c r="AY234" s="3">
        <v>0</v>
      </c>
      <c r="AZ234" s="3">
        <v>0</v>
      </c>
      <c r="BA234" s="3">
        <v>0</v>
      </c>
      <c r="BB234" s="3">
        <v>0</v>
      </c>
      <c r="BC234" s="3">
        <v>1</v>
      </c>
      <c r="BD234" s="3">
        <v>0</v>
      </c>
      <c r="BE234" s="3">
        <v>0</v>
      </c>
      <c r="BG234" s="2" t="s">
        <v>91</v>
      </c>
      <c r="BH234" s="3">
        <v>3</v>
      </c>
      <c r="BJ234" s="2" t="s">
        <v>96</v>
      </c>
      <c r="BL234" s="2" t="s">
        <v>123</v>
      </c>
      <c r="BM234" s="2" t="s">
        <v>123</v>
      </c>
      <c r="BN234" s="2" t="s">
        <v>124</v>
      </c>
      <c r="BO234" s="2" t="s">
        <v>125</v>
      </c>
      <c r="BP234" s="2" t="s">
        <v>242</v>
      </c>
      <c r="BQ234" s="2" t="s">
        <v>124</v>
      </c>
      <c r="BR234" s="2" t="s">
        <v>126</v>
      </c>
      <c r="BS234" s="2" t="s">
        <v>127</v>
      </c>
      <c r="BT234" s="2" t="s">
        <v>207</v>
      </c>
      <c r="BU234" s="2" t="s">
        <v>208</v>
      </c>
      <c r="BV234" s="2" t="s">
        <v>150</v>
      </c>
      <c r="BW234" s="2" t="s">
        <v>151</v>
      </c>
      <c r="BX234" s="2" t="s">
        <v>91</v>
      </c>
      <c r="BY23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34" s="2">
        <f>IF(AND(Cases[[#This Row],[Priority Level]]&gt;=3,Cases[[#This Row],[System Role]]&lt;&gt;"Productive"),1,0)</f>
        <v>0</v>
      </c>
      <c r="CA234" s="2">
        <f>IFERROR(IF(Cases[[#This Row],[Days at Customer]]&gt;MAX(1,Cases[[#This Row],[Days at SAP]]*2),1,0),0)</f>
        <v>1</v>
      </c>
      <c r="CB234" s="2">
        <f>IF(AND(Cases[[#This Row],[Initial Component]]&lt;&gt;"",Cases[[#This Row],[Component]]&lt;&gt;"",Cases[[#This Row],[Initial Component]]&lt;&gt;Cases[[#This Row],[Component]]),1,0)</f>
        <v>0</v>
      </c>
      <c r="CC234" s="2">
        <f>IF(OR(Cases[[#This Row],[Is Reopened]]="X",Cases[[#This Row],[No. of Reopenings]]&gt;0),1,0)</f>
        <v>0</v>
      </c>
      <c r="CD234" s="2">
        <f>IF(Cases[[#This Row],[Confirmation Type]]="Automatic",1,0)</f>
        <v>1</v>
      </c>
      <c r="CE23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35" spans="1:83" x14ac:dyDescent="0.2">
      <c r="A235" s="1" t="s">
        <v>1568</v>
      </c>
      <c r="B235" s="2" t="s">
        <v>1569</v>
      </c>
      <c r="C235" s="2" t="s">
        <v>1570</v>
      </c>
      <c r="D235" s="2" t="s">
        <v>238</v>
      </c>
      <c r="E235" s="3">
        <v>3.23</v>
      </c>
      <c r="F235" s="3">
        <v>21.54</v>
      </c>
      <c r="G235" s="2" t="s">
        <v>190</v>
      </c>
      <c r="H235" s="2" t="s">
        <v>1205</v>
      </c>
      <c r="I235" s="3" t="s">
        <v>114</v>
      </c>
      <c r="J235" s="3">
        <v>89</v>
      </c>
      <c r="K235" s="2" t="s">
        <v>1571</v>
      </c>
      <c r="L235" s="4">
        <v>46068</v>
      </c>
      <c r="M235" s="4">
        <v>46063</v>
      </c>
      <c r="N235" s="2" t="s">
        <v>677</v>
      </c>
      <c r="O235" s="2" t="s">
        <v>181</v>
      </c>
      <c r="P235" s="2" t="s">
        <v>1079</v>
      </c>
      <c r="Q235" s="2" t="s">
        <v>86</v>
      </c>
      <c r="R235" s="2" t="s">
        <v>1572</v>
      </c>
      <c r="S235" s="4">
        <v>46038</v>
      </c>
      <c r="T235" s="2" t="s">
        <v>1334</v>
      </c>
      <c r="U235" s="2" t="s">
        <v>181</v>
      </c>
      <c r="V235" s="2" t="s">
        <v>180</v>
      </c>
      <c r="W235" s="2" t="s">
        <v>86</v>
      </c>
      <c r="X235" s="2" t="s">
        <v>117</v>
      </c>
      <c r="Y235" s="3" t="s">
        <v>118</v>
      </c>
      <c r="Z235" s="3">
        <v>24.76</v>
      </c>
      <c r="AA235" s="2" t="s">
        <v>90</v>
      </c>
      <c r="AB235" s="2" t="s">
        <v>1572</v>
      </c>
      <c r="AC235" s="2" t="s">
        <v>1570</v>
      </c>
      <c r="AD235" t="str" cm="1">
        <f t="array" ref="AD23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235" s="2" t="s">
        <v>139</v>
      </c>
      <c r="AF235" s="2" t="s">
        <v>92</v>
      </c>
      <c r="AG235" s="2" t="s">
        <v>119</v>
      </c>
      <c r="AH235" s="2" t="s">
        <v>120</v>
      </c>
      <c r="AK235" s="2" t="s">
        <v>1573</v>
      </c>
      <c r="AN235" s="3">
        <v>1</v>
      </c>
      <c r="AO235" s="3">
        <v>1</v>
      </c>
      <c r="AP235" s="3">
        <v>1</v>
      </c>
      <c r="AQ235" s="3">
        <v>1</v>
      </c>
      <c r="AR235" s="3">
        <v>0</v>
      </c>
      <c r="AS235" s="3">
        <v>0</v>
      </c>
      <c r="AT235" s="3">
        <v>1</v>
      </c>
      <c r="AU235" s="3">
        <v>0</v>
      </c>
      <c r="AV235" s="3">
        <v>1</v>
      </c>
      <c r="AW235" s="3">
        <v>0</v>
      </c>
      <c r="AX235" s="3">
        <v>0</v>
      </c>
      <c r="AY235" s="3">
        <v>0</v>
      </c>
      <c r="AZ235" s="3">
        <v>1</v>
      </c>
      <c r="BA235" s="3">
        <v>1</v>
      </c>
      <c r="BB235" s="3">
        <v>0</v>
      </c>
      <c r="BC235" s="3">
        <v>0</v>
      </c>
      <c r="BD235" s="3">
        <v>0</v>
      </c>
      <c r="BE235" s="3">
        <v>0</v>
      </c>
      <c r="BG235" s="2" t="s">
        <v>139</v>
      </c>
      <c r="BH235" s="3">
        <v>2</v>
      </c>
      <c r="BJ235" s="2" t="s">
        <v>96</v>
      </c>
      <c r="BL235" s="2" t="s">
        <v>123</v>
      </c>
      <c r="BM235" s="2" t="s">
        <v>123</v>
      </c>
      <c r="BN235" s="2" t="s">
        <v>124</v>
      </c>
      <c r="BO235" s="2" t="s">
        <v>125</v>
      </c>
      <c r="BP235" s="2" t="s">
        <v>242</v>
      </c>
      <c r="BQ235" s="2" t="s">
        <v>124</v>
      </c>
      <c r="BR235" s="2" t="s">
        <v>126</v>
      </c>
      <c r="BS235" s="2" t="s">
        <v>127</v>
      </c>
      <c r="BT235" s="2" t="s">
        <v>872</v>
      </c>
      <c r="BU235" s="2" t="s">
        <v>873</v>
      </c>
      <c r="BV235" s="2" t="s">
        <v>166</v>
      </c>
      <c r="BW235" s="2" t="s">
        <v>167</v>
      </c>
      <c r="BX235" s="2" t="s">
        <v>139</v>
      </c>
      <c r="BY23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35" s="2">
        <f>IF(AND(Cases[[#This Row],[Priority Level]]&gt;=3,Cases[[#This Row],[System Role]]&lt;&gt;"Productive"),1,0)</f>
        <v>0</v>
      </c>
      <c r="CA235" s="2">
        <f>IFERROR(IF(Cases[[#This Row],[Days at Customer]]&gt;MAX(1,Cases[[#This Row],[Days at SAP]]*2),1,0),0)</f>
        <v>1</v>
      </c>
      <c r="CB235" s="2">
        <f>IF(AND(Cases[[#This Row],[Initial Component]]&lt;&gt;"",Cases[[#This Row],[Component]]&lt;&gt;"",Cases[[#This Row],[Initial Component]]&lt;&gt;Cases[[#This Row],[Component]]),1,0)</f>
        <v>0</v>
      </c>
      <c r="CC235" s="2">
        <f>IF(OR(Cases[[#This Row],[Is Reopened]]="X",Cases[[#This Row],[No. of Reopenings]]&gt;0),1,0)</f>
        <v>0</v>
      </c>
      <c r="CD235" s="2">
        <f>IF(Cases[[#This Row],[Confirmation Type]]="Automatic",1,0)</f>
        <v>1</v>
      </c>
      <c r="CE235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36" spans="1:83" x14ac:dyDescent="0.2">
      <c r="A236" s="1" t="s">
        <v>1574</v>
      </c>
      <c r="B236" s="2" t="s">
        <v>1575</v>
      </c>
      <c r="C236" s="2" t="s">
        <v>1576</v>
      </c>
      <c r="D236" s="2" t="s">
        <v>238</v>
      </c>
      <c r="E236" s="3">
        <v>0.05</v>
      </c>
      <c r="F236" s="3">
        <v>21.65</v>
      </c>
      <c r="G236" s="2" t="s">
        <v>79</v>
      </c>
      <c r="H236" s="2" t="s">
        <v>155</v>
      </c>
      <c r="I236" s="3" t="s">
        <v>81</v>
      </c>
      <c r="J236" s="3">
        <v>89</v>
      </c>
      <c r="K236" s="2" t="s">
        <v>1577</v>
      </c>
      <c r="L236" s="4">
        <v>46068</v>
      </c>
      <c r="M236" s="4">
        <v>46060</v>
      </c>
      <c r="N236" s="2" t="s">
        <v>677</v>
      </c>
      <c r="O236" s="2" t="s">
        <v>181</v>
      </c>
      <c r="P236" s="2" t="s">
        <v>1165</v>
      </c>
      <c r="Q236" s="2" t="s">
        <v>86</v>
      </c>
      <c r="R236" s="2" t="s">
        <v>1578</v>
      </c>
      <c r="S236" s="4">
        <v>46038</v>
      </c>
      <c r="T236" s="2" t="s">
        <v>1334</v>
      </c>
      <c r="U236" s="2" t="s">
        <v>181</v>
      </c>
      <c r="V236" s="2" t="s">
        <v>180</v>
      </c>
      <c r="W236" s="2" t="s">
        <v>86</v>
      </c>
      <c r="X236" s="2" t="s">
        <v>88</v>
      </c>
      <c r="Y236" s="3" t="s">
        <v>89</v>
      </c>
      <c r="Z236" s="3">
        <v>21.7</v>
      </c>
      <c r="AA236" s="2" t="s">
        <v>90</v>
      </c>
      <c r="AB236" s="2" t="s">
        <v>1578</v>
      </c>
      <c r="AC236" s="2" t="s">
        <v>1576</v>
      </c>
      <c r="AD236" t="str" cm="1">
        <f t="array" ref="AD23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OTC</v>
      </c>
      <c r="AE236" s="2" t="s">
        <v>139</v>
      </c>
      <c r="AF236" s="2" t="s">
        <v>92</v>
      </c>
      <c r="AG236" s="2" t="s">
        <v>93</v>
      </c>
      <c r="AH236" s="2" t="s">
        <v>94</v>
      </c>
      <c r="AK236" s="2" t="s">
        <v>1579</v>
      </c>
      <c r="AN236" s="3">
        <v>1</v>
      </c>
      <c r="AO236" s="3">
        <v>1</v>
      </c>
      <c r="AP236" s="3">
        <v>1</v>
      </c>
      <c r="AQ236" s="3">
        <v>1</v>
      </c>
      <c r="AR236" s="3">
        <v>0</v>
      </c>
      <c r="AS236" s="3">
        <v>0</v>
      </c>
      <c r="AT236" s="3">
        <v>1</v>
      </c>
      <c r="AU236" s="3">
        <v>0</v>
      </c>
      <c r="AV236" s="3">
        <v>1</v>
      </c>
      <c r="AW236" s="3">
        <v>0</v>
      </c>
      <c r="AX236" s="3">
        <v>0</v>
      </c>
      <c r="AY236" s="3">
        <v>0</v>
      </c>
      <c r="AZ236" s="3">
        <v>1</v>
      </c>
      <c r="BA236" s="3">
        <v>0</v>
      </c>
      <c r="BB236" s="3">
        <v>0</v>
      </c>
      <c r="BC236" s="3">
        <v>1</v>
      </c>
      <c r="BD236" s="3">
        <v>0</v>
      </c>
      <c r="BE236" s="3">
        <v>0</v>
      </c>
      <c r="BG236" s="2" t="s">
        <v>139</v>
      </c>
      <c r="BH236" s="3">
        <v>2</v>
      </c>
      <c r="BJ236" s="2" t="s">
        <v>96</v>
      </c>
      <c r="BL236" s="2" t="s">
        <v>184</v>
      </c>
      <c r="BM236" s="2" t="s">
        <v>184</v>
      </c>
      <c r="BN236" s="2" t="s">
        <v>124</v>
      </c>
      <c r="BO236" s="2" t="s">
        <v>125</v>
      </c>
      <c r="BP236" s="2" t="s">
        <v>242</v>
      </c>
      <c r="BQ236" s="2" t="s">
        <v>124</v>
      </c>
      <c r="BR236" s="2" t="s">
        <v>126</v>
      </c>
      <c r="BS236" s="2" t="s">
        <v>127</v>
      </c>
      <c r="BT236" s="2" t="s">
        <v>185</v>
      </c>
      <c r="BU236" s="2" t="s">
        <v>186</v>
      </c>
      <c r="BV236" s="2" t="s">
        <v>150</v>
      </c>
      <c r="BW236" s="2" t="s">
        <v>151</v>
      </c>
      <c r="BX236" s="2" t="s">
        <v>139</v>
      </c>
      <c r="BY23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36" s="2">
        <f>IF(AND(Cases[[#This Row],[Priority Level]]&gt;=3,Cases[[#This Row],[System Role]]&lt;&gt;"Productive"),1,0)</f>
        <v>0</v>
      </c>
      <c r="CA236" s="2">
        <f>IFERROR(IF(Cases[[#This Row],[Days at Customer]]&gt;MAX(1,Cases[[#This Row],[Days at SAP]]*2),1,0),0)</f>
        <v>1</v>
      </c>
      <c r="CB236" s="2">
        <f>IF(AND(Cases[[#This Row],[Initial Component]]&lt;&gt;"",Cases[[#This Row],[Component]]&lt;&gt;"",Cases[[#This Row],[Initial Component]]&lt;&gt;Cases[[#This Row],[Component]]),1,0)</f>
        <v>0</v>
      </c>
      <c r="CC236" s="2">
        <f>IF(OR(Cases[[#This Row],[Is Reopened]]="X",Cases[[#This Row],[No. of Reopenings]]&gt;0),1,0)</f>
        <v>0</v>
      </c>
      <c r="CD236" s="2">
        <f>IF(Cases[[#This Row],[Confirmation Type]]="Automatic",1,0)</f>
        <v>1</v>
      </c>
      <c r="CE23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37" spans="1:83" x14ac:dyDescent="0.2">
      <c r="A237" s="1" t="s">
        <v>2012</v>
      </c>
      <c r="B237" s="2" t="s">
        <v>2013</v>
      </c>
      <c r="C237" s="2" t="s">
        <v>639</v>
      </c>
      <c r="D237" s="2" t="s">
        <v>238</v>
      </c>
      <c r="E237" s="3">
        <v>0.04</v>
      </c>
      <c r="F237" s="3">
        <v>21.61</v>
      </c>
      <c r="G237" s="2" t="s">
        <v>133</v>
      </c>
      <c r="H237" s="2" t="s">
        <v>324</v>
      </c>
      <c r="I237" s="3" t="s">
        <v>114</v>
      </c>
      <c r="J237" s="3">
        <v>121</v>
      </c>
      <c r="K237" s="2" t="s">
        <v>2014</v>
      </c>
      <c r="L237" s="4">
        <v>46033</v>
      </c>
      <c r="M237" s="4">
        <v>46028</v>
      </c>
      <c r="N237" s="2" t="s">
        <v>1334</v>
      </c>
      <c r="O237" s="2" t="s">
        <v>181</v>
      </c>
      <c r="P237" s="2" t="s">
        <v>677</v>
      </c>
      <c r="Q237" s="2" t="s">
        <v>86</v>
      </c>
      <c r="R237" s="2" t="s">
        <v>641</v>
      </c>
      <c r="S237" s="4">
        <v>46006</v>
      </c>
      <c r="T237" s="2" t="s">
        <v>1804</v>
      </c>
      <c r="U237" s="2" t="s">
        <v>1805</v>
      </c>
      <c r="V237" s="2" t="s">
        <v>1930</v>
      </c>
      <c r="W237" s="2" t="s">
        <v>1806</v>
      </c>
      <c r="X237" s="2" t="s">
        <v>117</v>
      </c>
      <c r="Y237" s="3" t="s">
        <v>118</v>
      </c>
      <c r="Z237" s="3">
        <v>21.65</v>
      </c>
      <c r="AA237" s="2" t="s">
        <v>90</v>
      </c>
      <c r="AB237" s="2" t="s">
        <v>641</v>
      </c>
      <c r="AC237" s="2" t="s">
        <v>639</v>
      </c>
      <c r="AD237" t="str" cm="1">
        <f t="array" ref="AD23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237" s="2" t="s">
        <v>139</v>
      </c>
      <c r="AF237" s="2" t="s">
        <v>92</v>
      </c>
      <c r="AG237" s="2" t="s">
        <v>159</v>
      </c>
      <c r="AH237" s="2" t="s">
        <v>160</v>
      </c>
      <c r="AK237" s="2" t="s">
        <v>2015</v>
      </c>
      <c r="AN237" s="3">
        <v>1</v>
      </c>
      <c r="AO237" s="3">
        <v>1</v>
      </c>
      <c r="AP237" s="3">
        <v>1</v>
      </c>
      <c r="AQ237" s="3">
        <v>1</v>
      </c>
      <c r="AR237" s="3">
        <v>0</v>
      </c>
      <c r="AS237" s="3">
        <v>0</v>
      </c>
      <c r="AT237" s="3">
        <v>1</v>
      </c>
      <c r="AU237" s="3">
        <v>0</v>
      </c>
      <c r="AV237" s="3">
        <v>1</v>
      </c>
      <c r="AW237" s="3">
        <v>0</v>
      </c>
      <c r="AX237" s="3">
        <v>0</v>
      </c>
      <c r="AY237" s="3">
        <v>0</v>
      </c>
      <c r="AZ237" s="3">
        <v>1</v>
      </c>
      <c r="BA237" s="3">
        <v>0</v>
      </c>
      <c r="BB237" s="3">
        <v>0</v>
      </c>
      <c r="BC237" s="3">
        <v>1</v>
      </c>
      <c r="BD237" s="3">
        <v>0</v>
      </c>
      <c r="BE237" s="3">
        <v>0</v>
      </c>
      <c r="BG237" s="2" t="s">
        <v>139</v>
      </c>
      <c r="BH237" s="3">
        <v>2</v>
      </c>
      <c r="BJ237" s="2" t="s">
        <v>96</v>
      </c>
      <c r="BL237" s="2" t="s">
        <v>643</v>
      </c>
      <c r="BM237" s="2" t="s">
        <v>644</v>
      </c>
      <c r="BN237" s="2" t="s">
        <v>99</v>
      </c>
      <c r="BO237" s="2" t="s">
        <v>100</v>
      </c>
      <c r="BP237" s="2" t="s">
        <v>242</v>
      </c>
      <c r="BQ237" s="2" t="s">
        <v>102</v>
      </c>
      <c r="BR237" s="2" t="s">
        <v>103</v>
      </c>
      <c r="BS237" s="2" t="s">
        <v>127</v>
      </c>
      <c r="BT237" s="2" t="s">
        <v>645</v>
      </c>
      <c r="BU237" s="2" t="s">
        <v>646</v>
      </c>
      <c r="BV237" s="2" t="s">
        <v>150</v>
      </c>
      <c r="BW237" s="2" t="s">
        <v>151</v>
      </c>
      <c r="BX237" s="2" t="s">
        <v>139</v>
      </c>
      <c r="BY23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37" s="2">
        <f>IF(AND(Cases[[#This Row],[Priority Level]]&gt;=3,Cases[[#This Row],[System Role]]&lt;&gt;"Productive"),1,0)</f>
        <v>0</v>
      </c>
      <c r="CA237" s="2">
        <f>IFERROR(IF(Cases[[#This Row],[Days at Customer]]&gt;MAX(1,Cases[[#This Row],[Days at SAP]]*2),1,0),0)</f>
        <v>1</v>
      </c>
      <c r="CB237" s="2">
        <f>IF(AND(Cases[[#This Row],[Initial Component]]&lt;&gt;"",Cases[[#This Row],[Component]]&lt;&gt;"",Cases[[#This Row],[Initial Component]]&lt;&gt;Cases[[#This Row],[Component]]),1,0)</f>
        <v>0</v>
      </c>
      <c r="CC237" s="2">
        <f>IF(OR(Cases[[#This Row],[Is Reopened]]="X",Cases[[#This Row],[No. of Reopenings]]&gt;0),1,0)</f>
        <v>0</v>
      </c>
      <c r="CD237" s="2">
        <f>IF(Cases[[#This Row],[Confirmation Type]]="Automatic",1,0)</f>
        <v>1</v>
      </c>
      <c r="CE237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38" spans="1:83" x14ac:dyDescent="0.2">
      <c r="A238" s="1" t="s">
        <v>1584</v>
      </c>
      <c r="B238" s="2" t="s">
        <v>1585</v>
      </c>
      <c r="C238" s="2" t="s">
        <v>77</v>
      </c>
      <c r="D238" s="2" t="s">
        <v>78</v>
      </c>
      <c r="E238" s="3">
        <v>5.79</v>
      </c>
      <c r="F238" s="3">
        <v>15</v>
      </c>
      <c r="G238" s="2" t="s">
        <v>190</v>
      </c>
      <c r="H238" s="2" t="s">
        <v>191</v>
      </c>
      <c r="I238" s="3" t="s">
        <v>114</v>
      </c>
      <c r="J238" s="3">
        <v>91</v>
      </c>
      <c r="K238" s="2" t="s">
        <v>1586</v>
      </c>
      <c r="L238" s="4">
        <v>46061</v>
      </c>
      <c r="M238" s="4">
        <v>46057</v>
      </c>
      <c r="N238" s="2" t="s">
        <v>677</v>
      </c>
      <c r="O238" s="2" t="s">
        <v>181</v>
      </c>
      <c r="P238" s="2" t="s">
        <v>1165</v>
      </c>
      <c r="Q238" s="2" t="s">
        <v>86</v>
      </c>
      <c r="R238" s="2" t="s">
        <v>87</v>
      </c>
      <c r="S238" s="4">
        <v>46036</v>
      </c>
      <c r="T238" s="2" t="s">
        <v>1334</v>
      </c>
      <c r="U238" s="2" t="s">
        <v>181</v>
      </c>
      <c r="V238" s="2" t="s">
        <v>180</v>
      </c>
      <c r="W238" s="2" t="s">
        <v>86</v>
      </c>
      <c r="X238" s="2" t="s">
        <v>117</v>
      </c>
      <c r="Y238" s="3" t="s">
        <v>118</v>
      </c>
      <c r="Z238" s="3">
        <v>20.78</v>
      </c>
      <c r="AA238" s="2" t="s">
        <v>90</v>
      </c>
      <c r="AB238" s="2" t="s">
        <v>87</v>
      </c>
      <c r="AC238" s="2" t="s">
        <v>77</v>
      </c>
      <c r="AD238" t="str" cm="1">
        <f t="array" ref="AD23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238" s="2" t="s">
        <v>91</v>
      </c>
      <c r="AF238" s="2" t="s">
        <v>92</v>
      </c>
      <c r="AG238" s="2" t="s">
        <v>527</v>
      </c>
      <c r="AH238" s="2" t="s">
        <v>528</v>
      </c>
      <c r="AJ238" s="2" t="s">
        <v>122</v>
      </c>
      <c r="AK238" s="2" t="s">
        <v>1587</v>
      </c>
      <c r="AN238" s="3">
        <v>1</v>
      </c>
      <c r="AO238" s="3">
        <v>1</v>
      </c>
      <c r="AP238" s="3">
        <v>1</v>
      </c>
      <c r="AQ238" s="3">
        <v>1</v>
      </c>
      <c r="AR238" s="3">
        <v>1</v>
      </c>
      <c r="AS238" s="3">
        <v>0</v>
      </c>
      <c r="AT238" s="3">
        <v>0</v>
      </c>
      <c r="AU238" s="3">
        <v>0</v>
      </c>
      <c r="AV238" s="3">
        <v>0</v>
      </c>
      <c r="AW238" s="3">
        <v>1</v>
      </c>
      <c r="AX238" s="3">
        <v>1</v>
      </c>
      <c r="AY238" s="3">
        <v>0</v>
      </c>
      <c r="AZ238" s="3">
        <v>0</v>
      </c>
      <c r="BA238" s="3">
        <v>1</v>
      </c>
      <c r="BB238" s="3">
        <v>0</v>
      </c>
      <c r="BC238" s="3">
        <v>0</v>
      </c>
      <c r="BD238" s="3">
        <v>1</v>
      </c>
      <c r="BE238" s="3">
        <v>0</v>
      </c>
      <c r="BG238" s="2" t="s">
        <v>91</v>
      </c>
      <c r="BH238" s="3">
        <v>3</v>
      </c>
      <c r="BJ238" s="2" t="s">
        <v>96</v>
      </c>
      <c r="BL238" s="2" t="s">
        <v>184</v>
      </c>
      <c r="BM238" s="2" t="s">
        <v>184</v>
      </c>
      <c r="BN238" s="2" t="s">
        <v>124</v>
      </c>
      <c r="BO238" s="2" t="s">
        <v>125</v>
      </c>
      <c r="BP238" s="2" t="s">
        <v>101</v>
      </c>
      <c r="BQ238" s="2" t="s">
        <v>124</v>
      </c>
      <c r="BR238" s="2" t="s">
        <v>126</v>
      </c>
      <c r="BS238" s="2" t="s">
        <v>713</v>
      </c>
      <c r="BT238" s="2" t="s">
        <v>343</v>
      </c>
      <c r="BU238" s="2" t="s">
        <v>714</v>
      </c>
      <c r="BV238" s="2" t="s">
        <v>166</v>
      </c>
      <c r="BW238" s="2" t="s">
        <v>167</v>
      </c>
      <c r="BX238" s="2" t="s">
        <v>91</v>
      </c>
      <c r="BY23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38" s="2">
        <f>IF(AND(Cases[[#This Row],[Priority Level]]&gt;=3,Cases[[#This Row],[System Role]]&lt;&gt;"Productive"),1,0)</f>
        <v>1</v>
      </c>
      <c r="CA238" s="2">
        <f>IFERROR(IF(Cases[[#This Row],[Days at Customer]]&gt;MAX(1,Cases[[#This Row],[Days at SAP]]*2),1,0),0)</f>
        <v>1</v>
      </c>
      <c r="CB238" s="2">
        <f>IF(AND(Cases[[#This Row],[Initial Component]]&lt;&gt;"",Cases[[#This Row],[Component]]&lt;&gt;"",Cases[[#This Row],[Initial Component]]&lt;&gt;Cases[[#This Row],[Component]]),1,0)</f>
        <v>0</v>
      </c>
      <c r="CC238" s="2">
        <f>IF(OR(Cases[[#This Row],[Is Reopened]]="X",Cases[[#This Row],[No. of Reopenings]]&gt;0),1,0)</f>
        <v>1</v>
      </c>
      <c r="CD238" s="2">
        <f>IF(Cases[[#This Row],[Confirmation Type]]="Automatic",1,0)</f>
        <v>0</v>
      </c>
      <c r="CE238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239" spans="1:83" x14ac:dyDescent="0.2">
      <c r="A239" s="1" t="s">
        <v>1588</v>
      </c>
      <c r="B239" s="2" t="s">
        <v>1589</v>
      </c>
      <c r="C239" s="2" t="s">
        <v>1590</v>
      </c>
      <c r="D239" s="2" t="s">
        <v>238</v>
      </c>
      <c r="E239" s="3">
        <v>8.74</v>
      </c>
      <c r="F239" s="3">
        <v>21.38</v>
      </c>
      <c r="G239" s="2" t="s">
        <v>79</v>
      </c>
      <c r="H239" s="2" t="s">
        <v>155</v>
      </c>
      <c r="I239" s="3" t="s">
        <v>114</v>
      </c>
      <c r="J239" s="3">
        <v>91</v>
      </c>
      <c r="K239" s="2" t="s">
        <v>1591</v>
      </c>
      <c r="L239" s="4">
        <v>46068</v>
      </c>
      <c r="M239" s="4">
        <v>46067</v>
      </c>
      <c r="N239" s="2" t="s">
        <v>677</v>
      </c>
      <c r="O239" s="2" t="s">
        <v>181</v>
      </c>
      <c r="P239" s="2" t="s">
        <v>1079</v>
      </c>
      <c r="Q239" s="2" t="s">
        <v>86</v>
      </c>
      <c r="R239" s="2" t="s">
        <v>1592</v>
      </c>
      <c r="S239" s="4">
        <v>46036</v>
      </c>
      <c r="T239" s="2" t="s">
        <v>1334</v>
      </c>
      <c r="U239" s="2" t="s">
        <v>181</v>
      </c>
      <c r="V239" s="2" t="s">
        <v>180</v>
      </c>
      <c r="W239" s="2" t="s">
        <v>86</v>
      </c>
      <c r="X239" s="2" t="s">
        <v>117</v>
      </c>
      <c r="Y239" s="3" t="s">
        <v>118</v>
      </c>
      <c r="Z239" s="3">
        <v>30.13</v>
      </c>
      <c r="AA239" s="2" t="s">
        <v>90</v>
      </c>
      <c r="AB239" s="2" t="s">
        <v>1592</v>
      </c>
      <c r="AC239" s="2" t="s">
        <v>1590</v>
      </c>
      <c r="AD239" t="str" cm="1">
        <f t="array" ref="AD23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239" s="2" t="s">
        <v>139</v>
      </c>
      <c r="AF239" s="2" t="s">
        <v>92</v>
      </c>
      <c r="AG239" s="2" t="s">
        <v>527</v>
      </c>
      <c r="AH239" s="2" t="s">
        <v>528</v>
      </c>
      <c r="AK239" s="2" t="s">
        <v>1593</v>
      </c>
      <c r="AN239" s="3">
        <v>1</v>
      </c>
      <c r="AO239" s="3">
        <v>1</v>
      </c>
      <c r="AP239" s="3">
        <v>1</v>
      </c>
      <c r="AQ239" s="3">
        <v>1</v>
      </c>
      <c r="AR239" s="3">
        <v>0</v>
      </c>
      <c r="AS239" s="3">
        <v>0</v>
      </c>
      <c r="AT239" s="3">
        <v>1</v>
      </c>
      <c r="AU239" s="3">
        <v>0</v>
      </c>
      <c r="AV239" s="3">
        <v>1</v>
      </c>
      <c r="AW239" s="3">
        <v>0</v>
      </c>
      <c r="AX239" s="3">
        <v>0</v>
      </c>
      <c r="AY239" s="3">
        <v>0</v>
      </c>
      <c r="AZ239" s="3">
        <v>1</v>
      </c>
      <c r="BA239" s="3">
        <v>0</v>
      </c>
      <c r="BB239" s="3">
        <v>0</v>
      </c>
      <c r="BC239" s="3">
        <v>1</v>
      </c>
      <c r="BD239" s="3">
        <v>0</v>
      </c>
      <c r="BE239" s="3">
        <v>0</v>
      </c>
      <c r="BG239" s="2" t="s">
        <v>139</v>
      </c>
      <c r="BH239" s="3">
        <v>2</v>
      </c>
      <c r="BJ239" s="2" t="s">
        <v>96</v>
      </c>
      <c r="BL239" s="2" t="s">
        <v>184</v>
      </c>
      <c r="BM239" s="2" t="s">
        <v>184</v>
      </c>
      <c r="BN239" s="2" t="s">
        <v>124</v>
      </c>
      <c r="BO239" s="2" t="s">
        <v>125</v>
      </c>
      <c r="BP239" s="2" t="s">
        <v>242</v>
      </c>
      <c r="BQ239" s="2" t="s">
        <v>124</v>
      </c>
      <c r="BR239" s="2" t="s">
        <v>126</v>
      </c>
      <c r="BS239" s="2" t="s">
        <v>127</v>
      </c>
      <c r="BT239" s="2" t="s">
        <v>185</v>
      </c>
      <c r="BU239" s="2" t="s">
        <v>530</v>
      </c>
      <c r="BV239" s="2" t="s">
        <v>150</v>
      </c>
      <c r="BW239" s="2" t="s">
        <v>151</v>
      </c>
      <c r="BX239" s="2" t="s">
        <v>139</v>
      </c>
      <c r="BY23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39" s="2">
        <f>IF(AND(Cases[[#This Row],[Priority Level]]&gt;=3,Cases[[#This Row],[System Role]]&lt;&gt;"Productive"),1,0)</f>
        <v>0</v>
      </c>
      <c r="CA239" s="2">
        <f>IFERROR(IF(Cases[[#This Row],[Days at Customer]]&gt;MAX(1,Cases[[#This Row],[Days at SAP]]*2),1,0),0)</f>
        <v>1</v>
      </c>
      <c r="CB239" s="2">
        <f>IF(AND(Cases[[#This Row],[Initial Component]]&lt;&gt;"",Cases[[#This Row],[Component]]&lt;&gt;"",Cases[[#This Row],[Initial Component]]&lt;&gt;Cases[[#This Row],[Component]]),1,0)</f>
        <v>0</v>
      </c>
      <c r="CC239" s="2">
        <f>IF(OR(Cases[[#This Row],[Is Reopened]]="X",Cases[[#This Row],[No. of Reopenings]]&gt;0),1,0)</f>
        <v>0</v>
      </c>
      <c r="CD239" s="2">
        <f>IF(Cases[[#This Row],[Confirmation Type]]="Automatic",1,0)</f>
        <v>1</v>
      </c>
      <c r="CE239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40" spans="1:83" x14ac:dyDescent="0.2">
      <c r="A240" s="1" t="s">
        <v>1594</v>
      </c>
      <c r="B240" s="2" t="s">
        <v>1595</v>
      </c>
      <c r="C240" s="2" t="s">
        <v>1596</v>
      </c>
      <c r="D240" s="2" t="s">
        <v>238</v>
      </c>
      <c r="E240" s="3">
        <v>10.45</v>
      </c>
      <c r="F240" s="3">
        <v>35.29</v>
      </c>
      <c r="G240" s="2" t="s">
        <v>79</v>
      </c>
      <c r="H240" s="2" t="s">
        <v>732</v>
      </c>
      <c r="I240" s="3" t="s">
        <v>81</v>
      </c>
      <c r="J240" s="3">
        <v>92</v>
      </c>
      <c r="K240" s="2" t="s">
        <v>1597</v>
      </c>
      <c r="L240" s="4">
        <v>46103</v>
      </c>
      <c r="M240" s="4">
        <v>46081</v>
      </c>
      <c r="N240" s="2" t="s">
        <v>677</v>
      </c>
      <c r="O240" s="2" t="s">
        <v>181</v>
      </c>
      <c r="P240" s="2" t="s">
        <v>678</v>
      </c>
      <c r="Q240" s="2" t="s">
        <v>86</v>
      </c>
      <c r="R240" s="2" t="s">
        <v>1598</v>
      </c>
      <c r="S240" s="4">
        <v>46035</v>
      </c>
      <c r="T240" s="2" t="s">
        <v>1334</v>
      </c>
      <c r="U240" s="2" t="s">
        <v>181</v>
      </c>
      <c r="V240" s="2" t="s">
        <v>180</v>
      </c>
      <c r="W240" s="2" t="s">
        <v>86</v>
      </c>
      <c r="X240" s="2" t="s">
        <v>88</v>
      </c>
      <c r="Y240" s="3" t="s">
        <v>89</v>
      </c>
      <c r="Z240" s="3">
        <v>45.74</v>
      </c>
      <c r="AA240" s="2" t="s">
        <v>90</v>
      </c>
      <c r="AB240" s="2" t="s">
        <v>1598</v>
      </c>
      <c r="AC240" s="2" t="s">
        <v>1596</v>
      </c>
      <c r="AD240" t="str" cm="1">
        <f t="array" ref="AD24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OTC</v>
      </c>
      <c r="AE240" s="2" t="s">
        <v>139</v>
      </c>
      <c r="AF240" s="2" t="s">
        <v>92</v>
      </c>
      <c r="AG240" s="2" t="s">
        <v>93</v>
      </c>
      <c r="AH240" s="2" t="s">
        <v>94</v>
      </c>
      <c r="AJ240" s="2" t="s">
        <v>122</v>
      </c>
      <c r="AK240" s="2" t="s">
        <v>1599</v>
      </c>
      <c r="AN240" s="3">
        <v>1</v>
      </c>
      <c r="AO240" s="3">
        <v>1</v>
      </c>
      <c r="AP240" s="3">
        <v>1</v>
      </c>
      <c r="AQ240" s="3">
        <v>1</v>
      </c>
      <c r="AR240" s="3">
        <v>1</v>
      </c>
      <c r="AS240" s="3">
        <v>0</v>
      </c>
      <c r="AT240" s="3">
        <v>0</v>
      </c>
      <c r="AU240" s="3">
        <v>0</v>
      </c>
      <c r="AV240" s="3">
        <v>1</v>
      </c>
      <c r="AW240" s="3">
        <v>0</v>
      </c>
      <c r="AX240" s="3">
        <v>1</v>
      </c>
      <c r="AY240" s="3">
        <v>0</v>
      </c>
      <c r="AZ240" s="3">
        <v>0</v>
      </c>
      <c r="BA240" s="3">
        <v>0</v>
      </c>
      <c r="BB240" s="3">
        <v>0</v>
      </c>
      <c r="BC240" s="3">
        <v>1</v>
      </c>
      <c r="BD240" s="3">
        <v>3</v>
      </c>
      <c r="BE240" s="3">
        <v>0</v>
      </c>
      <c r="BG240" s="2" t="s">
        <v>91</v>
      </c>
      <c r="BH240" s="3">
        <v>3</v>
      </c>
      <c r="BJ240" s="2" t="s">
        <v>96</v>
      </c>
      <c r="BL240" s="2" t="s">
        <v>184</v>
      </c>
      <c r="BM240" s="2" t="s">
        <v>184</v>
      </c>
      <c r="BN240" s="2" t="s">
        <v>124</v>
      </c>
      <c r="BO240" s="2" t="s">
        <v>125</v>
      </c>
      <c r="BP240" s="2" t="s">
        <v>242</v>
      </c>
      <c r="BQ240" s="2" t="s">
        <v>124</v>
      </c>
      <c r="BR240" s="2" t="s">
        <v>126</v>
      </c>
      <c r="BS240" s="2" t="s">
        <v>104</v>
      </c>
      <c r="BT240" s="2" t="s">
        <v>185</v>
      </c>
      <c r="BU240" s="2" t="s">
        <v>968</v>
      </c>
      <c r="BV240" s="2" t="s">
        <v>150</v>
      </c>
      <c r="BW240" s="2" t="s">
        <v>151</v>
      </c>
      <c r="BX240" s="2" t="s">
        <v>182</v>
      </c>
      <c r="BY24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40" s="2">
        <f>IF(AND(Cases[[#This Row],[Priority Level]]&gt;=3,Cases[[#This Row],[System Role]]&lt;&gt;"Productive"),1,0)</f>
        <v>0</v>
      </c>
      <c r="CA240" s="2">
        <f>IFERROR(IF(Cases[[#This Row],[Days at Customer]]&gt;MAX(1,Cases[[#This Row],[Days at SAP]]*2),1,0),0)</f>
        <v>1</v>
      </c>
      <c r="CB240" s="2">
        <f>IF(AND(Cases[[#This Row],[Initial Component]]&lt;&gt;"",Cases[[#This Row],[Component]]&lt;&gt;"",Cases[[#This Row],[Initial Component]]&lt;&gt;Cases[[#This Row],[Component]]),1,0)</f>
        <v>0</v>
      </c>
      <c r="CC240" s="2">
        <f>IF(OR(Cases[[#This Row],[Is Reopened]]="X",Cases[[#This Row],[No. of Reopenings]]&gt;0),1,0)</f>
        <v>1</v>
      </c>
      <c r="CD240" s="2">
        <f>IF(Cases[[#This Row],[Confirmation Type]]="Automatic",1,0)</f>
        <v>1</v>
      </c>
      <c r="CE24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41" spans="1:83" x14ac:dyDescent="0.2">
      <c r="A241" s="1" t="s">
        <v>1600</v>
      </c>
      <c r="B241" s="2" t="s">
        <v>1601</v>
      </c>
      <c r="C241" s="2" t="s">
        <v>1576</v>
      </c>
      <c r="D241" s="2" t="s">
        <v>238</v>
      </c>
      <c r="E241" s="3">
        <v>1.0900000000000001</v>
      </c>
      <c r="F241" s="3">
        <v>30.62</v>
      </c>
      <c r="G241" s="2" t="s">
        <v>79</v>
      </c>
      <c r="H241" s="2" t="s">
        <v>178</v>
      </c>
      <c r="I241" s="3" t="s">
        <v>114</v>
      </c>
      <c r="J241" s="3">
        <v>92</v>
      </c>
      <c r="K241" s="2" t="s">
        <v>1602</v>
      </c>
      <c r="L241" s="4">
        <v>46068</v>
      </c>
      <c r="M241" s="4">
        <v>46067</v>
      </c>
      <c r="N241" s="2" t="s">
        <v>677</v>
      </c>
      <c r="O241" s="2" t="s">
        <v>181</v>
      </c>
      <c r="P241" s="2" t="s">
        <v>1079</v>
      </c>
      <c r="Q241" s="2" t="s">
        <v>86</v>
      </c>
      <c r="R241" s="2" t="s">
        <v>1578</v>
      </c>
      <c r="S241" s="4">
        <v>46035</v>
      </c>
      <c r="T241" s="2" t="s">
        <v>1334</v>
      </c>
      <c r="U241" s="2" t="s">
        <v>181</v>
      </c>
      <c r="V241" s="2" t="s">
        <v>180</v>
      </c>
      <c r="W241" s="2" t="s">
        <v>86</v>
      </c>
      <c r="X241" s="2" t="s">
        <v>117</v>
      </c>
      <c r="Y241" s="3" t="s">
        <v>118</v>
      </c>
      <c r="Z241" s="3">
        <v>31.7</v>
      </c>
      <c r="AA241" s="2" t="s">
        <v>90</v>
      </c>
      <c r="AB241" s="2" t="s">
        <v>1578</v>
      </c>
      <c r="AC241" s="2" t="s">
        <v>1576</v>
      </c>
      <c r="AD241" t="str" cm="1">
        <f t="array" ref="AD24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OTC</v>
      </c>
      <c r="AE241" s="2" t="s">
        <v>139</v>
      </c>
      <c r="AF241" s="2" t="s">
        <v>92</v>
      </c>
      <c r="AG241" s="2" t="s">
        <v>119</v>
      </c>
      <c r="AH241" s="2" t="s">
        <v>120</v>
      </c>
      <c r="AK241" s="2" t="s">
        <v>1603</v>
      </c>
      <c r="AN241" s="3">
        <v>1</v>
      </c>
      <c r="AO241" s="3">
        <v>1</v>
      </c>
      <c r="AP241" s="3">
        <v>1</v>
      </c>
      <c r="AQ241" s="3">
        <v>1</v>
      </c>
      <c r="AR241" s="3">
        <v>1</v>
      </c>
      <c r="AS241" s="3">
        <v>0</v>
      </c>
      <c r="AT241" s="3">
        <v>0</v>
      </c>
      <c r="AU241" s="3">
        <v>0</v>
      </c>
      <c r="AV241" s="3">
        <v>1</v>
      </c>
      <c r="AW241" s="3">
        <v>0</v>
      </c>
      <c r="AX241" s="3">
        <v>1</v>
      </c>
      <c r="AY241" s="3">
        <v>0</v>
      </c>
      <c r="AZ241" s="3">
        <v>0</v>
      </c>
      <c r="BA241" s="3">
        <v>0</v>
      </c>
      <c r="BB241" s="3">
        <v>0</v>
      </c>
      <c r="BC241" s="3">
        <v>1</v>
      </c>
      <c r="BD241" s="3">
        <v>0</v>
      </c>
      <c r="BE241" s="3">
        <v>0</v>
      </c>
      <c r="BG241" s="2" t="s">
        <v>91</v>
      </c>
      <c r="BH241" s="3">
        <v>3</v>
      </c>
      <c r="BJ241" s="2" t="s">
        <v>96</v>
      </c>
      <c r="BL241" s="2" t="s">
        <v>123</v>
      </c>
      <c r="BM241" s="2" t="s">
        <v>123</v>
      </c>
      <c r="BN241" s="2" t="s">
        <v>124</v>
      </c>
      <c r="BO241" s="2" t="s">
        <v>125</v>
      </c>
      <c r="BP241" s="2" t="s">
        <v>242</v>
      </c>
      <c r="BQ241" s="2" t="s">
        <v>124</v>
      </c>
      <c r="BR241" s="2" t="s">
        <v>126</v>
      </c>
      <c r="BS241" s="2" t="s">
        <v>127</v>
      </c>
      <c r="BT241" s="2" t="s">
        <v>207</v>
      </c>
      <c r="BU241" s="2" t="s">
        <v>208</v>
      </c>
      <c r="BV241" s="2" t="s">
        <v>150</v>
      </c>
      <c r="BW241" s="2" t="s">
        <v>151</v>
      </c>
      <c r="BX241" s="2" t="s">
        <v>91</v>
      </c>
      <c r="BY24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41" s="2">
        <f>IF(AND(Cases[[#This Row],[Priority Level]]&gt;=3,Cases[[#This Row],[System Role]]&lt;&gt;"Productive"),1,0)</f>
        <v>0</v>
      </c>
      <c r="CA241" s="2">
        <f>IFERROR(IF(Cases[[#This Row],[Days at Customer]]&gt;MAX(1,Cases[[#This Row],[Days at SAP]]*2),1,0),0)</f>
        <v>1</v>
      </c>
      <c r="CB241" s="2">
        <f>IF(AND(Cases[[#This Row],[Initial Component]]&lt;&gt;"",Cases[[#This Row],[Component]]&lt;&gt;"",Cases[[#This Row],[Initial Component]]&lt;&gt;Cases[[#This Row],[Component]]),1,0)</f>
        <v>0</v>
      </c>
      <c r="CC241" s="2">
        <f>IF(OR(Cases[[#This Row],[Is Reopened]]="X",Cases[[#This Row],[No. of Reopenings]]&gt;0),1,0)</f>
        <v>0</v>
      </c>
      <c r="CD241" s="2">
        <f>IF(Cases[[#This Row],[Confirmation Type]]="Automatic",1,0)</f>
        <v>1</v>
      </c>
      <c r="CE241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42" spans="1:83" x14ac:dyDescent="0.2">
      <c r="A242" s="1" t="s">
        <v>1604</v>
      </c>
      <c r="B242" s="2" t="s">
        <v>1605</v>
      </c>
      <c r="C242" s="2" t="s">
        <v>77</v>
      </c>
      <c r="D242" s="2" t="s">
        <v>78</v>
      </c>
      <c r="E242" s="3">
        <v>7.74</v>
      </c>
      <c r="F242" s="3">
        <v>0.01</v>
      </c>
      <c r="G242" s="2" t="s">
        <v>79</v>
      </c>
      <c r="H242" s="2" t="s">
        <v>178</v>
      </c>
      <c r="I242" s="3" t="s">
        <v>81</v>
      </c>
      <c r="J242" s="3">
        <v>92</v>
      </c>
      <c r="K242" s="2" t="s">
        <v>1606</v>
      </c>
      <c r="L242" s="4">
        <v>46047</v>
      </c>
      <c r="M242" s="4">
        <v>46043</v>
      </c>
      <c r="N242" s="2" t="s">
        <v>1334</v>
      </c>
      <c r="O242" s="2" t="s">
        <v>181</v>
      </c>
      <c r="P242" s="2" t="s">
        <v>83</v>
      </c>
      <c r="Q242" s="2" t="s">
        <v>86</v>
      </c>
      <c r="R242" s="2" t="s">
        <v>87</v>
      </c>
      <c r="S242" s="4">
        <v>46035</v>
      </c>
      <c r="T242" s="2" t="s">
        <v>1334</v>
      </c>
      <c r="U242" s="2" t="s">
        <v>181</v>
      </c>
      <c r="V242" s="2" t="s">
        <v>180</v>
      </c>
      <c r="W242" s="2" t="s">
        <v>86</v>
      </c>
      <c r="X242" s="2" t="s">
        <v>88</v>
      </c>
      <c r="Y242" s="3" t="s">
        <v>89</v>
      </c>
      <c r="Z242" s="3">
        <v>7.75</v>
      </c>
      <c r="AA242" s="2" t="s">
        <v>90</v>
      </c>
      <c r="AB242" s="2" t="s">
        <v>87</v>
      </c>
      <c r="AC242" s="2" t="s">
        <v>77</v>
      </c>
      <c r="AD242" t="str" cm="1">
        <f t="array" ref="AD24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242" s="2" t="s">
        <v>91</v>
      </c>
      <c r="AF242" s="2" t="s">
        <v>92</v>
      </c>
      <c r="AG242" s="2" t="s">
        <v>93</v>
      </c>
      <c r="AH242" s="2" t="s">
        <v>94</v>
      </c>
      <c r="AK242" s="2" t="s">
        <v>1607</v>
      </c>
      <c r="AN242" s="3">
        <v>1</v>
      </c>
      <c r="AO242" s="3">
        <v>1</v>
      </c>
      <c r="AP242" s="3">
        <v>1</v>
      </c>
      <c r="AQ242" s="3">
        <v>1</v>
      </c>
      <c r="AR242" s="3">
        <v>1</v>
      </c>
      <c r="AS242" s="3">
        <v>0</v>
      </c>
      <c r="AT242" s="3">
        <v>0</v>
      </c>
      <c r="AU242" s="3">
        <v>0</v>
      </c>
      <c r="AV242" s="3">
        <v>0</v>
      </c>
      <c r="AW242" s="3">
        <v>1</v>
      </c>
      <c r="AX242" s="3">
        <v>1</v>
      </c>
      <c r="AY242" s="3">
        <v>0</v>
      </c>
      <c r="AZ242" s="3">
        <v>0</v>
      </c>
      <c r="BA242" s="3">
        <v>1</v>
      </c>
      <c r="BB242" s="3">
        <v>0</v>
      </c>
      <c r="BC242" s="3">
        <v>0</v>
      </c>
      <c r="BD242" s="3">
        <v>0</v>
      </c>
      <c r="BE242" s="3">
        <v>0</v>
      </c>
      <c r="BG242" s="2" t="s">
        <v>91</v>
      </c>
      <c r="BH242" s="3">
        <v>3</v>
      </c>
      <c r="BJ242" s="2" t="s">
        <v>96</v>
      </c>
      <c r="BL242" s="2" t="s">
        <v>184</v>
      </c>
      <c r="BM242" s="2" t="s">
        <v>184</v>
      </c>
      <c r="BN242" s="2" t="s">
        <v>124</v>
      </c>
      <c r="BO242" s="2" t="s">
        <v>125</v>
      </c>
      <c r="BP242" s="2" t="s">
        <v>101</v>
      </c>
      <c r="BQ242" s="2" t="s">
        <v>124</v>
      </c>
      <c r="BR242" s="2" t="s">
        <v>126</v>
      </c>
      <c r="BS242" s="2" t="s">
        <v>104</v>
      </c>
      <c r="BT242" s="2" t="s">
        <v>343</v>
      </c>
      <c r="BU242" s="2" t="s">
        <v>344</v>
      </c>
      <c r="BV242" s="2" t="s">
        <v>166</v>
      </c>
      <c r="BW242" s="2" t="s">
        <v>167</v>
      </c>
      <c r="BX242" s="2" t="s">
        <v>91</v>
      </c>
      <c r="BY24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42" s="2">
        <f>IF(AND(Cases[[#This Row],[Priority Level]]&gt;=3,Cases[[#This Row],[System Role]]&lt;&gt;"Productive"),1,0)</f>
        <v>1</v>
      </c>
      <c r="CA242" s="2">
        <f>IFERROR(IF(Cases[[#This Row],[Days at Customer]]&gt;MAX(1,Cases[[#This Row],[Days at SAP]]*2),1,0),0)</f>
        <v>0</v>
      </c>
      <c r="CB242" s="2">
        <f>IF(AND(Cases[[#This Row],[Initial Component]]&lt;&gt;"",Cases[[#This Row],[Component]]&lt;&gt;"",Cases[[#This Row],[Initial Component]]&lt;&gt;Cases[[#This Row],[Component]]),1,0)</f>
        <v>0</v>
      </c>
      <c r="CC242" s="2">
        <f>IF(OR(Cases[[#This Row],[Is Reopened]]="X",Cases[[#This Row],[No. of Reopenings]]&gt;0),1,0)</f>
        <v>0</v>
      </c>
      <c r="CD242" s="2">
        <f>IF(Cases[[#This Row],[Confirmation Type]]="Automatic",1,0)</f>
        <v>0</v>
      </c>
      <c r="CE242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43" spans="1:83" x14ac:dyDescent="0.2">
      <c r="A243" s="1" t="s">
        <v>1608</v>
      </c>
      <c r="B243" s="2" t="s">
        <v>1609</v>
      </c>
      <c r="C243" s="2" t="s">
        <v>1610</v>
      </c>
      <c r="D243" s="2" t="s">
        <v>78</v>
      </c>
      <c r="E243" s="3">
        <v>0.54</v>
      </c>
      <c r="F243" s="3">
        <v>34.96</v>
      </c>
      <c r="G243" s="2" t="s">
        <v>112</v>
      </c>
      <c r="H243" s="2" t="s">
        <v>113</v>
      </c>
      <c r="I243" s="3" t="s">
        <v>114</v>
      </c>
      <c r="J243" s="3">
        <v>92</v>
      </c>
      <c r="K243" s="2" t="s">
        <v>1611</v>
      </c>
      <c r="L243" s="4">
        <v>46082</v>
      </c>
      <c r="M243" s="4">
        <v>46078</v>
      </c>
      <c r="N243" s="2" t="s">
        <v>677</v>
      </c>
      <c r="O243" s="2" t="s">
        <v>181</v>
      </c>
      <c r="P243" s="2" t="s">
        <v>678</v>
      </c>
      <c r="Q243" s="2" t="s">
        <v>86</v>
      </c>
      <c r="R243" s="2" t="s">
        <v>1612</v>
      </c>
      <c r="S243" s="4">
        <v>46035</v>
      </c>
      <c r="T243" s="2" t="s">
        <v>1334</v>
      </c>
      <c r="U243" s="2" t="s">
        <v>181</v>
      </c>
      <c r="V243" s="2" t="s">
        <v>180</v>
      </c>
      <c r="W243" s="2" t="s">
        <v>86</v>
      </c>
      <c r="X243" s="2" t="s">
        <v>117</v>
      </c>
      <c r="Y243" s="3" t="s">
        <v>118</v>
      </c>
      <c r="Z243" s="3">
        <v>35.5</v>
      </c>
      <c r="AA243" s="2" t="s">
        <v>138</v>
      </c>
      <c r="AB243" s="2" t="s">
        <v>1612</v>
      </c>
      <c r="AC243" s="2" t="s">
        <v>1610</v>
      </c>
      <c r="AD243" t="str" cm="1">
        <f t="array" ref="AD24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243" s="2" t="s">
        <v>139</v>
      </c>
      <c r="AF243" s="2" t="s">
        <v>92</v>
      </c>
      <c r="AG243" s="2" t="s">
        <v>575</v>
      </c>
      <c r="AH243" s="2" t="s">
        <v>576</v>
      </c>
      <c r="AK243" s="2" t="s">
        <v>1613</v>
      </c>
      <c r="AN243" s="3">
        <v>1</v>
      </c>
      <c r="AO243" s="3">
        <v>1</v>
      </c>
      <c r="AP243" s="3">
        <v>1</v>
      </c>
      <c r="AQ243" s="3">
        <v>1</v>
      </c>
      <c r="AR243" s="3">
        <v>0</v>
      </c>
      <c r="AS243" s="3">
        <v>0</v>
      </c>
      <c r="AT243" s="3">
        <v>1</v>
      </c>
      <c r="AU243" s="3">
        <v>0</v>
      </c>
      <c r="AV243" s="3">
        <v>0</v>
      </c>
      <c r="AW243" s="3">
        <v>1</v>
      </c>
      <c r="AX243" s="3">
        <v>0</v>
      </c>
      <c r="AY243" s="3">
        <v>0</v>
      </c>
      <c r="AZ243" s="3">
        <v>1</v>
      </c>
      <c r="BA243" s="3">
        <v>0</v>
      </c>
      <c r="BB243" s="3">
        <v>0</v>
      </c>
      <c r="BC243" s="3">
        <v>1</v>
      </c>
      <c r="BD243" s="3">
        <v>0</v>
      </c>
      <c r="BE243" s="3">
        <v>0</v>
      </c>
      <c r="BG243" s="2" t="s">
        <v>139</v>
      </c>
      <c r="BH243" s="3">
        <v>2</v>
      </c>
      <c r="BI243" s="2" t="s">
        <v>122</v>
      </c>
      <c r="BJ243" s="2" t="s">
        <v>96</v>
      </c>
      <c r="BL243" s="2" t="s">
        <v>1614</v>
      </c>
      <c r="BM243" s="2" t="s">
        <v>1615</v>
      </c>
      <c r="BN243" s="2" t="s">
        <v>279</v>
      </c>
      <c r="BO243" s="2" t="s">
        <v>280</v>
      </c>
      <c r="BP243" s="2" t="s">
        <v>101</v>
      </c>
      <c r="BQ243" s="2" t="s">
        <v>1616</v>
      </c>
      <c r="BR243" s="2" t="s">
        <v>1617</v>
      </c>
      <c r="BS243" s="2" t="s">
        <v>450</v>
      </c>
      <c r="BT243" s="2" t="s">
        <v>148</v>
      </c>
      <c r="BU243" s="2" t="s">
        <v>1618</v>
      </c>
      <c r="BV243" s="2" t="s">
        <v>150</v>
      </c>
      <c r="BW243" s="2" t="s">
        <v>151</v>
      </c>
      <c r="BX243" s="2" t="s">
        <v>139</v>
      </c>
      <c r="BY24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43" s="2">
        <f>IF(AND(Cases[[#This Row],[Priority Level]]&gt;=3,Cases[[#This Row],[System Role]]&lt;&gt;"Productive"),1,0)</f>
        <v>0</v>
      </c>
      <c r="CA243" s="2">
        <f>IFERROR(IF(Cases[[#This Row],[Days at Customer]]&gt;MAX(1,Cases[[#This Row],[Days at SAP]]*2),1,0),0)</f>
        <v>1</v>
      </c>
      <c r="CB243" s="2">
        <f>IF(AND(Cases[[#This Row],[Initial Component]]&lt;&gt;"",Cases[[#This Row],[Component]]&lt;&gt;"",Cases[[#This Row],[Initial Component]]&lt;&gt;Cases[[#This Row],[Component]]),1,0)</f>
        <v>0</v>
      </c>
      <c r="CC243" s="2">
        <f>IF(OR(Cases[[#This Row],[Is Reopened]]="X",Cases[[#This Row],[No. of Reopenings]]&gt;0),1,0)</f>
        <v>0</v>
      </c>
      <c r="CD243" s="2">
        <f>IF(Cases[[#This Row],[Confirmation Type]]="Automatic",1,0)</f>
        <v>0</v>
      </c>
      <c r="CE243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44" spans="1:83" x14ac:dyDescent="0.2">
      <c r="A244" s="1" t="s">
        <v>1619</v>
      </c>
      <c r="B244" s="2" t="s">
        <v>1620</v>
      </c>
      <c r="C244" s="2" t="s">
        <v>170</v>
      </c>
      <c r="D244" s="2" t="s">
        <v>238</v>
      </c>
      <c r="E244" s="3">
        <v>12.38</v>
      </c>
      <c r="F244" s="3">
        <v>39.24</v>
      </c>
      <c r="G244" s="2" t="s">
        <v>79</v>
      </c>
      <c r="H244" s="2" t="s">
        <v>732</v>
      </c>
      <c r="I244" s="3" t="s">
        <v>114</v>
      </c>
      <c r="J244" s="3">
        <v>92</v>
      </c>
      <c r="K244" s="2" t="s">
        <v>1621</v>
      </c>
      <c r="L244" s="4">
        <v>46127</v>
      </c>
      <c r="M244" s="4">
        <v>46087</v>
      </c>
      <c r="N244" s="2" t="s">
        <v>180</v>
      </c>
      <c r="O244" s="2" t="s">
        <v>181</v>
      </c>
      <c r="P244" s="2" t="s">
        <v>526</v>
      </c>
      <c r="Q244" s="2" t="s">
        <v>86</v>
      </c>
      <c r="R244" s="2" t="s">
        <v>172</v>
      </c>
      <c r="S244" s="4">
        <v>46035</v>
      </c>
      <c r="T244" s="2" t="s">
        <v>1334</v>
      </c>
      <c r="U244" s="2" t="s">
        <v>181</v>
      </c>
      <c r="V244" s="2" t="s">
        <v>180</v>
      </c>
      <c r="W244" s="2" t="s">
        <v>86</v>
      </c>
      <c r="X244" s="2" t="s">
        <v>117</v>
      </c>
      <c r="Y244" s="3" t="s">
        <v>118</v>
      </c>
      <c r="Z244" s="3">
        <v>51.63</v>
      </c>
      <c r="AA244" s="2" t="s">
        <v>90</v>
      </c>
      <c r="AB244" s="2" t="s">
        <v>172</v>
      </c>
      <c r="AC244" s="2" t="s">
        <v>170</v>
      </c>
      <c r="AD244" t="str" cm="1">
        <f t="array" ref="AD24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244" s="2" t="s">
        <v>91</v>
      </c>
      <c r="AF244" s="2" t="s">
        <v>92</v>
      </c>
      <c r="AG244" s="2" t="s">
        <v>119</v>
      </c>
      <c r="AH244" s="2" t="s">
        <v>120</v>
      </c>
      <c r="AJ244" s="2" t="s">
        <v>122</v>
      </c>
      <c r="AK244" s="2" t="s">
        <v>1622</v>
      </c>
      <c r="AN244" s="3">
        <v>1</v>
      </c>
      <c r="AO244" s="3">
        <v>1</v>
      </c>
      <c r="AP244" s="3">
        <v>1</v>
      </c>
      <c r="AQ244" s="3">
        <v>1</v>
      </c>
      <c r="AR244" s="3">
        <v>1</v>
      </c>
      <c r="AS244" s="3">
        <v>0</v>
      </c>
      <c r="AT244" s="3">
        <v>0</v>
      </c>
      <c r="AU244" s="3">
        <v>0</v>
      </c>
      <c r="AV244" s="3">
        <v>1</v>
      </c>
      <c r="AW244" s="3">
        <v>0</v>
      </c>
      <c r="AX244" s="3">
        <v>1</v>
      </c>
      <c r="AY244" s="3">
        <v>0</v>
      </c>
      <c r="AZ244" s="3">
        <v>0</v>
      </c>
      <c r="BA244" s="3">
        <v>0</v>
      </c>
      <c r="BB244" s="3">
        <v>0</v>
      </c>
      <c r="BC244" s="3">
        <v>1</v>
      </c>
      <c r="BD244" s="3">
        <v>1</v>
      </c>
      <c r="BE244" s="3">
        <v>0</v>
      </c>
      <c r="BG244" s="2" t="s">
        <v>91</v>
      </c>
      <c r="BH244" s="3">
        <v>3</v>
      </c>
      <c r="BJ244" s="2" t="s">
        <v>96</v>
      </c>
      <c r="BL244" s="2" t="s">
        <v>123</v>
      </c>
      <c r="BM244" s="2" t="s">
        <v>123</v>
      </c>
      <c r="BN244" s="2" t="s">
        <v>124</v>
      </c>
      <c r="BO244" s="2" t="s">
        <v>125</v>
      </c>
      <c r="BP244" s="2" t="s">
        <v>242</v>
      </c>
      <c r="BQ244" s="2" t="s">
        <v>124</v>
      </c>
      <c r="BR244" s="2" t="s">
        <v>126</v>
      </c>
      <c r="BS244" s="2" t="s">
        <v>127</v>
      </c>
      <c r="BT244" s="2" t="s">
        <v>174</v>
      </c>
      <c r="BU244" s="2" t="s">
        <v>175</v>
      </c>
      <c r="BV244" s="2" t="s">
        <v>150</v>
      </c>
      <c r="BW244" s="2" t="s">
        <v>151</v>
      </c>
      <c r="BX244" s="2" t="s">
        <v>91</v>
      </c>
      <c r="BY24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44" s="2">
        <f>IF(AND(Cases[[#This Row],[Priority Level]]&gt;=3,Cases[[#This Row],[System Role]]&lt;&gt;"Productive"),1,0)</f>
        <v>0</v>
      </c>
      <c r="CA244" s="2">
        <f>IFERROR(IF(Cases[[#This Row],[Days at Customer]]&gt;MAX(1,Cases[[#This Row],[Days at SAP]]*2),1,0),0)</f>
        <v>1</v>
      </c>
      <c r="CB244" s="2">
        <f>IF(AND(Cases[[#This Row],[Initial Component]]&lt;&gt;"",Cases[[#This Row],[Component]]&lt;&gt;"",Cases[[#This Row],[Initial Component]]&lt;&gt;Cases[[#This Row],[Component]]),1,0)</f>
        <v>0</v>
      </c>
      <c r="CC244" s="2">
        <f>IF(OR(Cases[[#This Row],[Is Reopened]]="X",Cases[[#This Row],[No. of Reopenings]]&gt;0),1,0)</f>
        <v>1</v>
      </c>
      <c r="CD244" s="2">
        <f>IF(Cases[[#This Row],[Confirmation Type]]="Automatic",1,0)</f>
        <v>1</v>
      </c>
      <c r="CE244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45" spans="1:83" x14ac:dyDescent="0.2">
      <c r="A245" s="1" t="s">
        <v>1623</v>
      </c>
      <c r="B245" s="2" t="s">
        <v>1624</v>
      </c>
      <c r="C245" s="2" t="s">
        <v>1625</v>
      </c>
      <c r="D245" s="2" t="s">
        <v>78</v>
      </c>
      <c r="E245" s="3">
        <v>12.09</v>
      </c>
      <c r="F245" s="3">
        <v>9.98</v>
      </c>
      <c r="G245" s="2" t="s">
        <v>190</v>
      </c>
      <c r="H245" s="2" t="s">
        <v>191</v>
      </c>
      <c r="I245" s="3" t="s">
        <v>114</v>
      </c>
      <c r="J245" s="3">
        <v>92</v>
      </c>
      <c r="K245" s="2" t="s">
        <v>1626</v>
      </c>
      <c r="L245" s="4">
        <v>46061</v>
      </c>
      <c r="M245" s="4">
        <v>46057</v>
      </c>
      <c r="N245" s="2" t="s">
        <v>677</v>
      </c>
      <c r="O245" s="2" t="s">
        <v>181</v>
      </c>
      <c r="P245" s="2" t="s">
        <v>1165</v>
      </c>
      <c r="Q245" s="2" t="s">
        <v>86</v>
      </c>
      <c r="R245" s="2" t="s">
        <v>1627</v>
      </c>
      <c r="S245" s="4">
        <v>46035</v>
      </c>
      <c r="T245" s="2" t="s">
        <v>1334</v>
      </c>
      <c r="U245" s="2" t="s">
        <v>181</v>
      </c>
      <c r="V245" s="2" t="s">
        <v>180</v>
      </c>
      <c r="W245" s="2" t="s">
        <v>86</v>
      </c>
      <c r="X245" s="2" t="s">
        <v>117</v>
      </c>
      <c r="Y245" s="3" t="s">
        <v>118</v>
      </c>
      <c r="Z245" s="3">
        <v>22.07</v>
      </c>
      <c r="AA245" s="2" t="s">
        <v>90</v>
      </c>
      <c r="AB245" s="2" t="s">
        <v>1627</v>
      </c>
      <c r="AC245" s="2" t="s">
        <v>1625</v>
      </c>
      <c r="AD245" t="str" cm="1">
        <f t="array" ref="AD24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245" s="2" t="s">
        <v>139</v>
      </c>
      <c r="AF245" s="2" t="s">
        <v>92</v>
      </c>
      <c r="AG245" s="2" t="s">
        <v>119</v>
      </c>
      <c r="AH245" s="2" t="s">
        <v>120</v>
      </c>
      <c r="AK245" s="2" t="s">
        <v>1628</v>
      </c>
      <c r="AN245" s="3">
        <v>1</v>
      </c>
      <c r="AO245" s="3">
        <v>1</v>
      </c>
      <c r="AP245" s="3">
        <v>1</v>
      </c>
      <c r="AQ245" s="3">
        <v>1</v>
      </c>
      <c r="AR245" s="3">
        <v>0</v>
      </c>
      <c r="AS245" s="3">
        <v>0</v>
      </c>
      <c r="AT245" s="3">
        <v>1</v>
      </c>
      <c r="AU245" s="3">
        <v>0</v>
      </c>
      <c r="AV245" s="3">
        <v>0</v>
      </c>
      <c r="AW245" s="3">
        <v>1</v>
      </c>
      <c r="AX245" s="3">
        <v>0</v>
      </c>
      <c r="AY245" s="3">
        <v>0</v>
      </c>
      <c r="AZ245" s="3">
        <v>1</v>
      </c>
      <c r="BA245" s="3">
        <v>1</v>
      </c>
      <c r="BB245" s="3">
        <v>0</v>
      </c>
      <c r="BC245" s="3">
        <v>0</v>
      </c>
      <c r="BD245" s="3">
        <v>0</v>
      </c>
      <c r="BE245" s="3">
        <v>0</v>
      </c>
      <c r="BG245" s="2" t="s">
        <v>139</v>
      </c>
      <c r="BH245" s="3">
        <v>2</v>
      </c>
      <c r="BJ245" s="2" t="s">
        <v>96</v>
      </c>
      <c r="BL245" s="2" t="s">
        <v>123</v>
      </c>
      <c r="BM245" s="2" t="s">
        <v>123</v>
      </c>
      <c r="BN245" s="2" t="s">
        <v>124</v>
      </c>
      <c r="BO245" s="2" t="s">
        <v>125</v>
      </c>
      <c r="BP245" s="2" t="s">
        <v>101</v>
      </c>
      <c r="BQ245" s="2" t="s">
        <v>124</v>
      </c>
      <c r="BR245" s="2" t="s">
        <v>126</v>
      </c>
      <c r="BS245" s="2" t="s">
        <v>127</v>
      </c>
      <c r="BT245" s="2" t="s">
        <v>872</v>
      </c>
      <c r="BU245" s="2" t="s">
        <v>873</v>
      </c>
      <c r="BV245" s="2" t="s">
        <v>166</v>
      </c>
      <c r="BW245" s="2" t="s">
        <v>167</v>
      </c>
      <c r="BX245" s="2" t="s">
        <v>139</v>
      </c>
      <c r="BY24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45" s="2">
        <f>IF(AND(Cases[[#This Row],[Priority Level]]&gt;=3,Cases[[#This Row],[System Role]]&lt;&gt;"Productive"),1,0)</f>
        <v>0</v>
      </c>
      <c r="CA245" s="2">
        <f>IFERROR(IF(Cases[[#This Row],[Days at Customer]]&gt;MAX(1,Cases[[#This Row],[Days at SAP]]*2),1,0),0)</f>
        <v>0</v>
      </c>
      <c r="CB245" s="2">
        <f>IF(AND(Cases[[#This Row],[Initial Component]]&lt;&gt;"",Cases[[#This Row],[Component]]&lt;&gt;"",Cases[[#This Row],[Initial Component]]&lt;&gt;Cases[[#This Row],[Component]]),1,0)</f>
        <v>0</v>
      </c>
      <c r="CC245" s="2">
        <f>IF(OR(Cases[[#This Row],[Is Reopened]]="X",Cases[[#This Row],[No. of Reopenings]]&gt;0),1,0)</f>
        <v>0</v>
      </c>
      <c r="CD245" s="2">
        <f>IF(Cases[[#This Row],[Confirmation Type]]="Automatic",1,0)</f>
        <v>0</v>
      </c>
      <c r="CE245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246" spans="1:83" x14ac:dyDescent="0.2">
      <c r="A246" s="1" t="s">
        <v>1629</v>
      </c>
      <c r="B246" s="2" t="s">
        <v>1630</v>
      </c>
      <c r="C246" s="2" t="s">
        <v>925</v>
      </c>
      <c r="D246" s="2" t="s">
        <v>238</v>
      </c>
      <c r="E246" s="3">
        <v>5.3</v>
      </c>
      <c r="F246" s="3">
        <v>25.09</v>
      </c>
      <c r="G246" s="2" t="s">
        <v>79</v>
      </c>
      <c r="H246" s="2" t="s">
        <v>178</v>
      </c>
      <c r="I246" s="3" t="s">
        <v>114</v>
      </c>
      <c r="J246" s="3">
        <v>92</v>
      </c>
      <c r="K246" s="2" t="s">
        <v>1631</v>
      </c>
      <c r="L246" s="4">
        <v>46068</v>
      </c>
      <c r="M246" s="4">
        <v>46066</v>
      </c>
      <c r="N246" s="2" t="s">
        <v>677</v>
      </c>
      <c r="O246" s="2" t="s">
        <v>181</v>
      </c>
      <c r="P246" s="2" t="s">
        <v>1079</v>
      </c>
      <c r="Q246" s="2" t="s">
        <v>86</v>
      </c>
      <c r="R246" s="2" t="s">
        <v>927</v>
      </c>
      <c r="S246" s="4">
        <v>46035</v>
      </c>
      <c r="T246" s="2" t="s">
        <v>1334</v>
      </c>
      <c r="U246" s="2" t="s">
        <v>181</v>
      </c>
      <c r="V246" s="2" t="s">
        <v>180</v>
      </c>
      <c r="W246" s="2" t="s">
        <v>86</v>
      </c>
      <c r="X246" s="2" t="s">
        <v>117</v>
      </c>
      <c r="Y246" s="3" t="s">
        <v>118</v>
      </c>
      <c r="Z246" s="3">
        <v>30.39</v>
      </c>
      <c r="AA246" s="2" t="s">
        <v>138</v>
      </c>
      <c r="AB246" s="2" t="s">
        <v>927</v>
      </c>
      <c r="AC246" s="2" t="s">
        <v>925</v>
      </c>
      <c r="AD246" t="str" cm="1">
        <f t="array" ref="AD24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EAM</v>
      </c>
      <c r="AE246" s="2" t="s">
        <v>139</v>
      </c>
      <c r="AF246" s="2" t="s">
        <v>92</v>
      </c>
      <c r="AG246" s="2" t="s">
        <v>274</v>
      </c>
      <c r="AH246" s="2" t="s">
        <v>275</v>
      </c>
      <c r="AK246" s="2" t="s">
        <v>1632</v>
      </c>
      <c r="AN246" s="3">
        <v>1</v>
      </c>
      <c r="AO246" s="3">
        <v>1</v>
      </c>
      <c r="AP246" s="3">
        <v>1</v>
      </c>
      <c r="AQ246" s="3">
        <v>1</v>
      </c>
      <c r="AR246" s="3">
        <v>1</v>
      </c>
      <c r="AS246" s="3">
        <v>0</v>
      </c>
      <c r="AT246" s="3">
        <v>0</v>
      </c>
      <c r="AU246" s="3">
        <v>0</v>
      </c>
      <c r="AV246" s="3">
        <v>1</v>
      </c>
      <c r="AW246" s="3">
        <v>0</v>
      </c>
      <c r="AX246" s="3">
        <v>1</v>
      </c>
      <c r="AY246" s="3">
        <v>0</v>
      </c>
      <c r="AZ246" s="3">
        <v>0</v>
      </c>
      <c r="BA246" s="3">
        <v>0</v>
      </c>
      <c r="BB246" s="3">
        <v>0</v>
      </c>
      <c r="BC246" s="3">
        <v>1</v>
      </c>
      <c r="BD246" s="3">
        <v>0</v>
      </c>
      <c r="BE246" s="3">
        <v>0</v>
      </c>
      <c r="BG246" s="2" t="s">
        <v>91</v>
      </c>
      <c r="BH246" s="3">
        <v>3</v>
      </c>
      <c r="BJ246" s="2" t="s">
        <v>96</v>
      </c>
      <c r="BL246" s="2" t="s">
        <v>931</v>
      </c>
      <c r="BM246" s="2" t="s">
        <v>932</v>
      </c>
      <c r="BN246" s="2" t="s">
        <v>279</v>
      </c>
      <c r="BO246" s="2" t="s">
        <v>280</v>
      </c>
      <c r="BP246" s="2" t="s">
        <v>242</v>
      </c>
      <c r="BQ246" s="2" t="s">
        <v>448</v>
      </c>
      <c r="BR246" s="2" t="s">
        <v>449</v>
      </c>
      <c r="BS246" s="2" t="s">
        <v>450</v>
      </c>
      <c r="BT246" s="2" t="s">
        <v>148</v>
      </c>
      <c r="BU246" s="2" t="s">
        <v>933</v>
      </c>
      <c r="BV246" s="2" t="s">
        <v>150</v>
      </c>
      <c r="BW246" s="2" t="s">
        <v>151</v>
      </c>
      <c r="BX246" s="2" t="s">
        <v>91</v>
      </c>
      <c r="BY24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46" s="2">
        <f>IF(AND(Cases[[#This Row],[Priority Level]]&gt;=3,Cases[[#This Row],[System Role]]&lt;&gt;"Productive"),1,0)</f>
        <v>0</v>
      </c>
      <c r="CA246" s="2">
        <f>IFERROR(IF(Cases[[#This Row],[Days at Customer]]&gt;MAX(1,Cases[[#This Row],[Days at SAP]]*2),1,0),0)</f>
        <v>1</v>
      </c>
      <c r="CB246" s="2">
        <f>IF(AND(Cases[[#This Row],[Initial Component]]&lt;&gt;"",Cases[[#This Row],[Component]]&lt;&gt;"",Cases[[#This Row],[Initial Component]]&lt;&gt;Cases[[#This Row],[Component]]),1,0)</f>
        <v>0</v>
      </c>
      <c r="CC246" s="2">
        <f>IF(OR(Cases[[#This Row],[Is Reopened]]="X",Cases[[#This Row],[No. of Reopenings]]&gt;0),1,0)</f>
        <v>0</v>
      </c>
      <c r="CD246" s="2">
        <f>IF(Cases[[#This Row],[Confirmation Type]]="Automatic",1,0)</f>
        <v>1</v>
      </c>
      <c r="CE24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47" spans="1:83" x14ac:dyDescent="0.2">
      <c r="A247" s="1" t="s">
        <v>1633</v>
      </c>
      <c r="B247" s="2" t="s">
        <v>1634</v>
      </c>
      <c r="C247" s="2" t="s">
        <v>1635</v>
      </c>
      <c r="D247" s="2" t="s">
        <v>238</v>
      </c>
      <c r="E247" s="3">
        <v>1.51</v>
      </c>
      <c r="F247" s="3">
        <v>29.72</v>
      </c>
      <c r="G247" s="2" t="s">
        <v>79</v>
      </c>
      <c r="H247" s="2" t="s">
        <v>732</v>
      </c>
      <c r="I247" s="3" t="s">
        <v>114</v>
      </c>
      <c r="J247" s="3">
        <v>93</v>
      </c>
      <c r="K247" s="2" t="s">
        <v>1636</v>
      </c>
      <c r="L247" s="4">
        <v>46068</v>
      </c>
      <c r="M247" s="4">
        <v>46066</v>
      </c>
      <c r="N247" s="2" t="s">
        <v>677</v>
      </c>
      <c r="O247" s="2" t="s">
        <v>181</v>
      </c>
      <c r="P247" s="2" t="s">
        <v>1079</v>
      </c>
      <c r="Q247" s="2" t="s">
        <v>86</v>
      </c>
      <c r="R247" s="2" t="s">
        <v>1637</v>
      </c>
      <c r="S247" s="4">
        <v>46034</v>
      </c>
      <c r="T247" s="2" t="s">
        <v>1334</v>
      </c>
      <c r="U247" s="2" t="s">
        <v>181</v>
      </c>
      <c r="V247" s="2" t="s">
        <v>180</v>
      </c>
      <c r="W247" s="2" t="s">
        <v>86</v>
      </c>
      <c r="X247" s="2" t="s">
        <v>117</v>
      </c>
      <c r="Y247" s="3" t="s">
        <v>118</v>
      </c>
      <c r="Z247" s="3">
        <v>31.23</v>
      </c>
      <c r="AA247" s="2" t="s">
        <v>90</v>
      </c>
      <c r="AB247" s="2" t="s">
        <v>1637</v>
      </c>
      <c r="AC247" s="2" t="s">
        <v>1635</v>
      </c>
      <c r="AD247" t="str" cm="1">
        <f t="array" ref="AD24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247" s="2" t="s">
        <v>91</v>
      </c>
      <c r="AF247" s="2" t="s">
        <v>1638</v>
      </c>
      <c r="AG247" s="2" t="s">
        <v>119</v>
      </c>
      <c r="AH247" s="2" t="s">
        <v>120</v>
      </c>
      <c r="AK247" s="2" t="s">
        <v>1639</v>
      </c>
      <c r="AN247" s="3">
        <v>1</v>
      </c>
      <c r="AO247" s="3">
        <v>1</v>
      </c>
      <c r="AP247" s="3">
        <v>1</v>
      </c>
      <c r="AQ247" s="3">
        <v>1</v>
      </c>
      <c r="AR247" s="3">
        <v>1</v>
      </c>
      <c r="AS247" s="3">
        <v>0</v>
      </c>
      <c r="AT247" s="3">
        <v>0</v>
      </c>
      <c r="AU247" s="3">
        <v>0</v>
      </c>
      <c r="AV247" s="3">
        <v>1</v>
      </c>
      <c r="AW247" s="3">
        <v>0</v>
      </c>
      <c r="AX247" s="3">
        <v>1</v>
      </c>
      <c r="AY247" s="3">
        <v>0</v>
      </c>
      <c r="AZ247" s="3">
        <v>0</v>
      </c>
      <c r="BA247" s="3">
        <v>0</v>
      </c>
      <c r="BB247" s="3">
        <v>0</v>
      </c>
      <c r="BC247" s="3">
        <v>1</v>
      </c>
      <c r="BD247" s="3">
        <v>0</v>
      </c>
      <c r="BE247" s="3">
        <v>0</v>
      </c>
      <c r="BG247" s="2" t="s">
        <v>91</v>
      </c>
      <c r="BH247" s="3">
        <v>3</v>
      </c>
      <c r="BJ247" s="2" t="s">
        <v>96</v>
      </c>
      <c r="BL247" s="2" t="s">
        <v>123</v>
      </c>
      <c r="BM247" s="2" t="s">
        <v>123</v>
      </c>
      <c r="BN247" s="2" t="s">
        <v>124</v>
      </c>
      <c r="BO247" s="2" t="s">
        <v>125</v>
      </c>
      <c r="BP247" s="2" t="s">
        <v>242</v>
      </c>
      <c r="BQ247" s="2" t="s">
        <v>124</v>
      </c>
      <c r="BR247" s="2" t="s">
        <v>126</v>
      </c>
      <c r="BS247" s="2" t="s">
        <v>127</v>
      </c>
      <c r="BT247" s="2" t="s">
        <v>207</v>
      </c>
      <c r="BU247" s="2" t="s">
        <v>208</v>
      </c>
      <c r="BV247" s="2" t="s">
        <v>150</v>
      </c>
      <c r="BW247" s="2" t="s">
        <v>151</v>
      </c>
      <c r="BX247" s="2" t="s">
        <v>91</v>
      </c>
      <c r="BY24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47" s="2">
        <f>IF(AND(Cases[[#This Row],[Priority Level]]&gt;=3,Cases[[#This Row],[System Role]]&lt;&gt;"Productive"),1,0)</f>
        <v>0</v>
      </c>
      <c r="CA247" s="2">
        <f>IFERROR(IF(Cases[[#This Row],[Days at Customer]]&gt;MAX(1,Cases[[#This Row],[Days at SAP]]*2),1,0),0)</f>
        <v>1</v>
      </c>
      <c r="CB247" s="2">
        <f>IF(AND(Cases[[#This Row],[Initial Component]]&lt;&gt;"",Cases[[#This Row],[Component]]&lt;&gt;"",Cases[[#This Row],[Initial Component]]&lt;&gt;Cases[[#This Row],[Component]]),1,0)</f>
        <v>0</v>
      </c>
      <c r="CC247" s="2">
        <f>IF(OR(Cases[[#This Row],[Is Reopened]]="X",Cases[[#This Row],[No. of Reopenings]]&gt;0),1,0)</f>
        <v>0</v>
      </c>
      <c r="CD247" s="2">
        <f>IF(Cases[[#This Row],[Confirmation Type]]="Automatic",1,0)</f>
        <v>1</v>
      </c>
      <c r="CE247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48" spans="1:83" x14ac:dyDescent="0.2">
      <c r="A248" s="1" t="s">
        <v>1640</v>
      </c>
      <c r="B248" s="2" t="s">
        <v>586</v>
      </c>
      <c r="C248" s="2" t="s">
        <v>587</v>
      </c>
      <c r="D248" s="2" t="s">
        <v>78</v>
      </c>
      <c r="E248" s="3">
        <v>10.63</v>
      </c>
      <c r="F248" s="3">
        <v>13.52</v>
      </c>
      <c r="G248" s="2" t="s">
        <v>588</v>
      </c>
      <c r="H248" s="2" t="s">
        <v>113</v>
      </c>
      <c r="I248" s="3" t="s">
        <v>114</v>
      </c>
      <c r="J248" s="3">
        <v>93</v>
      </c>
      <c r="K248" s="2" t="s">
        <v>1641</v>
      </c>
      <c r="L248" s="4">
        <v>46089</v>
      </c>
      <c r="M248" s="4">
        <v>46058</v>
      </c>
      <c r="N248" s="2" t="s">
        <v>677</v>
      </c>
      <c r="O248" s="2" t="s">
        <v>181</v>
      </c>
      <c r="P248" s="2" t="s">
        <v>1165</v>
      </c>
      <c r="Q248" s="2" t="s">
        <v>86</v>
      </c>
      <c r="R248" s="2" t="s">
        <v>590</v>
      </c>
      <c r="S248" s="4">
        <v>46034</v>
      </c>
      <c r="T248" s="2" t="s">
        <v>1334</v>
      </c>
      <c r="U248" s="2" t="s">
        <v>181</v>
      </c>
      <c r="V248" s="2" t="s">
        <v>180</v>
      </c>
      <c r="W248" s="2" t="s">
        <v>86</v>
      </c>
      <c r="X248" s="2" t="s">
        <v>117</v>
      </c>
      <c r="Y248" s="3" t="s">
        <v>118</v>
      </c>
      <c r="Z248" s="3">
        <v>24.15</v>
      </c>
      <c r="AA248" s="2" t="s">
        <v>90</v>
      </c>
      <c r="AB248" s="2" t="s">
        <v>860</v>
      </c>
      <c r="AC248" s="2" t="s">
        <v>858</v>
      </c>
      <c r="AD248" t="str" cm="1">
        <f t="array" ref="AD24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248" s="2" t="s">
        <v>139</v>
      </c>
      <c r="AF248" s="2" t="s">
        <v>92</v>
      </c>
      <c r="AG248" s="2" t="s">
        <v>119</v>
      </c>
      <c r="AH248" s="2" t="s">
        <v>120</v>
      </c>
      <c r="AK248" s="2" t="s">
        <v>1642</v>
      </c>
      <c r="AN248" s="3">
        <v>1</v>
      </c>
      <c r="AO248" s="3">
        <v>1</v>
      </c>
      <c r="AP248" s="3">
        <v>1</v>
      </c>
      <c r="AQ248" s="3">
        <v>1</v>
      </c>
      <c r="AR248" s="3">
        <v>1</v>
      </c>
      <c r="AS248" s="3">
        <v>0</v>
      </c>
      <c r="AT248" s="3">
        <v>0</v>
      </c>
      <c r="AU248" s="3">
        <v>0</v>
      </c>
      <c r="AV248" s="3">
        <v>0</v>
      </c>
      <c r="AW248" s="3">
        <v>1</v>
      </c>
      <c r="AX248" s="3">
        <v>1</v>
      </c>
      <c r="AY248" s="3">
        <v>0</v>
      </c>
      <c r="AZ248" s="3">
        <v>0</v>
      </c>
      <c r="BA248" s="3">
        <v>0</v>
      </c>
      <c r="BB248" s="3">
        <v>0</v>
      </c>
      <c r="BC248" s="3">
        <v>1</v>
      </c>
      <c r="BD248" s="3">
        <v>0</v>
      </c>
      <c r="BE248" s="3">
        <v>0</v>
      </c>
      <c r="BG248" s="2" t="s">
        <v>91</v>
      </c>
      <c r="BH248" s="3">
        <v>3</v>
      </c>
      <c r="BJ248" s="2" t="s">
        <v>96</v>
      </c>
      <c r="BL248" s="2" t="s">
        <v>123</v>
      </c>
      <c r="BM248" s="2" t="s">
        <v>123</v>
      </c>
      <c r="BN248" s="2" t="s">
        <v>124</v>
      </c>
      <c r="BO248" s="2" t="s">
        <v>125</v>
      </c>
      <c r="BP248" s="2" t="s">
        <v>101</v>
      </c>
      <c r="BQ248" s="2" t="s">
        <v>124</v>
      </c>
      <c r="BR248" s="2" t="s">
        <v>126</v>
      </c>
      <c r="BS248" s="2" t="s">
        <v>127</v>
      </c>
      <c r="BT248" s="2" t="s">
        <v>207</v>
      </c>
      <c r="BU248" s="2" t="s">
        <v>208</v>
      </c>
      <c r="BV248" s="2" t="s">
        <v>150</v>
      </c>
      <c r="BW248" s="2" t="s">
        <v>151</v>
      </c>
      <c r="BX248" s="2" t="s">
        <v>91</v>
      </c>
      <c r="BY24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48" s="2">
        <f>IF(AND(Cases[[#This Row],[Priority Level]]&gt;=3,Cases[[#This Row],[System Role]]&lt;&gt;"Productive"),1,0)</f>
        <v>0</v>
      </c>
      <c r="CA248" s="2">
        <f>IFERROR(IF(Cases[[#This Row],[Days at Customer]]&gt;MAX(1,Cases[[#This Row],[Days at SAP]]*2),1,0),0)</f>
        <v>0</v>
      </c>
      <c r="CB248" s="2">
        <f>IF(AND(Cases[[#This Row],[Initial Component]]&lt;&gt;"",Cases[[#This Row],[Component]]&lt;&gt;"",Cases[[#This Row],[Initial Component]]&lt;&gt;Cases[[#This Row],[Component]]),1,0)</f>
        <v>1</v>
      </c>
      <c r="CC248" s="2">
        <f>IF(OR(Cases[[#This Row],[Is Reopened]]="X",Cases[[#This Row],[No. of Reopenings]]&gt;0),1,0)</f>
        <v>0</v>
      </c>
      <c r="CD248" s="2">
        <f>IF(Cases[[#This Row],[Confirmation Type]]="Automatic",1,0)</f>
        <v>0</v>
      </c>
      <c r="CE24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49" spans="1:83" x14ac:dyDescent="0.2">
      <c r="A249" s="1" t="s">
        <v>1643</v>
      </c>
      <c r="B249" s="2" t="s">
        <v>1644</v>
      </c>
      <c r="C249" s="2" t="s">
        <v>1645</v>
      </c>
      <c r="D249" s="2" t="s">
        <v>238</v>
      </c>
      <c r="E249" s="3">
        <v>4.7300000000000004</v>
      </c>
      <c r="F249" s="3">
        <v>58.74</v>
      </c>
      <c r="G249" s="2" t="s">
        <v>190</v>
      </c>
      <c r="H249" s="2" t="s">
        <v>191</v>
      </c>
      <c r="I249" s="3" t="s">
        <v>114</v>
      </c>
      <c r="J249" s="3">
        <v>93</v>
      </c>
      <c r="K249" s="2" t="s">
        <v>1646</v>
      </c>
      <c r="L249" s="4">
        <v>46103</v>
      </c>
      <c r="M249" s="4">
        <v>46098</v>
      </c>
      <c r="N249" s="2" t="s">
        <v>180</v>
      </c>
      <c r="O249" s="2" t="s">
        <v>181</v>
      </c>
      <c r="P249" s="2" t="s">
        <v>260</v>
      </c>
      <c r="Q249" s="2" t="s">
        <v>86</v>
      </c>
      <c r="R249" s="2" t="s">
        <v>1647</v>
      </c>
      <c r="S249" s="4">
        <v>46034</v>
      </c>
      <c r="T249" s="2" t="s">
        <v>1334</v>
      </c>
      <c r="U249" s="2" t="s">
        <v>181</v>
      </c>
      <c r="V249" s="2" t="s">
        <v>180</v>
      </c>
      <c r="W249" s="2" t="s">
        <v>86</v>
      </c>
      <c r="X249" s="2" t="s">
        <v>117</v>
      </c>
      <c r="Y249" s="3" t="s">
        <v>118</v>
      </c>
      <c r="Z249" s="3">
        <v>63.48</v>
      </c>
      <c r="AA249" s="2" t="s">
        <v>90</v>
      </c>
      <c r="AB249" s="2" t="s">
        <v>1647</v>
      </c>
      <c r="AC249" s="2" t="s">
        <v>1645</v>
      </c>
      <c r="AD249" t="str" cm="1">
        <f t="array" ref="AD24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249" s="2" t="s">
        <v>91</v>
      </c>
      <c r="AF249" s="2" t="s">
        <v>92</v>
      </c>
      <c r="AG249" s="2" t="s">
        <v>119</v>
      </c>
      <c r="AH249" s="2" t="s">
        <v>120</v>
      </c>
      <c r="AK249" s="2" t="s">
        <v>1648</v>
      </c>
      <c r="AN249" s="3">
        <v>1</v>
      </c>
      <c r="AO249" s="3">
        <v>1</v>
      </c>
      <c r="AP249" s="3">
        <v>1</v>
      </c>
      <c r="AQ249" s="3">
        <v>1</v>
      </c>
      <c r="AR249" s="3">
        <v>1</v>
      </c>
      <c r="AS249" s="3">
        <v>0</v>
      </c>
      <c r="AT249" s="3">
        <v>0</v>
      </c>
      <c r="AU249" s="3">
        <v>0</v>
      </c>
      <c r="AV249" s="3">
        <v>1</v>
      </c>
      <c r="AW249" s="3">
        <v>0</v>
      </c>
      <c r="AX249" s="3">
        <v>1</v>
      </c>
      <c r="AY249" s="3">
        <v>0</v>
      </c>
      <c r="AZ249" s="3">
        <v>0</v>
      </c>
      <c r="BA249" s="3">
        <v>1</v>
      </c>
      <c r="BB249" s="3">
        <v>0</v>
      </c>
      <c r="BC249" s="3">
        <v>0</v>
      </c>
      <c r="BD249" s="3">
        <v>0</v>
      </c>
      <c r="BE249" s="3">
        <v>0</v>
      </c>
      <c r="BG249" s="2" t="s">
        <v>91</v>
      </c>
      <c r="BH249" s="3">
        <v>3</v>
      </c>
      <c r="BJ249" s="2" t="s">
        <v>96</v>
      </c>
      <c r="BL249" s="2" t="s">
        <v>123</v>
      </c>
      <c r="BM249" s="2" t="s">
        <v>123</v>
      </c>
      <c r="BN249" s="2" t="s">
        <v>124</v>
      </c>
      <c r="BO249" s="2" t="s">
        <v>125</v>
      </c>
      <c r="BP249" s="2" t="s">
        <v>242</v>
      </c>
      <c r="BQ249" s="2" t="s">
        <v>124</v>
      </c>
      <c r="BR249" s="2" t="s">
        <v>126</v>
      </c>
      <c r="BS249" s="2" t="s">
        <v>127</v>
      </c>
      <c r="BT249" s="2" t="s">
        <v>1395</v>
      </c>
      <c r="BU249" s="2" t="s">
        <v>1396</v>
      </c>
      <c r="BV249" s="2" t="s">
        <v>107</v>
      </c>
      <c r="BW249" s="2" t="s">
        <v>108</v>
      </c>
      <c r="BX249" s="2" t="s">
        <v>91</v>
      </c>
      <c r="BY24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49" s="2">
        <f>IF(AND(Cases[[#This Row],[Priority Level]]&gt;=3,Cases[[#This Row],[System Role]]&lt;&gt;"Productive"),1,0)</f>
        <v>1</v>
      </c>
      <c r="CA249" s="2">
        <f>IFERROR(IF(Cases[[#This Row],[Days at Customer]]&gt;MAX(1,Cases[[#This Row],[Days at SAP]]*2),1,0),0)</f>
        <v>1</v>
      </c>
      <c r="CB249" s="2">
        <f>IF(AND(Cases[[#This Row],[Initial Component]]&lt;&gt;"",Cases[[#This Row],[Component]]&lt;&gt;"",Cases[[#This Row],[Initial Component]]&lt;&gt;Cases[[#This Row],[Component]]),1,0)</f>
        <v>0</v>
      </c>
      <c r="CC249" s="2">
        <f>IF(OR(Cases[[#This Row],[Is Reopened]]="X",Cases[[#This Row],[No. of Reopenings]]&gt;0),1,0)</f>
        <v>0</v>
      </c>
      <c r="CD249" s="2">
        <f>IF(Cases[[#This Row],[Confirmation Type]]="Automatic",1,0)</f>
        <v>1</v>
      </c>
      <c r="CE249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50" spans="1:83" x14ac:dyDescent="0.2">
      <c r="A250" s="1" t="s">
        <v>1649</v>
      </c>
      <c r="B250" s="2" t="s">
        <v>1650</v>
      </c>
      <c r="C250" s="2" t="s">
        <v>655</v>
      </c>
      <c r="D250" s="2" t="s">
        <v>238</v>
      </c>
      <c r="E250" s="3">
        <v>0.12</v>
      </c>
      <c r="F250" s="3">
        <v>21.35</v>
      </c>
      <c r="G250" s="2" t="s">
        <v>79</v>
      </c>
      <c r="H250" s="2" t="s">
        <v>80</v>
      </c>
      <c r="I250" s="3" t="s">
        <v>114</v>
      </c>
      <c r="J250" s="3">
        <v>96</v>
      </c>
      <c r="K250" s="2" t="s">
        <v>1651</v>
      </c>
      <c r="L250" s="4">
        <v>46054</v>
      </c>
      <c r="M250" s="4">
        <v>46052</v>
      </c>
      <c r="N250" s="2" t="s">
        <v>1334</v>
      </c>
      <c r="O250" s="2" t="s">
        <v>181</v>
      </c>
      <c r="P250" s="2" t="s">
        <v>1335</v>
      </c>
      <c r="Q250" s="2" t="s">
        <v>86</v>
      </c>
      <c r="R250" s="2" t="s">
        <v>657</v>
      </c>
      <c r="S250" s="4">
        <v>46031</v>
      </c>
      <c r="T250" s="2" t="s">
        <v>1334</v>
      </c>
      <c r="U250" s="2" t="s">
        <v>181</v>
      </c>
      <c r="V250" s="2" t="s">
        <v>677</v>
      </c>
      <c r="W250" s="2" t="s">
        <v>86</v>
      </c>
      <c r="X250" s="2" t="s">
        <v>117</v>
      </c>
      <c r="Y250" s="3" t="s">
        <v>118</v>
      </c>
      <c r="Z250" s="3">
        <v>21.46</v>
      </c>
      <c r="AA250" s="2" t="s">
        <v>90</v>
      </c>
      <c r="AB250" s="2" t="s">
        <v>997</v>
      </c>
      <c r="AC250" s="2" t="s">
        <v>994</v>
      </c>
      <c r="AD250" t="str" cm="1">
        <f t="array" ref="AD25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250" s="2" t="s">
        <v>139</v>
      </c>
      <c r="AF250" s="2" t="s">
        <v>998</v>
      </c>
      <c r="AG250" s="2" t="s">
        <v>119</v>
      </c>
      <c r="AH250" s="2" t="s">
        <v>120</v>
      </c>
      <c r="AK250" s="2" t="s">
        <v>1652</v>
      </c>
      <c r="AN250" s="3">
        <v>1</v>
      </c>
      <c r="AO250" s="3">
        <v>1</v>
      </c>
      <c r="AP250" s="3">
        <v>1</v>
      </c>
      <c r="AQ250" s="3">
        <v>1</v>
      </c>
      <c r="AR250" s="3">
        <v>0</v>
      </c>
      <c r="AS250" s="3">
        <v>0</v>
      </c>
      <c r="AT250" s="3">
        <v>1</v>
      </c>
      <c r="AU250" s="3">
        <v>0</v>
      </c>
      <c r="AV250" s="3">
        <v>1</v>
      </c>
      <c r="AW250" s="3">
        <v>0</v>
      </c>
      <c r="AX250" s="3">
        <v>0</v>
      </c>
      <c r="AY250" s="3">
        <v>0</v>
      </c>
      <c r="AZ250" s="3">
        <v>1</v>
      </c>
      <c r="BA250" s="3">
        <v>0</v>
      </c>
      <c r="BB250" s="3">
        <v>0</v>
      </c>
      <c r="BC250" s="3">
        <v>1</v>
      </c>
      <c r="BD250" s="3">
        <v>0</v>
      </c>
      <c r="BE250" s="3">
        <v>0</v>
      </c>
      <c r="BG250" s="2" t="s">
        <v>139</v>
      </c>
      <c r="BH250" s="3">
        <v>2</v>
      </c>
      <c r="BJ250" s="2" t="s">
        <v>96</v>
      </c>
      <c r="BL250" s="2" t="s">
        <v>382</v>
      </c>
      <c r="BM250" s="2" t="s">
        <v>382</v>
      </c>
      <c r="BN250" s="2" t="s">
        <v>99</v>
      </c>
      <c r="BO250" s="2" t="s">
        <v>100</v>
      </c>
      <c r="BP250" s="2" t="s">
        <v>242</v>
      </c>
      <c r="BQ250" s="2" t="s">
        <v>383</v>
      </c>
      <c r="BR250" s="2" t="s">
        <v>384</v>
      </c>
      <c r="BS250" s="2" t="s">
        <v>127</v>
      </c>
      <c r="BT250" s="2" t="s">
        <v>1000</v>
      </c>
      <c r="BU250" s="2" t="s">
        <v>1001</v>
      </c>
      <c r="BV250" s="2" t="s">
        <v>150</v>
      </c>
      <c r="BW250" s="2" t="s">
        <v>151</v>
      </c>
      <c r="BX250" s="2" t="s">
        <v>139</v>
      </c>
      <c r="BY25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50" s="2">
        <f>IF(AND(Cases[[#This Row],[Priority Level]]&gt;=3,Cases[[#This Row],[System Role]]&lt;&gt;"Productive"),1,0)</f>
        <v>0</v>
      </c>
      <c r="CA250" s="2">
        <f>IFERROR(IF(Cases[[#This Row],[Days at Customer]]&gt;MAX(1,Cases[[#This Row],[Days at SAP]]*2),1,0),0)</f>
        <v>1</v>
      </c>
      <c r="CB250" s="2">
        <f>IF(AND(Cases[[#This Row],[Initial Component]]&lt;&gt;"",Cases[[#This Row],[Component]]&lt;&gt;"",Cases[[#This Row],[Initial Component]]&lt;&gt;Cases[[#This Row],[Component]]),1,0)</f>
        <v>1</v>
      </c>
      <c r="CC250" s="2">
        <f>IF(OR(Cases[[#This Row],[Is Reopened]]="X",Cases[[#This Row],[No. of Reopenings]]&gt;0),1,0)</f>
        <v>0</v>
      </c>
      <c r="CD250" s="2">
        <f>IF(Cases[[#This Row],[Confirmation Type]]="Automatic",1,0)</f>
        <v>1</v>
      </c>
      <c r="CE25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51" spans="1:83" x14ac:dyDescent="0.2">
      <c r="A251" s="1" t="s">
        <v>1653</v>
      </c>
      <c r="B251" s="2" t="s">
        <v>1654</v>
      </c>
      <c r="C251" s="2" t="s">
        <v>1655</v>
      </c>
      <c r="D251" s="2" t="s">
        <v>238</v>
      </c>
      <c r="E251" s="3">
        <v>4.4000000000000004</v>
      </c>
      <c r="F251" s="3">
        <v>21.46</v>
      </c>
      <c r="G251" s="2" t="s">
        <v>133</v>
      </c>
      <c r="H251" s="2" t="s">
        <v>892</v>
      </c>
      <c r="I251" s="3" t="s">
        <v>81</v>
      </c>
      <c r="J251" s="3">
        <v>96</v>
      </c>
      <c r="K251" s="2" t="s">
        <v>1656</v>
      </c>
      <c r="L251" s="4">
        <v>46061</v>
      </c>
      <c r="M251" s="4">
        <v>46057</v>
      </c>
      <c r="N251" s="2" t="s">
        <v>677</v>
      </c>
      <c r="O251" s="2" t="s">
        <v>181</v>
      </c>
      <c r="P251" s="2" t="s">
        <v>1165</v>
      </c>
      <c r="Q251" s="2" t="s">
        <v>86</v>
      </c>
      <c r="R251" s="2" t="s">
        <v>1657</v>
      </c>
      <c r="S251" s="4">
        <v>46031</v>
      </c>
      <c r="T251" s="2" t="s">
        <v>1334</v>
      </c>
      <c r="U251" s="2" t="s">
        <v>181</v>
      </c>
      <c r="V251" s="2" t="s">
        <v>677</v>
      </c>
      <c r="W251" s="2" t="s">
        <v>86</v>
      </c>
      <c r="X251" s="2" t="s">
        <v>88</v>
      </c>
      <c r="Y251" s="3" t="s">
        <v>89</v>
      </c>
      <c r="Z251" s="3">
        <v>25.85</v>
      </c>
      <c r="AA251" s="2" t="s">
        <v>90</v>
      </c>
      <c r="AB251" s="2" t="s">
        <v>1657</v>
      </c>
      <c r="AC251" s="2" t="s">
        <v>1655</v>
      </c>
      <c r="AD251" t="str" cm="1">
        <f t="array" ref="AD25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251" s="2" t="s">
        <v>139</v>
      </c>
      <c r="AF251" s="2" t="s">
        <v>92</v>
      </c>
      <c r="AG251" s="2" t="s">
        <v>93</v>
      </c>
      <c r="AH251" s="2" t="s">
        <v>94</v>
      </c>
      <c r="AK251" s="2" t="s">
        <v>1658</v>
      </c>
      <c r="AN251" s="3">
        <v>1</v>
      </c>
      <c r="AO251" s="3">
        <v>1</v>
      </c>
      <c r="AP251" s="3">
        <v>1</v>
      </c>
      <c r="AQ251" s="3">
        <v>1</v>
      </c>
      <c r="AR251" s="3">
        <v>0</v>
      </c>
      <c r="AS251" s="3">
        <v>0</v>
      </c>
      <c r="AT251" s="3">
        <v>1</v>
      </c>
      <c r="AU251" s="3">
        <v>0</v>
      </c>
      <c r="AV251" s="3">
        <v>1</v>
      </c>
      <c r="AW251" s="3">
        <v>0</v>
      </c>
      <c r="AX251" s="3">
        <v>0</v>
      </c>
      <c r="AY251" s="3">
        <v>0</v>
      </c>
      <c r="AZ251" s="3">
        <v>1</v>
      </c>
      <c r="BA251" s="3">
        <v>1</v>
      </c>
      <c r="BB251" s="3">
        <v>0</v>
      </c>
      <c r="BC251" s="3">
        <v>0</v>
      </c>
      <c r="BD251" s="3">
        <v>0</v>
      </c>
      <c r="BE251" s="3">
        <v>0</v>
      </c>
      <c r="BG251" s="2" t="s">
        <v>139</v>
      </c>
      <c r="BH251" s="3">
        <v>2</v>
      </c>
      <c r="BJ251" s="2" t="s">
        <v>96</v>
      </c>
      <c r="BL251" s="2" t="s">
        <v>184</v>
      </c>
      <c r="BM251" s="2" t="s">
        <v>184</v>
      </c>
      <c r="BN251" s="2" t="s">
        <v>124</v>
      </c>
      <c r="BO251" s="2" t="s">
        <v>125</v>
      </c>
      <c r="BP251" s="2" t="s">
        <v>242</v>
      </c>
      <c r="BQ251" s="2" t="s">
        <v>124</v>
      </c>
      <c r="BR251" s="2" t="s">
        <v>126</v>
      </c>
      <c r="BS251" s="2" t="s">
        <v>104</v>
      </c>
      <c r="BT251" s="2" t="s">
        <v>1659</v>
      </c>
      <c r="BU251" s="2" t="s">
        <v>1660</v>
      </c>
      <c r="BV251" s="2" t="s">
        <v>166</v>
      </c>
      <c r="BW251" s="2" t="s">
        <v>167</v>
      </c>
      <c r="BX251" s="2" t="s">
        <v>139</v>
      </c>
      <c r="BY25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51" s="2">
        <f>IF(AND(Cases[[#This Row],[Priority Level]]&gt;=3,Cases[[#This Row],[System Role]]&lt;&gt;"Productive"),1,0)</f>
        <v>0</v>
      </c>
      <c r="CA251" s="2">
        <f>IFERROR(IF(Cases[[#This Row],[Days at Customer]]&gt;MAX(1,Cases[[#This Row],[Days at SAP]]*2),1,0),0)</f>
        <v>1</v>
      </c>
      <c r="CB251" s="2">
        <f>IF(AND(Cases[[#This Row],[Initial Component]]&lt;&gt;"",Cases[[#This Row],[Component]]&lt;&gt;"",Cases[[#This Row],[Initial Component]]&lt;&gt;Cases[[#This Row],[Component]]),1,0)</f>
        <v>0</v>
      </c>
      <c r="CC251" s="2">
        <f>IF(OR(Cases[[#This Row],[Is Reopened]]="X",Cases[[#This Row],[No. of Reopenings]]&gt;0),1,0)</f>
        <v>0</v>
      </c>
      <c r="CD251" s="2">
        <f>IF(Cases[[#This Row],[Confirmation Type]]="Automatic",1,0)</f>
        <v>1</v>
      </c>
      <c r="CE251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52" spans="1:83" x14ac:dyDescent="0.2">
      <c r="A252" s="1" t="s">
        <v>1661</v>
      </c>
      <c r="B252" s="2" t="s">
        <v>1662</v>
      </c>
      <c r="C252" s="2" t="s">
        <v>300</v>
      </c>
      <c r="D252" s="2" t="s">
        <v>78</v>
      </c>
      <c r="E252" s="3">
        <v>25.11</v>
      </c>
      <c r="F252" s="3">
        <v>29.83</v>
      </c>
      <c r="G252" s="2" t="s">
        <v>79</v>
      </c>
      <c r="H252" s="2" t="s">
        <v>732</v>
      </c>
      <c r="I252" s="3" t="s">
        <v>114</v>
      </c>
      <c r="J252" s="3">
        <v>96</v>
      </c>
      <c r="K252" s="2" t="s">
        <v>1663</v>
      </c>
      <c r="L252" s="4">
        <v>46089</v>
      </c>
      <c r="M252" s="4">
        <v>46086</v>
      </c>
      <c r="N252" s="2" t="s">
        <v>180</v>
      </c>
      <c r="O252" s="2" t="s">
        <v>181</v>
      </c>
      <c r="P252" s="2" t="s">
        <v>526</v>
      </c>
      <c r="Q252" s="2" t="s">
        <v>86</v>
      </c>
      <c r="R252" s="2" t="s">
        <v>299</v>
      </c>
      <c r="S252" s="4">
        <v>46031</v>
      </c>
      <c r="T252" s="2" t="s">
        <v>1334</v>
      </c>
      <c r="U252" s="2" t="s">
        <v>181</v>
      </c>
      <c r="V252" s="2" t="s">
        <v>677</v>
      </c>
      <c r="W252" s="2" t="s">
        <v>86</v>
      </c>
      <c r="X252" s="2" t="s">
        <v>117</v>
      </c>
      <c r="Y252" s="3" t="s">
        <v>118</v>
      </c>
      <c r="Z252" s="3">
        <v>54.94</v>
      </c>
      <c r="AA252" s="2" t="s">
        <v>90</v>
      </c>
      <c r="AB252" s="2" t="s">
        <v>878</v>
      </c>
      <c r="AC252" s="2" t="s">
        <v>876</v>
      </c>
      <c r="AD252" t="str" cm="1">
        <f t="array" ref="AD25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252" s="2" t="s">
        <v>91</v>
      </c>
      <c r="AF252" s="2" t="s">
        <v>92</v>
      </c>
      <c r="AG252" s="2" t="s">
        <v>119</v>
      </c>
      <c r="AH252" s="2" t="s">
        <v>120</v>
      </c>
      <c r="AJ252" s="2" t="s">
        <v>122</v>
      </c>
      <c r="AK252" s="2" t="s">
        <v>1664</v>
      </c>
      <c r="AN252" s="3">
        <v>1</v>
      </c>
      <c r="AO252" s="3">
        <v>1</v>
      </c>
      <c r="AP252" s="3">
        <v>1</v>
      </c>
      <c r="AQ252" s="3">
        <v>1</v>
      </c>
      <c r="AR252" s="3">
        <v>1</v>
      </c>
      <c r="AS252" s="3">
        <v>0</v>
      </c>
      <c r="AT252" s="3">
        <v>0</v>
      </c>
      <c r="AU252" s="3">
        <v>0</v>
      </c>
      <c r="AV252" s="3">
        <v>0</v>
      </c>
      <c r="AW252" s="3">
        <v>1</v>
      </c>
      <c r="AX252" s="3">
        <v>1</v>
      </c>
      <c r="AY252" s="3">
        <v>0</v>
      </c>
      <c r="AZ252" s="3">
        <v>0</v>
      </c>
      <c r="BA252" s="3">
        <v>1</v>
      </c>
      <c r="BB252" s="3">
        <v>0</v>
      </c>
      <c r="BC252" s="3">
        <v>0</v>
      </c>
      <c r="BD252" s="3">
        <v>1</v>
      </c>
      <c r="BE252" s="3">
        <v>0</v>
      </c>
      <c r="BG252" s="2" t="s">
        <v>91</v>
      </c>
      <c r="BH252" s="3">
        <v>3</v>
      </c>
      <c r="BJ252" s="2" t="s">
        <v>96</v>
      </c>
      <c r="BL252" s="2" t="s">
        <v>123</v>
      </c>
      <c r="BM252" s="2" t="s">
        <v>123</v>
      </c>
      <c r="BN252" s="2" t="s">
        <v>124</v>
      </c>
      <c r="BO252" s="2" t="s">
        <v>125</v>
      </c>
      <c r="BP252" s="2" t="s">
        <v>101</v>
      </c>
      <c r="BQ252" s="2" t="s">
        <v>124</v>
      </c>
      <c r="BR252" s="2" t="s">
        <v>126</v>
      </c>
      <c r="BS252" s="2" t="s">
        <v>127</v>
      </c>
      <c r="BT252" s="2" t="s">
        <v>410</v>
      </c>
      <c r="BU252" s="2" t="s">
        <v>411</v>
      </c>
      <c r="BV252" s="2" t="s">
        <v>166</v>
      </c>
      <c r="BW252" s="2" t="s">
        <v>167</v>
      </c>
      <c r="BX252" s="2" t="s">
        <v>91</v>
      </c>
      <c r="BY25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52" s="2">
        <f>IF(AND(Cases[[#This Row],[Priority Level]]&gt;=3,Cases[[#This Row],[System Role]]&lt;&gt;"Productive"),1,0)</f>
        <v>1</v>
      </c>
      <c r="CA252" s="2">
        <f>IFERROR(IF(Cases[[#This Row],[Days at Customer]]&gt;MAX(1,Cases[[#This Row],[Days at SAP]]*2),1,0),0)</f>
        <v>0</v>
      </c>
      <c r="CB252" s="2">
        <f>IF(AND(Cases[[#This Row],[Initial Component]]&lt;&gt;"",Cases[[#This Row],[Component]]&lt;&gt;"",Cases[[#This Row],[Initial Component]]&lt;&gt;Cases[[#This Row],[Component]]),1,0)</f>
        <v>1</v>
      </c>
      <c r="CC252" s="2">
        <f>IF(OR(Cases[[#This Row],[Is Reopened]]="X",Cases[[#This Row],[No. of Reopenings]]&gt;0),1,0)</f>
        <v>1</v>
      </c>
      <c r="CD252" s="2">
        <f>IF(Cases[[#This Row],[Confirmation Type]]="Automatic",1,0)</f>
        <v>0</v>
      </c>
      <c r="CE252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253" spans="1:83" x14ac:dyDescent="0.2">
      <c r="A253" s="1" t="s">
        <v>1665</v>
      </c>
      <c r="B253" s="2" t="s">
        <v>1666</v>
      </c>
      <c r="C253" s="2" t="s">
        <v>876</v>
      </c>
      <c r="D253" s="2" t="s">
        <v>78</v>
      </c>
      <c r="E253" s="3">
        <v>0.1</v>
      </c>
      <c r="F253" s="3">
        <v>18.14</v>
      </c>
      <c r="G253" s="2" t="s">
        <v>79</v>
      </c>
      <c r="H253" s="2" t="s">
        <v>80</v>
      </c>
      <c r="I253" s="3" t="s">
        <v>114</v>
      </c>
      <c r="J253" s="3">
        <v>96</v>
      </c>
      <c r="K253" s="2" t="s">
        <v>1667</v>
      </c>
      <c r="L253" s="4">
        <v>46054</v>
      </c>
      <c r="M253" s="4">
        <v>46049</v>
      </c>
      <c r="N253" s="2" t="s">
        <v>1334</v>
      </c>
      <c r="O253" s="2" t="s">
        <v>181</v>
      </c>
      <c r="P253" s="2" t="s">
        <v>1335</v>
      </c>
      <c r="Q253" s="2" t="s">
        <v>86</v>
      </c>
      <c r="R253" s="2" t="s">
        <v>878</v>
      </c>
      <c r="S253" s="4">
        <v>46031</v>
      </c>
      <c r="T253" s="2" t="s">
        <v>1334</v>
      </c>
      <c r="U253" s="2" t="s">
        <v>181</v>
      </c>
      <c r="V253" s="2" t="s">
        <v>677</v>
      </c>
      <c r="W253" s="2" t="s">
        <v>86</v>
      </c>
      <c r="X253" s="2" t="s">
        <v>117</v>
      </c>
      <c r="Y253" s="3" t="s">
        <v>118</v>
      </c>
      <c r="Z253" s="3">
        <v>18.23</v>
      </c>
      <c r="AA253" s="2" t="s">
        <v>90</v>
      </c>
      <c r="AB253" s="2" t="s">
        <v>878</v>
      </c>
      <c r="AC253" s="2" t="s">
        <v>876</v>
      </c>
      <c r="AD253" t="str" cm="1">
        <f t="array" ref="AD25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253" s="2" t="s">
        <v>158</v>
      </c>
      <c r="AF253" s="2" t="s">
        <v>900</v>
      </c>
      <c r="AG253" s="2" t="s">
        <v>119</v>
      </c>
      <c r="AH253" s="2" t="s">
        <v>120</v>
      </c>
      <c r="AK253" s="2" t="s">
        <v>1668</v>
      </c>
      <c r="AN253" s="3">
        <v>1</v>
      </c>
      <c r="AO253" s="3">
        <v>1</v>
      </c>
      <c r="AP253" s="3">
        <v>1</v>
      </c>
      <c r="AQ253" s="3">
        <v>1</v>
      </c>
      <c r="AR253" s="3">
        <v>0</v>
      </c>
      <c r="AS253" s="3">
        <v>1</v>
      </c>
      <c r="AT253" s="3">
        <v>0</v>
      </c>
      <c r="AU253" s="3">
        <v>0</v>
      </c>
      <c r="AV253" s="3">
        <v>0</v>
      </c>
      <c r="AW253" s="3">
        <v>1</v>
      </c>
      <c r="AX253" s="3">
        <v>0</v>
      </c>
      <c r="AY253" s="3">
        <v>1</v>
      </c>
      <c r="AZ253" s="3">
        <v>0</v>
      </c>
      <c r="BA253" s="3">
        <v>1</v>
      </c>
      <c r="BB253" s="3">
        <v>0</v>
      </c>
      <c r="BC253" s="3">
        <v>0</v>
      </c>
      <c r="BD253" s="3">
        <v>0</v>
      </c>
      <c r="BE253" s="3">
        <v>0</v>
      </c>
      <c r="BG253" s="2" t="s">
        <v>158</v>
      </c>
      <c r="BH253" s="3">
        <v>1</v>
      </c>
      <c r="BJ253" s="2" t="s">
        <v>96</v>
      </c>
      <c r="BL253" s="2" t="s">
        <v>123</v>
      </c>
      <c r="BM253" s="2" t="s">
        <v>123</v>
      </c>
      <c r="BN253" s="2" t="s">
        <v>124</v>
      </c>
      <c r="BO253" s="2" t="s">
        <v>125</v>
      </c>
      <c r="BP253" s="2" t="s">
        <v>101</v>
      </c>
      <c r="BQ253" s="2" t="s">
        <v>124</v>
      </c>
      <c r="BR253" s="2" t="s">
        <v>126</v>
      </c>
      <c r="BS253" s="2" t="s">
        <v>127</v>
      </c>
      <c r="BT253" s="2" t="s">
        <v>410</v>
      </c>
      <c r="BU253" s="2" t="s">
        <v>411</v>
      </c>
      <c r="BV253" s="2" t="s">
        <v>166</v>
      </c>
      <c r="BW253" s="2" t="s">
        <v>167</v>
      </c>
      <c r="BX253" s="2" t="s">
        <v>158</v>
      </c>
      <c r="BY25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53" s="2">
        <f>IF(AND(Cases[[#This Row],[Priority Level]]&gt;=3,Cases[[#This Row],[System Role]]&lt;&gt;"Productive"),1,0)</f>
        <v>0</v>
      </c>
      <c r="CA253" s="2">
        <f>IFERROR(IF(Cases[[#This Row],[Days at Customer]]&gt;MAX(1,Cases[[#This Row],[Days at SAP]]*2),1,0),0)</f>
        <v>1</v>
      </c>
      <c r="CB253" s="2">
        <f>IF(AND(Cases[[#This Row],[Initial Component]]&lt;&gt;"",Cases[[#This Row],[Component]]&lt;&gt;"",Cases[[#This Row],[Initial Component]]&lt;&gt;Cases[[#This Row],[Component]]),1,0)</f>
        <v>0</v>
      </c>
      <c r="CC253" s="2">
        <f>IF(OR(Cases[[#This Row],[Is Reopened]]="X",Cases[[#This Row],[No. of Reopenings]]&gt;0),1,0)</f>
        <v>0</v>
      </c>
      <c r="CD253" s="2">
        <f>IF(Cases[[#This Row],[Confirmation Type]]="Automatic",1,0)</f>
        <v>0</v>
      </c>
      <c r="CE253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54" spans="1:83" x14ac:dyDescent="0.2">
      <c r="A254" s="1" t="s">
        <v>2127</v>
      </c>
      <c r="B254" s="2" t="s">
        <v>2128</v>
      </c>
      <c r="C254" s="2" t="s">
        <v>111</v>
      </c>
      <c r="D254" s="2" t="s">
        <v>78</v>
      </c>
      <c r="E254" s="3">
        <v>0</v>
      </c>
      <c r="F254" s="3">
        <v>25.53</v>
      </c>
      <c r="G254" s="2" t="s">
        <v>112</v>
      </c>
      <c r="H254" s="2" t="s">
        <v>113</v>
      </c>
      <c r="I254" s="3" t="s">
        <v>114</v>
      </c>
      <c r="J254" s="3">
        <v>127</v>
      </c>
      <c r="K254" s="2" t="s">
        <v>2129</v>
      </c>
      <c r="L254" s="4">
        <v>46033</v>
      </c>
      <c r="M254" s="4">
        <v>46028</v>
      </c>
      <c r="N254" s="2" t="s">
        <v>1334</v>
      </c>
      <c r="O254" s="2" t="s">
        <v>181</v>
      </c>
      <c r="P254" s="2" t="s">
        <v>677</v>
      </c>
      <c r="Q254" s="2" t="s">
        <v>86</v>
      </c>
      <c r="R254" s="2" t="s">
        <v>116</v>
      </c>
      <c r="S254" s="4">
        <v>46000</v>
      </c>
      <c r="T254" s="2" t="s">
        <v>1804</v>
      </c>
      <c r="U254" s="2" t="s">
        <v>1805</v>
      </c>
      <c r="V254" s="2" t="s">
        <v>2037</v>
      </c>
      <c r="W254" s="2" t="s">
        <v>1806</v>
      </c>
      <c r="X254" s="2" t="s">
        <v>117</v>
      </c>
      <c r="Y254" s="3" t="s">
        <v>118</v>
      </c>
      <c r="Z254" s="3">
        <v>25.53</v>
      </c>
      <c r="AA254" s="2" t="s">
        <v>90</v>
      </c>
      <c r="AB254" s="2" t="s">
        <v>116</v>
      </c>
      <c r="AC254" s="2" t="s">
        <v>111</v>
      </c>
      <c r="AD254" t="str" cm="1">
        <f t="array" ref="AD25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254" s="2" t="s">
        <v>139</v>
      </c>
      <c r="AF254" s="2" t="s">
        <v>92</v>
      </c>
      <c r="AG254" s="2" t="s">
        <v>119</v>
      </c>
      <c r="AH254" s="2" t="s">
        <v>120</v>
      </c>
      <c r="AK254" s="2" t="s">
        <v>2130</v>
      </c>
      <c r="AN254" s="3">
        <v>1</v>
      </c>
      <c r="AO254" s="3">
        <v>1</v>
      </c>
      <c r="AP254" s="3">
        <v>1</v>
      </c>
      <c r="AQ254" s="3">
        <v>1</v>
      </c>
      <c r="AR254" s="3">
        <v>0</v>
      </c>
      <c r="AS254" s="3">
        <v>0</v>
      </c>
      <c r="AT254" s="3">
        <v>1</v>
      </c>
      <c r="AU254" s="3">
        <v>0</v>
      </c>
      <c r="AV254" s="3">
        <v>0</v>
      </c>
      <c r="AW254" s="3">
        <v>1</v>
      </c>
      <c r="AX254" s="3">
        <v>0</v>
      </c>
      <c r="AY254" s="3">
        <v>0</v>
      </c>
      <c r="AZ254" s="3">
        <v>1</v>
      </c>
      <c r="BA254" s="3">
        <v>0</v>
      </c>
      <c r="BB254" s="3">
        <v>0</v>
      </c>
      <c r="BC254" s="3">
        <v>1</v>
      </c>
      <c r="BD254" s="3">
        <v>0</v>
      </c>
      <c r="BE254" s="3">
        <v>0</v>
      </c>
      <c r="BG254" s="2" t="s">
        <v>139</v>
      </c>
      <c r="BH254" s="3">
        <v>2</v>
      </c>
      <c r="BI254" s="2" t="s">
        <v>122</v>
      </c>
      <c r="BJ254" s="2" t="s">
        <v>96</v>
      </c>
      <c r="BL254" s="2" t="s">
        <v>123</v>
      </c>
      <c r="BM254" s="2" t="s">
        <v>123</v>
      </c>
      <c r="BN254" s="2" t="s">
        <v>124</v>
      </c>
      <c r="BO254" s="2" t="s">
        <v>125</v>
      </c>
      <c r="BP254" s="2" t="s">
        <v>101</v>
      </c>
      <c r="BQ254" s="2" t="s">
        <v>124</v>
      </c>
      <c r="BR254" s="2" t="s">
        <v>126</v>
      </c>
      <c r="BS254" s="2" t="s">
        <v>127</v>
      </c>
      <c r="BT254" s="2" t="s">
        <v>207</v>
      </c>
      <c r="BU254" s="2" t="s">
        <v>208</v>
      </c>
      <c r="BV254" s="2" t="s">
        <v>150</v>
      </c>
      <c r="BW254" s="2" t="s">
        <v>151</v>
      </c>
      <c r="BX254" s="2" t="s">
        <v>139</v>
      </c>
      <c r="BY25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54" s="2">
        <f>IF(AND(Cases[[#This Row],[Priority Level]]&gt;=3,Cases[[#This Row],[System Role]]&lt;&gt;"Productive"),1,0)</f>
        <v>0</v>
      </c>
      <c r="CA254" s="2">
        <f>IFERROR(IF(Cases[[#This Row],[Days at Customer]]&gt;MAX(1,Cases[[#This Row],[Days at SAP]]*2),1,0),0)</f>
        <v>1</v>
      </c>
      <c r="CB254" s="2">
        <f>IF(AND(Cases[[#This Row],[Initial Component]]&lt;&gt;"",Cases[[#This Row],[Component]]&lt;&gt;"",Cases[[#This Row],[Initial Component]]&lt;&gt;Cases[[#This Row],[Component]]),1,0)</f>
        <v>0</v>
      </c>
      <c r="CC254" s="2">
        <f>IF(OR(Cases[[#This Row],[Is Reopened]]="X",Cases[[#This Row],[No. of Reopenings]]&gt;0),1,0)</f>
        <v>0</v>
      </c>
      <c r="CD254" s="2">
        <f>IF(Cases[[#This Row],[Confirmation Type]]="Automatic",1,0)</f>
        <v>0</v>
      </c>
      <c r="CE25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55" spans="1:83" x14ac:dyDescent="0.2">
      <c r="A255" s="1" t="s">
        <v>2481</v>
      </c>
      <c r="B255" s="2" t="s">
        <v>2482</v>
      </c>
      <c r="C255" s="2" t="s">
        <v>203</v>
      </c>
      <c r="D255" s="2" t="s">
        <v>238</v>
      </c>
      <c r="E255" s="3">
        <v>0</v>
      </c>
      <c r="F255" s="3">
        <v>27.93</v>
      </c>
      <c r="G255" s="2" t="s">
        <v>112</v>
      </c>
      <c r="H255" s="2" t="s">
        <v>113</v>
      </c>
      <c r="I255" s="3" t="s">
        <v>114</v>
      </c>
      <c r="J255" s="3">
        <v>152</v>
      </c>
      <c r="K255" s="2" t="s">
        <v>2483</v>
      </c>
      <c r="L255" s="4">
        <v>46033</v>
      </c>
      <c r="M255" s="4">
        <v>46028</v>
      </c>
      <c r="N255" s="2" t="s">
        <v>1334</v>
      </c>
      <c r="O255" s="2" t="s">
        <v>181</v>
      </c>
      <c r="P255" s="2" t="s">
        <v>677</v>
      </c>
      <c r="Q255" s="2" t="s">
        <v>86</v>
      </c>
      <c r="R255" s="2" t="s">
        <v>205</v>
      </c>
      <c r="S255" s="4">
        <v>45975</v>
      </c>
      <c r="T255" s="2" t="s">
        <v>2274</v>
      </c>
      <c r="U255" s="2" t="s">
        <v>1805</v>
      </c>
      <c r="V255" s="2" t="s">
        <v>2467</v>
      </c>
      <c r="W255" s="2" t="s">
        <v>1806</v>
      </c>
      <c r="X255" s="2" t="s">
        <v>117</v>
      </c>
      <c r="Y255" s="3" t="s">
        <v>118</v>
      </c>
      <c r="Z255" s="3">
        <v>27.93</v>
      </c>
      <c r="AA255" s="2" t="s">
        <v>90</v>
      </c>
      <c r="AB255" s="2" t="s">
        <v>205</v>
      </c>
      <c r="AC255" s="2" t="s">
        <v>203</v>
      </c>
      <c r="AD255" t="str" cm="1">
        <f t="array" ref="AD25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255" s="2" t="s">
        <v>91</v>
      </c>
      <c r="AF255" s="2" t="s">
        <v>92</v>
      </c>
      <c r="AG255" s="2" t="s">
        <v>119</v>
      </c>
      <c r="AH255" s="2" t="s">
        <v>120</v>
      </c>
      <c r="AK255" s="2" t="s">
        <v>2484</v>
      </c>
      <c r="AN255" s="3">
        <v>1</v>
      </c>
      <c r="AO255" s="3">
        <v>1</v>
      </c>
      <c r="AP255" s="3">
        <v>1</v>
      </c>
      <c r="AQ255" s="3">
        <v>1</v>
      </c>
      <c r="AR255" s="3">
        <v>1</v>
      </c>
      <c r="AS255" s="3">
        <v>0</v>
      </c>
      <c r="AT255" s="3">
        <v>0</v>
      </c>
      <c r="AU255" s="3">
        <v>0</v>
      </c>
      <c r="AV255" s="3">
        <v>1</v>
      </c>
      <c r="AW255" s="3">
        <v>0</v>
      </c>
      <c r="AX255" s="3">
        <v>1</v>
      </c>
      <c r="AY255" s="3">
        <v>0</v>
      </c>
      <c r="AZ255" s="3">
        <v>0</v>
      </c>
      <c r="BA255" s="3">
        <v>0</v>
      </c>
      <c r="BB255" s="3">
        <v>0</v>
      </c>
      <c r="BC255" s="3">
        <v>1</v>
      </c>
      <c r="BD255" s="3">
        <v>0</v>
      </c>
      <c r="BE255" s="3">
        <v>0</v>
      </c>
      <c r="BG255" s="2" t="s">
        <v>91</v>
      </c>
      <c r="BH255" s="3">
        <v>3</v>
      </c>
      <c r="BI255" s="2" t="s">
        <v>122</v>
      </c>
      <c r="BJ255" s="2" t="s">
        <v>96</v>
      </c>
      <c r="BL255" s="2" t="s">
        <v>123</v>
      </c>
      <c r="BM255" s="2" t="s">
        <v>123</v>
      </c>
      <c r="BN255" s="2" t="s">
        <v>124</v>
      </c>
      <c r="BO255" s="2" t="s">
        <v>125</v>
      </c>
      <c r="BP255" s="2" t="s">
        <v>242</v>
      </c>
      <c r="BQ255" s="2" t="s">
        <v>124</v>
      </c>
      <c r="BR255" s="2" t="s">
        <v>126</v>
      </c>
      <c r="BS255" s="2" t="s">
        <v>127</v>
      </c>
      <c r="BT255" s="2" t="s">
        <v>207</v>
      </c>
      <c r="BU255" s="2" t="s">
        <v>208</v>
      </c>
      <c r="BV255" s="2" t="s">
        <v>150</v>
      </c>
      <c r="BW255" s="2" t="s">
        <v>151</v>
      </c>
      <c r="BX255" s="2" t="s">
        <v>91</v>
      </c>
      <c r="BY25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55" s="2">
        <f>IF(AND(Cases[[#This Row],[Priority Level]]&gt;=3,Cases[[#This Row],[System Role]]&lt;&gt;"Productive"),1,0)</f>
        <v>0</v>
      </c>
      <c r="CA255" s="2">
        <f>IFERROR(IF(Cases[[#This Row],[Days at Customer]]&gt;MAX(1,Cases[[#This Row],[Days at SAP]]*2),1,0),0)</f>
        <v>1</v>
      </c>
      <c r="CB255" s="2">
        <f>IF(AND(Cases[[#This Row],[Initial Component]]&lt;&gt;"",Cases[[#This Row],[Component]]&lt;&gt;"",Cases[[#This Row],[Initial Component]]&lt;&gt;Cases[[#This Row],[Component]]),1,0)</f>
        <v>0</v>
      </c>
      <c r="CC255" s="2">
        <f>IF(OR(Cases[[#This Row],[Is Reopened]]="X",Cases[[#This Row],[No. of Reopenings]]&gt;0),1,0)</f>
        <v>0</v>
      </c>
      <c r="CD255" s="2">
        <f>IF(Cases[[#This Row],[Confirmation Type]]="Automatic",1,0)</f>
        <v>1</v>
      </c>
      <c r="CE255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56" spans="1:83" x14ac:dyDescent="0.2">
      <c r="A256" s="1" t="s">
        <v>1677</v>
      </c>
      <c r="B256" s="2" t="s">
        <v>1678</v>
      </c>
      <c r="C256" s="2" t="s">
        <v>1679</v>
      </c>
      <c r="D256" s="2" t="s">
        <v>78</v>
      </c>
      <c r="E256" s="3">
        <v>12.39</v>
      </c>
      <c r="F256" s="3">
        <v>27.56</v>
      </c>
      <c r="G256" s="2" t="s">
        <v>588</v>
      </c>
      <c r="H256" s="2" t="s">
        <v>113</v>
      </c>
      <c r="I256" s="3" t="s">
        <v>114</v>
      </c>
      <c r="J256" s="3">
        <v>96</v>
      </c>
      <c r="K256" s="2" t="s">
        <v>1680</v>
      </c>
      <c r="L256" s="4">
        <v>46082</v>
      </c>
      <c r="M256" s="4">
        <v>46071</v>
      </c>
      <c r="N256" s="2" t="s">
        <v>677</v>
      </c>
      <c r="O256" s="2" t="s">
        <v>181</v>
      </c>
      <c r="P256" s="2" t="s">
        <v>895</v>
      </c>
      <c r="Q256" s="2" t="s">
        <v>86</v>
      </c>
      <c r="R256" s="2" t="s">
        <v>1681</v>
      </c>
      <c r="S256" s="4">
        <v>46031</v>
      </c>
      <c r="T256" s="2" t="s">
        <v>1334</v>
      </c>
      <c r="U256" s="2" t="s">
        <v>181</v>
      </c>
      <c r="V256" s="2" t="s">
        <v>677</v>
      </c>
      <c r="W256" s="2" t="s">
        <v>86</v>
      </c>
      <c r="X256" s="2" t="s">
        <v>117</v>
      </c>
      <c r="Y256" s="3" t="s">
        <v>118</v>
      </c>
      <c r="Z256" s="3">
        <v>39.950000000000003</v>
      </c>
      <c r="AA256" s="2" t="s">
        <v>90</v>
      </c>
      <c r="AB256" s="2" t="s">
        <v>861</v>
      </c>
      <c r="AC256" s="2" t="s">
        <v>862</v>
      </c>
      <c r="AD256" t="str" cm="1">
        <f t="array" ref="AD25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256" s="2" t="s">
        <v>139</v>
      </c>
      <c r="AF256" s="2" t="s">
        <v>92</v>
      </c>
      <c r="AG256" s="2" t="s">
        <v>119</v>
      </c>
      <c r="AH256" s="2" t="s">
        <v>120</v>
      </c>
      <c r="AK256" s="2" t="s">
        <v>1682</v>
      </c>
      <c r="AN256" s="3">
        <v>1</v>
      </c>
      <c r="AO256" s="3">
        <v>1</v>
      </c>
      <c r="AP256" s="3">
        <v>1</v>
      </c>
      <c r="AQ256" s="3">
        <v>1</v>
      </c>
      <c r="AR256" s="3">
        <v>0</v>
      </c>
      <c r="AS256" s="3">
        <v>0</v>
      </c>
      <c r="AT256" s="3">
        <v>1</v>
      </c>
      <c r="AU256" s="3">
        <v>0</v>
      </c>
      <c r="AV256" s="3">
        <v>0</v>
      </c>
      <c r="AW256" s="3">
        <v>1</v>
      </c>
      <c r="AX256" s="3">
        <v>0</v>
      </c>
      <c r="AY256" s="3">
        <v>0</v>
      </c>
      <c r="AZ256" s="3">
        <v>1</v>
      </c>
      <c r="BA256" s="3">
        <v>0</v>
      </c>
      <c r="BB256" s="3">
        <v>0</v>
      </c>
      <c r="BC256" s="3">
        <v>1</v>
      </c>
      <c r="BD256" s="3">
        <v>0</v>
      </c>
      <c r="BE256" s="3">
        <v>0</v>
      </c>
      <c r="BG256" s="2" t="s">
        <v>139</v>
      </c>
      <c r="BH256" s="3">
        <v>2</v>
      </c>
      <c r="BJ256" s="2" t="s">
        <v>96</v>
      </c>
      <c r="BL256" s="2" t="s">
        <v>123</v>
      </c>
      <c r="BM256" s="2" t="s">
        <v>123</v>
      </c>
      <c r="BN256" s="2" t="s">
        <v>124</v>
      </c>
      <c r="BO256" s="2" t="s">
        <v>125</v>
      </c>
      <c r="BP256" s="2" t="s">
        <v>101</v>
      </c>
      <c r="BQ256" s="2" t="s">
        <v>124</v>
      </c>
      <c r="BR256" s="2" t="s">
        <v>126</v>
      </c>
      <c r="BS256" s="2" t="s">
        <v>127</v>
      </c>
      <c r="BT256" s="2" t="s">
        <v>207</v>
      </c>
      <c r="BU256" s="2" t="s">
        <v>208</v>
      </c>
      <c r="BV256" s="2" t="s">
        <v>150</v>
      </c>
      <c r="BW256" s="2" t="s">
        <v>151</v>
      </c>
      <c r="BX256" s="2" t="s">
        <v>139</v>
      </c>
      <c r="BY25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56" s="2">
        <f>IF(AND(Cases[[#This Row],[Priority Level]]&gt;=3,Cases[[#This Row],[System Role]]&lt;&gt;"Productive"),1,0)</f>
        <v>0</v>
      </c>
      <c r="CA256" s="2">
        <f>IFERROR(IF(Cases[[#This Row],[Days at Customer]]&gt;MAX(1,Cases[[#This Row],[Days at SAP]]*2),1,0),0)</f>
        <v>1</v>
      </c>
      <c r="CB256" s="2">
        <f>IF(AND(Cases[[#This Row],[Initial Component]]&lt;&gt;"",Cases[[#This Row],[Component]]&lt;&gt;"",Cases[[#This Row],[Initial Component]]&lt;&gt;Cases[[#This Row],[Component]]),1,0)</f>
        <v>1</v>
      </c>
      <c r="CC256" s="2">
        <f>IF(OR(Cases[[#This Row],[Is Reopened]]="X",Cases[[#This Row],[No. of Reopenings]]&gt;0),1,0)</f>
        <v>0</v>
      </c>
      <c r="CD256" s="2">
        <f>IF(Cases[[#This Row],[Confirmation Type]]="Automatic",1,0)</f>
        <v>0</v>
      </c>
      <c r="CE25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57" spans="1:83" x14ac:dyDescent="0.2">
      <c r="A257" s="1" t="s">
        <v>1683</v>
      </c>
      <c r="B257" s="2" t="s">
        <v>1684</v>
      </c>
      <c r="C257" s="2" t="s">
        <v>1685</v>
      </c>
      <c r="D257" s="2" t="s">
        <v>238</v>
      </c>
      <c r="E257" s="3">
        <v>12.84</v>
      </c>
      <c r="F257" s="3">
        <v>29.94</v>
      </c>
      <c r="G257" s="2" t="s">
        <v>133</v>
      </c>
      <c r="H257" s="2" t="s">
        <v>324</v>
      </c>
      <c r="I257" s="3" t="s">
        <v>114</v>
      </c>
      <c r="J257" s="3">
        <v>96</v>
      </c>
      <c r="K257" s="2" t="s">
        <v>1686</v>
      </c>
      <c r="L257" s="4">
        <v>46075</v>
      </c>
      <c r="M257" s="4">
        <v>46074</v>
      </c>
      <c r="N257" s="2" t="s">
        <v>677</v>
      </c>
      <c r="O257" s="2" t="s">
        <v>181</v>
      </c>
      <c r="P257" s="2" t="s">
        <v>895</v>
      </c>
      <c r="Q257" s="2" t="s">
        <v>86</v>
      </c>
      <c r="R257" s="2" t="s">
        <v>1687</v>
      </c>
      <c r="S257" s="4">
        <v>46031</v>
      </c>
      <c r="T257" s="2" t="s">
        <v>1334</v>
      </c>
      <c r="U257" s="2" t="s">
        <v>181</v>
      </c>
      <c r="V257" s="2" t="s">
        <v>677</v>
      </c>
      <c r="W257" s="2" t="s">
        <v>86</v>
      </c>
      <c r="X257" s="2" t="s">
        <v>117</v>
      </c>
      <c r="Y257" s="3" t="s">
        <v>118</v>
      </c>
      <c r="Z257" s="3">
        <v>42.78</v>
      </c>
      <c r="AA257" s="2" t="s">
        <v>90</v>
      </c>
      <c r="AB257" s="2" t="s">
        <v>1637</v>
      </c>
      <c r="AC257" s="2" t="s">
        <v>1635</v>
      </c>
      <c r="AD257" t="str" cm="1">
        <f t="array" ref="AD25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257" s="2" t="s">
        <v>91</v>
      </c>
      <c r="AF257" s="2" t="s">
        <v>92</v>
      </c>
      <c r="AG257" s="2" t="s">
        <v>119</v>
      </c>
      <c r="AH257" s="2" t="s">
        <v>120</v>
      </c>
      <c r="AJ257" s="2" t="s">
        <v>122</v>
      </c>
      <c r="AK257" s="2" t="s">
        <v>1688</v>
      </c>
      <c r="AN257" s="3">
        <v>1</v>
      </c>
      <c r="AO257" s="3">
        <v>1</v>
      </c>
      <c r="AP257" s="3">
        <v>1</v>
      </c>
      <c r="AQ257" s="3">
        <v>1</v>
      </c>
      <c r="AR257" s="3">
        <v>1</v>
      </c>
      <c r="AS257" s="3">
        <v>0</v>
      </c>
      <c r="AT257" s="3">
        <v>0</v>
      </c>
      <c r="AU257" s="3">
        <v>0</v>
      </c>
      <c r="AV257" s="3">
        <v>1</v>
      </c>
      <c r="AW257" s="3">
        <v>0</v>
      </c>
      <c r="AX257" s="3">
        <v>1</v>
      </c>
      <c r="AY257" s="3">
        <v>0</v>
      </c>
      <c r="AZ257" s="3">
        <v>0</v>
      </c>
      <c r="BA257" s="3">
        <v>1</v>
      </c>
      <c r="BB257" s="3">
        <v>0</v>
      </c>
      <c r="BC257" s="3">
        <v>0</v>
      </c>
      <c r="BD257" s="3">
        <v>3</v>
      </c>
      <c r="BE257" s="3">
        <v>0</v>
      </c>
      <c r="BG257" s="2" t="s">
        <v>91</v>
      </c>
      <c r="BH257" s="3">
        <v>3</v>
      </c>
      <c r="BJ257" s="2" t="s">
        <v>96</v>
      </c>
      <c r="BL257" s="2" t="s">
        <v>123</v>
      </c>
      <c r="BM257" s="2" t="s">
        <v>123</v>
      </c>
      <c r="BN257" s="2" t="s">
        <v>124</v>
      </c>
      <c r="BO257" s="2" t="s">
        <v>125</v>
      </c>
      <c r="BP257" s="2" t="s">
        <v>242</v>
      </c>
      <c r="BQ257" s="2" t="s">
        <v>124</v>
      </c>
      <c r="BR257" s="2" t="s">
        <v>126</v>
      </c>
      <c r="BS257" s="2" t="s">
        <v>127</v>
      </c>
      <c r="BT257" s="2" t="s">
        <v>199</v>
      </c>
      <c r="BU257" s="2" t="s">
        <v>200</v>
      </c>
      <c r="BV257" s="2" t="s">
        <v>166</v>
      </c>
      <c r="BW257" s="2" t="s">
        <v>167</v>
      </c>
      <c r="BX257" s="2" t="s">
        <v>91</v>
      </c>
      <c r="BY25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57" s="2">
        <f>IF(AND(Cases[[#This Row],[Priority Level]]&gt;=3,Cases[[#This Row],[System Role]]&lt;&gt;"Productive"),1,0)</f>
        <v>1</v>
      </c>
      <c r="CA257" s="2">
        <f>IFERROR(IF(Cases[[#This Row],[Days at Customer]]&gt;MAX(1,Cases[[#This Row],[Days at SAP]]*2),1,0),0)</f>
        <v>1</v>
      </c>
      <c r="CB257" s="2">
        <f>IF(AND(Cases[[#This Row],[Initial Component]]&lt;&gt;"",Cases[[#This Row],[Component]]&lt;&gt;"",Cases[[#This Row],[Initial Component]]&lt;&gt;Cases[[#This Row],[Component]]),1,0)</f>
        <v>1</v>
      </c>
      <c r="CC257" s="2">
        <f>IF(OR(Cases[[#This Row],[Is Reopened]]="X",Cases[[#This Row],[No. of Reopenings]]&gt;0),1,0)</f>
        <v>1</v>
      </c>
      <c r="CD257" s="2">
        <f>IF(Cases[[#This Row],[Confirmation Type]]="Automatic",1,0)</f>
        <v>1</v>
      </c>
      <c r="CE257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258" spans="1:83" x14ac:dyDescent="0.2">
      <c r="A258" s="1" t="s">
        <v>1689</v>
      </c>
      <c r="B258" s="2" t="s">
        <v>1690</v>
      </c>
      <c r="C258" s="2" t="s">
        <v>330</v>
      </c>
      <c r="D258" s="2" t="s">
        <v>238</v>
      </c>
      <c r="E258" s="3">
        <v>0</v>
      </c>
      <c r="F258" s="3">
        <v>21.69</v>
      </c>
      <c r="G258" s="2" t="s">
        <v>79</v>
      </c>
      <c r="H258" s="2" t="s">
        <v>155</v>
      </c>
      <c r="I258" s="3" t="s">
        <v>114</v>
      </c>
      <c r="J258" s="3">
        <v>96</v>
      </c>
      <c r="K258" s="2" t="s">
        <v>1691</v>
      </c>
      <c r="L258" s="4">
        <v>46054</v>
      </c>
      <c r="M258" s="4">
        <v>46053</v>
      </c>
      <c r="N258" s="2" t="s">
        <v>1334</v>
      </c>
      <c r="O258" s="2" t="s">
        <v>181</v>
      </c>
      <c r="P258" s="2" t="s">
        <v>1335</v>
      </c>
      <c r="Q258" s="2" t="s">
        <v>86</v>
      </c>
      <c r="R258" s="2" t="s">
        <v>333</v>
      </c>
      <c r="S258" s="4">
        <v>46031</v>
      </c>
      <c r="T258" s="2" t="s">
        <v>1334</v>
      </c>
      <c r="U258" s="2" t="s">
        <v>181</v>
      </c>
      <c r="V258" s="2" t="s">
        <v>677</v>
      </c>
      <c r="W258" s="2" t="s">
        <v>86</v>
      </c>
      <c r="X258" s="2" t="s">
        <v>117</v>
      </c>
      <c r="Y258" s="3" t="s">
        <v>118</v>
      </c>
      <c r="Z258" s="3">
        <v>21.69</v>
      </c>
      <c r="AA258" s="2" t="s">
        <v>90</v>
      </c>
      <c r="AB258" s="2" t="s">
        <v>333</v>
      </c>
      <c r="AC258" s="2" t="s">
        <v>330</v>
      </c>
      <c r="AD258" t="str" cm="1">
        <f t="array" ref="AD25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258" s="2" t="s">
        <v>158</v>
      </c>
      <c r="AF258" s="2" t="s">
        <v>92</v>
      </c>
      <c r="AG258" s="2" t="s">
        <v>119</v>
      </c>
      <c r="AH258" s="2" t="s">
        <v>120</v>
      </c>
      <c r="AK258" s="2" t="s">
        <v>1692</v>
      </c>
      <c r="AN258" s="3">
        <v>1</v>
      </c>
      <c r="AO258" s="3">
        <v>1</v>
      </c>
      <c r="AP258" s="3">
        <v>1</v>
      </c>
      <c r="AQ258" s="3">
        <v>1</v>
      </c>
      <c r="AR258" s="3">
        <v>0</v>
      </c>
      <c r="AS258" s="3">
        <v>1</v>
      </c>
      <c r="AT258" s="3">
        <v>0</v>
      </c>
      <c r="AU258" s="3">
        <v>0</v>
      </c>
      <c r="AV258" s="3">
        <v>1</v>
      </c>
      <c r="AW258" s="3">
        <v>0</v>
      </c>
      <c r="AX258" s="3">
        <v>0</v>
      </c>
      <c r="AY258" s="3">
        <v>1</v>
      </c>
      <c r="AZ258" s="3">
        <v>0</v>
      </c>
      <c r="BA258" s="3">
        <v>1</v>
      </c>
      <c r="BB258" s="3">
        <v>0</v>
      </c>
      <c r="BC258" s="3">
        <v>0</v>
      </c>
      <c r="BD258" s="3">
        <v>0</v>
      </c>
      <c r="BE258" s="3">
        <v>0</v>
      </c>
      <c r="BG258" s="2" t="s">
        <v>158</v>
      </c>
      <c r="BH258" s="3">
        <v>1</v>
      </c>
      <c r="BJ258" s="2" t="s">
        <v>96</v>
      </c>
      <c r="BL258" s="2" t="s">
        <v>382</v>
      </c>
      <c r="BM258" s="2" t="s">
        <v>382</v>
      </c>
      <c r="BN258" s="2" t="s">
        <v>99</v>
      </c>
      <c r="BO258" s="2" t="s">
        <v>100</v>
      </c>
      <c r="BP258" s="2" t="s">
        <v>242</v>
      </c>
      <c r="BQ258" s="2" t="s">
        <v>383</v>
      </c>
      <c r="BR258" s="2" t="s">
        <v>384</v>
      </c>
      <c r="BS258" s="2" t="s">
        <v>127</v>
      </c>
      <c r="BT258" s="2" t="s">
        <v>385</v>
      </c>
      <c r="BU258" s="2" t="s">
        <v>1693</v>
      </c>
      <c r="BV258" s="2" t="s">
        <v>166</v>
      </c>
      <c r="BW258" s="2" t="s">
        <v>167</v>
      </c>
      <c r="BX258" s="2" t="s">
        <v>158</v>
      </c>
      <c r="BY25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58" s="2">
        <f>IF(AND(Cases[[#This Row],[Priority Level]]&gt;=3,Cases[[#This Row],[System Role]]&lt;&gt;"Productive"),1,0)</f>
        <v>0</v>
      </c>
      <c r="CA258" s="2">
        <f>IFERROR(IF(Cases[[#This Row],[Days at Customer]]&gt;MAX(1,Cases[[#This Row],[Days at SAP]]*2),1,0),0)</f>
        <v>1</v>
      </c>
      <c r="CB258" s="2">
        <f>IF(AND(Cases[[#This Row],[Initial Component]]&lt;&gt;"",Cases[[#This Row],[Component]]&lt;&gt;"",Cases[[#This Row],[Initial Component]]&lt;&gt;Cases[[#This Row],[Component]]),1,0)</f>
        <v>0</v>
      </c>
      <c r="CC258" s="2">
        <f>IF(OR(Cases[[#This Row],[Is Reopened]]="X",Cases[[#This Row],[No. of Reopenings]]&gt;0),1,0)</f>
        <v>0</v>
      </c>
      <c r="CD258" s="2">
        <f>IF(Cases[[#This Row],[Confirmation Type]]="Automatic",1,0)</f>
        <v>1</v>
      </c>
      <c r="CE258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59" spans="1:83" x14ac:dyDescent="0.2">
      <c r="A259" s="1" t="s">
        <v>1694</v>
      </c>
      <c r="B259" s="2" t="s">
        <v>1695</v>
      </c>
      <c r="C259" s="2" t="s">
        <v>1696</v>
      </c>
      <c r="D259" s="2" t="s">
        <v>238</v>
      </c>
      <c r="E259" s="3">
        <v>0.31</v>
      </c>
      <c r="F259" s="3">
        <v>27.17</v>
      </c>
      <c r="G259" s="2" t="s">
        <v>79</v>
      </c>
      <c r="H259" s="2" t="s">
        <v>80</v>
      </c>
      <c r="I259" s="3" t="s">
        <v>114</v>
      </c>
      <c r="J259" s="3">
        <v>97</v>
      </c>
      <c r="K259" s="2" t="s">
        <v>1697</v>
      </c>
      <c r="L259" s="4">
        <v>46061</v>
      </c>
      <c r="M259" s="4">
        <v>46057</v>
      </c>
      <c r="N259" s="2" t="s">
        <v>677</v>
      </c>
      <c r="O259" s="2" t="s">
        <v>181</v>
      </c>
      <c r="P259" s="2" t="s">
        <v>1165</v>
      </c>
      <c r="Q259" s="2" t="s">
        <v>86</v>
      </c>
      <c r="R259" s="2" t="s">
        <v>1698</v>
      </c>
      <c r="S259" s="4">
        <v>46030</v>
      </c>
      <c r="T259" s="2" t="s">
        <v>1334</v>
      </c>
      <c r="U259" s="2" t="s">
        <v>181</v>
      </c>
      <c r="V259" s="2" t="s">
        <v>677</v>
      </c>
      <c r="W259" s="2" t="s">
        <v>86</v>
      </c>
      <c r="X259" s="2" t="s">
        <v>117</v>
      </c>
      <c r="Y259" s="3" t="s">
        <v>118</v>
      </c>
      <c r="Z259" s="3">
        <v>27.48</v>
      </c>
      <c r="AA259" s="2" t="s">
        <v>90</v>
      </c>
      <c r="AB259" s="2" t="s">
        <v>1698</v>
      </c>
      <c r="AC259" s="2" t="s">
        <v>1696</v>
      </c>
      <c r="AD259" t="str" cm="1">
        <f t="array" ref="AD25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259" s="2" t="s">
        <v>91</v>
      </c>
      <c r="AF259" s="2" t="s">
        <v>998</v>
      </c>
      <c r="AG259" s="2" t="s">
        <v>119</v>
      </c>
      <c r="AH259" s="2" t="s">
        <v>120</v>
      </c>
      <c r="AK259" s="2" t="s">
        <v>1699</v>
      </c>
      <c r="AN259" s="3">
        <v>1</v>
      </c>
      <c r="AO259" s="3">
        <v>1</v>
      </c>
      <c r="AP259" s="3">
        <v>1</v>
      </c>
      <c r="AQ259" s="3">
        <v>1</v>
      </c>
      <c r="AR259" s="3">
        <v>1</v>
      </c>
      <c r="AS259" s="3">
        <v>0</v>
      </c>
      <c r="AT259" s="3">
        <v>0</v>
      </c>
      <c r="AU259" s="3">
        <v>0</v>
      </c>
      <c r="AV259" s="3">
        <v>1</v>
      </c>
      <c r="AW259" s="3">
        <v>0</v>
      </c>
      <c r="AX259" s="3">
        <v>1</v>
      </c>
      <c r="AY259" s="3">
        <v>0</v>
      </c>
      <c r="AZ259" s="3">
        <v>0</v>
      </c>
      <c r="BA259" s="3">
        <v>0</v>
      </c>
      <c r="BB259" s="3">
        <v>0</v>
      </c>
      <c r="BC259" s="3">
        <v>1</v>
      </c>
      <c r="BD259" s="3">
        <v>0</v>
      </c>
      <c r="BE259" s="3">
        <v>0</v>
      </c>
      <c r="BG259" s="2" t="s">
        <v>91</v>
      </c>
      <c r="BH259" s="3">
        <v>3</v>
      </c>
      <c r="BJ259" s="2" t="s">
        <v>96</v>
      </c>
      <c r="BL259" s="2" t="s">
        <v>123</v>
      </c>
      <c r="BM259" s="2" t="s">
        <v>123</v>
      </c>
      <c r="BN259" s="2" t="s">
        <v>124</v>
      </c>
      <c r="BO259" s="2" t="s">
        <v>125</v>
      </c>
      <c r="BP259" s="2" t="s">
        <v>242</v>
      </c>
      <c r="BQ259" s="2" t="s">
        <v>124</v>
      </c>
      <c r="BR259" s="2" t="s">
        <v>126</v>
      </c>
      <c r="BS259" s="2" t="s">
        <v>127</v>
      </c>
      <c r="BT259" s="2" t="s">
        <v>207</v>
      </c>
      <c r="BU259" s="2" t="s">
        <v>208</v>
      </c>
      <c r="BV259" s="2" t="s">
        <v>150</v>
      </c>
      <c r="BW259" s="2" t="s">
        <v>151</v>
      </c>
      <c r="BX259" s="2" t="s">
        <v>91</v>
      </c>
      <c r="BY25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59" s="2">
        <f>IF(AND(Cases[[#This Row],[Priority Level]]&gt;=3,Cases[[#This Row],[System Role]]&lt;&gt;"Productive"),1,0)</f>
        <v>0</v>
      </c>
      <c r="CA259" s="2">
        <f>IFERROR(IF(Cases[[#This Row],[Days at Customer]]&gt;MAX(1,Cases[[#This Row],[Days at SAP]]*2),1,0),0)</f>
        <v>1</v>
      </c>
      <c r="CB259" s="2">
        <f>IF(AND(Cases[[#This Row],[Initial Component]]&lt;&gt;"",Cases[[#This Row],[Component]]&lt;&gt;"",Cases[[#This Row],[Initial Component]]&lt;&gt;Cases[[#This Row],[Component]]),1,0)</f>
        <v>0</v>
      </c>
      <c r="CC259" s="2">
        <f>IF(OR(Cases[[#This Row],[Is Reopened]]="X",Cases[[#This Row],[No. of Reopenings]]&gt;0),1,0)</f>
        <v>0</v>
      </c>
      <c r="CD259" s="2">
        <f>IF(Cases[[#This Row],[Confirmation Type]]="Automatic",1,0)</f>
        <v>1</v>
      </c>
      <c r="CE259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60" spans="1:83" x14ac:dyDescent="0.2">
      <c r="A260" s="1" t="s">
        <v>2838</v>
      </c>
      <c r="B260" s="2" t="s">
        <v>2839</v>
      </c>
      <c r="C260" s="2" t="s">
        <v>111</v>
      </c>
      <c r="D260" s="2" t="s">
        <v>238</v>
      </c>
      <c r="E260" s="3">
        <v>0</v>
      </c>
      <c r="F260" s="3">
        <v>44.89</v>
      </c>
      <c r="G260" s="2" t="s">
        <v>112</v>
      </c>
      <c r="H260" s="2" t="s">
        <v>113</v>
      </c>
      <c r="I260" s="3" t="s">
        <v>114</v>
      </c>
      <c r="J260" s="3">
        <v>169</v>
      </c>
      <c r="K260" s="2" t="s">
        <v>2840</v>
      </c>
      <c r="L260" s="4">
        <v>46033</v>
      </c>
      <c r="M260" s="4">
        <v>46027</v>
      </c>
      <c r="N260" s="2" t="s">
        <v>1334</v>
      </c>
      <c r="O260" s="2" t="s">
        <v>181</v>
      </c>
      <c r="P260" s="2" t="s">
        <v>677</v>
      </c>
      <c r="Q260" s="2" t="s">
        <v>86</v>
      </c>
      <c r="R260" s="2" t="s">
        <v>116</v>
      </c>
      <c r="S260" s="4">
        <v>45958</v>
      </c>
      <c r="T260" s="2" t="s">
        <v>2727</v>
      </c>
      <c r="U260" s="2" t="s">
        <v>1805</v>
      </c>
      <c r="V260" s="2" t="s">
        <v>2717</v>
      </c>
      <c r="W260" s="2" t="s">
        <v>1806</v>
      </c>
      <c r="X260" s="2" t="s">
        <v>117</v>
      </c>
      <c r="Y260" s="3" t="s">
        <v>118</v>
      </c>
      <c r="Z260" s="3">
        <v>44.89</v>
      </c>
      <c r="AA260" s="2" t="s">
        <v>90</v>
      </c>
      <c r="AB260" s="2" t="s">
        <v>116</v>
      </c>
      <c r="AC260" s="2" t="s">
        <v>111</v>
      </c>
      <c r="AD260" t="str" cm="1">
        <f t="array" ref="AD26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260" s="2" t="s">
        <v>91</v>
      </c>
      <c r="AF260" s="2" t="s">
        <v>92</v>
      </c>
      <c r="AG260" s="2" t="s">
        <v>119</v>
      </c>
      <c r="AH260" s="2" t="s">
        <v>120</v>
      </c>
      <c r="AK260" s="2" t="s">
        <v>2841</v>
      </c>
      <c r="AN260" s="3">
        <v>1</v>
      </c>
      <c r="AO260" s="3">
        <v>1</v>
      </c>
      <c r="AP260" s="3">
        <v>1</v>
      </c>
      <c r="AQ260" s="3">
        <v>1</v>
      </c>
      <c r="AR260" s="3">
        <v>1</v>
      </c>
      <c r="AS260" s="3">
        <v>0</v>
      </c>
      <c r="AT260" s="3">
        <v>0</v>
      </c>
      <c r="AU260" s="3">
        <v>0</v>
      </c>
      <c r="AV260" s="3">
        <v>1</v>
      </c>
      <c r="AW260" s="3">
        <v>0</v>
      </c>
      <c r="AX260" s="3">
        <v>1</v>
      </c>
      <c r="AY260" s="3">
        <v>0</v>
      </c>
      <c r="AZ260" s="3">
        <v>0</v>
      </c>
      <c r="BA260" s="3">
        <v>0</v>
      </c>
      <c r="BB260" s="3">
        <v>0</v>
      </c>
      <c r="BC260" s="3">
        <v>1</v>
      </c>
      <c r="BD260" s="3">
        <v>0</v>
      </c>
      <c r="BE260" s="3">
        <v>0</v>
      </c>
      <c r="BG260" s="2" t="s">
        <v>91</v>
      </c>
      <c r="BH260" s="3">
        <v>3</v>
      </c>
      <c r="BI260" s="2" t="s">
        <v>122</v>
      </c>
      <c r="BJ260" s="2" t="s">
        <v>96</v>
      </c>
      <c r="BL260" s="2" t="s">
        <v>123</v>
      </c>
      <c r="BM260" s="2" t="s">
        <v>123</v>
      </c>
      <c r="BN260" s="2" t="s">
        <v>124</v>
      </c>
      <c r="BO260" s="2" t="s">
        <v>125</v>
      </c>
      <c r="BP260" s="2" t="s">
        <v>242</v>
      </c>
      <c r="BQ260" s="2" t="s">
        <v>124</v>
      </c>
      <c r="BR260" s="2" t="s">
        <v>126</v>
      </c>
      <c r="BS260" s="2" t="s">
        <v>127</v>
      </c>
      <c r="BT260" s="2" t="s">
        <v>207</v>
      </c>
      <c r="BU260" s="2" t="s">
        <v>208</v>
      </c>
      <c r="BV260" s="2" t="s">
        <v>150</v>
      </c>
      <c r="BW260" s="2" t="s">
        <v>151</v>
      </c>
      <c r="BX260" s="2" t="s">
        <v>91</v>
      </c>
      <c r="BY26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60" s="2">
        <f>IF(AND(Cases[[#This Row],[Priority Level]]&gt;=3,Cases[[#This Row],[System Role]]&lt;&gt;"Productive"),1,0)</f>
        <v>0</v>
      </c>
      <c r="CA260" s="2">
        <f>IFERROR(IF(Cases[[#This Row],[Days at Customer]]&gt;MAX(1,Cases[[#This Row],[Days at SAP]]*2),1,0),0)</f>
        <v>1</v>
      </c>
      <c r="CB260" s="2">
        <f>IF(AND(Cases[[#This Row],[Initial Component]]&lt;&gt;"",Cases[[#This Row],[Component]]&lt;&gt;"",Cases[[#This Row],[Initial Component]]&lt;&gt;Cases[[#This Row],[Component]]),1,0)</f>
        <v>0</v>
      </c>
      <c r="CC260" s="2">
        <f>IF(OR(Cases[[#This Row],[Is Reopened]]="X",Cases[[#This Row],[No. of Reopenings]]&gt;0),1,0)</f>
        <v>0</v>
      </c>
      <c r="CD260" s="2">
        <f>IF(Cases[[#This Row],[Confirmation Type]]="Automatic",1,0)</f>
        <v>1</v>
      </c>
      <c r="CE260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61" spans="1:83" x14ac:dyDescent="0.2">
      <c r="A261" s="1" t="s">
        <v>1704</v>
      </c>
      <c r="B261" s="2" t="s">
        <v>1705</v>
      </c>
      <c r="C261" s="2" t="s">
        <v>406</v>
      </c>
      <c r="D261" s="2" t="s">
        <v>238</v>
      </c>
      <c r="E261" s="3">
        <v>4.2699999999999996</v>
      </c>
      <c r="F261" s="3">
        <v>21.46</v>
      </c>
      <c r="G261" s="2" t="s">
        <v>79</v>
      </c>
      <c r="H261" s="2" t="s">
        <v>155</v>
      </c>
      <c r="I261" s="3" t="s">
        <v>114</v>
      </c>
      <c r="J261" s="3">
        <v>97</v>
      </c>
      <c r="K261" s="2" t="s">
        <v>1706</v>
      </c>
      <c r="L261" s="4">
        <v>46061</v>
      </c>
      <c r="M261" s="4">
        <v>46056</v>
      </c>
      <c r="N261" s="2" t="s">
        <v>677</v>
      </c>
      <c r="O261" s="2" t="s">
        <v>181</v>
      </c>
      <c r="P261" s="2" t="s">
        <v>1165</v>
      </c>
      <c r="Q261" s="2" t="s">
        <v>86</v>
      </c>
      <c r="R261" s="2" t="s">
        <v>408</v>
      </c>
      <c r="S261" s="4">
        <v>46030</v>
      </c>
      <c r="T261" s="2" t="s">
        <v>1334</v>
      </c>
      <c r="U261" s="2" t="s">
        <v>181</v>
      </c>
      <c r="V261" s="2" t="s">
        <v>677</v>
      </c>
      <c r="W261" s="2" t="s">
        <v>86</v>
      </c>
      <c r="X261" s="2" t="s">
        <v>117</v>
      </c>
      <c r="Y261" s="3" t="s">
        <v>118</v>
      </c>
      <c r="Z261" s="3">
        <v>25.73</v>
      </c>
      <c r="AA261" s="2" t="s">
        <v>90</v>
      </c>
      <c r="AB261" s="2" t="s">
        <v>408</v>
      </c>
      <c r="AC261" s="2" t="s">
        <v>406</v>
      </c>
      <c r="AD261" t="str" cm="1">
        <f t="array" ref="AD26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261" s="2" t="s">
        <v>91</v>
      </c>
      <c r="AF261" s="2" t="s">
        <v>92</v>
      </c>
      <c r="AG261" s="2" t="s">
        <v>119</v>
      </c>
      <c r="AH261" s="2" t="s">
        <v>120</v>
      </c>
      <c r="AK261" s="2" t="s">
        <v>1707</v>
      </c>
      <c r="AN261" s="3">
        <v>1</v>
      </c>
      <c r="AO261" s="3">
        <v>1</v>
      </c>
      <c r="AP261" s="3">
        <v>1</v>
      </c>
      <c r="AQ261" s="3">
        <v>1</v>
      </c>
      <c r="AR261" s="3">
        <v>1</v>
      </c>
      <c r="AS261" s="3">
        <v>0</v>
      </c>
      <c r="AT261" s="3">
        <v>0</v>
      </c>
      <c r="AU261" s="3">
        <v>0</v>
      </c>
      <c r="AV261" s="3">
        <v>1</v>
      </c>
      <c r="AW261" s="3">
        <v>0</v>
      </c>
      <c r="AX261" s="3">
        <v>1</v>
      </c>
      <c r="AY261" s="3">
        <v>0</v>
      </c>
      <c r="AZ261" s="3">
        <v>0</v>
      </c>
      <c r="BA261" s="3">
        <v>0</v>
      </c>
      <c r="BB261" s="3">
        <v>0</v>
      </c>
      <c r="BC261" s="3">
        <v>1</v>
      </c>
      <c r="BD261" s="3">
        <v>0</v>
      </c>
      <c r="BE261" s="3">
        <v>0</v>
      </c>
      <c r="BG261" s="2" t="s">
        <v>91</v>
      </c>
      <c r="BH261" s="3">
        <v>3</v>
      </c>
      <c r="BJ261" s="2" t="s">
        <v>96</v>
      </c>
      <c r="BL261" s="2" t="s">
        <v>123</v>
      </c>
      <c r="BM261" s="2" t="s">
        <v>123</v>
      </c>
      <c r="BN261" s="2" t="s">
        <v>124</v>
      </c>
      <c r="BO261" s="2" t="s">
        <v>125</v>
      </c>
      <c r="BP261" s="2" t="s">
        <v>242</v>
      </c>
      <c r="BQ261" s="2" t="s">
        <v>124</v>
      </c>
      <c r="BR261" s="2" t="s">
        <v>126</v>
      </c>
      <c r="BS261" s="2" t="s">
        <v>127</v>
      </c>
      <c r="BT261" s="2" t="s">
        <v>207</v>
      </c>
      <c r="BU261" s="2" t="s">
        <v>208</v>
      </c>
      <c r="BV261" s="2" t="s">
        <v>150</v>
      </c>
      <c r="BW261" s="2" t="s">
        <v>151</v>
      </c>
      <c r="BX261" s="2" t="s">
        <v>91</v>
      </c>
      <c r="BY26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61" s="2">
        <f>IF(AND(Cases[[#This Row],[Priority Level]]&gt;=3,Cases[[#This Row],[System Role]]&lt;&gt;"Productive"),1,0)</f>
        <v>0</v>
      </c>
      <c r="CA261" s="2">
        <f>IFERROR(IF(Cases[[#This Row],[Days at Customer]]&gt;MAX(1,Cases[[#This Row],[Days at SAP]]*2),1,0),0)</f>
        <v>1</v>
      </c>
      <c r="CB261" s="2">
        <f>IF(AND(Cases[[#This Row],[Initial Component]]&lt;&gt;"",Cases[[#This Row],[Component]]&lt;&gt;"",Cases[[#This Row],[Initial Component]]&lt;&gt;Cases[[#This Row],[Component]]),1,0)</f>
        <v>0</v>
      </c>
      <c r="CC261" s="2">
        <f>IF(OR(Cases[[#This Row],[Is Reopened]]="X",Cases[[#This Row],[No. of Reopenings]]&gt;0),1,0)</f>
        <v>0</v>
      </c>
      <c r="CD261" s="2">
        <f>IF(Cases[[#This Row],[Confirmation Type]]="Automatic",1,0)</f>
        <v>1</v>
      </c>
      <c r="CE261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62" spans="1:83" x14ac:dyDescent="0.2">
      <c r="A262" s="1" t="s">
        <v>1708</v>
      </c>
      <c r="B262" s="2" t="s">
        <v>1709</v>
      </c>
      <c r="C262" s="2" t="s">
        <v>1710</v>
      </c>
      <c r="D262" s="2" t="s">
        <v>238</v>
      </c>
      <c r="E262" s="3">
        <v>7.18</v>
      </c>
      <c r="F262" s="3">
        <v>44.41</v>
      </c>
      <c r="G262" s="2" t="s">
        <v>79</v>
      </c>
      <c r="H262" s="2" t="s">
        <v>80</v>
      </c>
      <c r="I262" s="3" t="s">
        <v>114</v>
      </c>
      <c r="J262" s="3">
        <v>97</v>
      </c>
      <c r="K262" s="2" t="s">
        <v>1711</v>
      </c>
      <c r="L262" s="4">
        <v>46089</v>
      </c>
      <c r="M262" s="4">
        <v>46081</v>
      </c>
      <c r="N262" s="2" t="s">
        <v>677</v>
      </c>
      <c r="O262" s="2" t="s">
        <v>181</v>
      </c>
      <c r="P262" s="2" t="s">
        <v>678</v>
      </c>
      <c r="Q262" s="2" t="s">
        <v>86</v>
      </c>
      <c r="R262" s="2" t="s">
        <v>1712</v>
      </c>
      <c r="S262" s="4">
        <v>46030</v>
      </c>
      <c r="T262" s="2" t="s">
        <v>1334</v>
      </c>
      <c r="U262" s="2" t="s">
        <v>181</v>
      </c>
      <c r="V262" s="2" t="s">
        <v>677</v>
      </c>
      <c r="W262" s="2" t="s">
        <v>86</v>
      </c>
      <c r="X262" s="2" t="s">
        <v>117</v>
      </c>
      <c r="Y262" s="3" t="s">
        <v>118</v>
      </c>
      <c r="Z262" s="3">
        <v>51.59</v>
      </c>
      <c r="AA262" s="2" t="s">
        <v>90</v>
      </c>
      <c r="AB262" s="2" t="s">
        <v>1712</v>
      </c>
      <c r="AC262" s="2" t="s">
        <v>1710</v>
      </c>
      <c r="AD262" t="str" cm="1">
        <f t="array" ref="AD26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262" s="2" t="s">
        <v>91</v>
      </c>
      <c r="AF262" s="2" t="s">
        <v>92</v>
      </c>
      <c r="AG262" s="2" t="s">
        <v>540</v>
      </c>
      <c r="AH262" s="2" t="s">
        <v>541</v>
      </c>
      <c r="AK262" s="2" t="s">
        <v>1713</v>
      </c>
      <c r="AN262" s="3">
        <v>1</v>
      </c>
      <c r="AO262" s="3">
        <v>1</v>
      </c>
      <c r="AP262" s="3">
        <v>1</v>
      </c>
      <c r="AQ262" s="3">
        <v>1</v>
      </c>
      <c r="AR262" s="3">
        <v>1</v>
      </c>
      <c r="AS262" s="3">
        <v>0</v>
      </c>
      <c r="AT262" s="3">
        <v>0</v>
      </c>
      <c r="AU262" s="3">
        <v>0</v>
      </c>
      <c r="AV262" s="3">
        <v>1</v>
      </c>
      <c r="AW262" s="3">
        <v>0</v>
      </c>
      <c r="AX262" s="3">
        <v>1</v>
      </c>
      <c r="AY262" s="3">
        <v>0</v>
      </c>
      <c r="AZ262" s="3">
        <v>0</v>
      </c>
      <c r="BA262" s="3">
        <v>0</v>
      </c>
      <c r="BB262" s="3">
        <v>0</v>
      </c>
      <c r="BC262" s="3">
        <v>1</v>
      </c>
      <c r="BD262" s="3">
        <v>0</v>
      </c>
      <c r="BE262" s="3">
        <v>0</v>
      </c>
      <c r="BG262" s="2" t="s">
        <v>91</v>
      </c>
      <c r="BH262" s="3">
        <v>3</v>
      </c>
      <c r="BJ262" s="2" t="s">
        <v>96</v>
      </c>
      <c r="BL262" s="2" t="s">
        <v>382</v>
      </c>
      <c r="BM262" s="2" t="s">
        <v>382</v>
      </c>
      <c r="BN262" s="2" t="s">
        <v>99</v>
      </c>
      <c r="BO262" s="2" t="s">
        <v>100</v>
      </c>
      <c r="BP262" s="2" t="s">
        <v>242</v>
      </c>
      <c r="BQ262" s="2" t="s">
        <v>383</v>
      </c>
      <c r="BR262" s="2" t="s">
        <v>384</v>
      </c>
      <c r="BS262" s="2" t="s">
        <v>713</v>
      </c>
      <c r="BT262" s="2" t="s">
        <v>1132</v>
      </c>
      <c r="BU262" s="2" t="s">
        <v>1133</v>
      </c>
      <c r="BV262" s="2" t="s">
        <v>150</v>
      </c>
      <c r="BW262" s="2" t="s">
        <v>151</v>
      </c>
      <c r="BX262" s="2" t="s">
        <v>91</v>
      </c>
      <c r="BY26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62" s="2">
        <f>IF(AND(Cases[[#This Row],[Priority Level]]&gt;=3,Cases[[#This Row],[System Role]]&lt;&gt;"Productive"),1,0)</f>
        <v>0</v>
      </c>
      <c r="CA262" s="2">
        <f>IFERROR(IF(Cases[[#This Row],[Days at Customer]]&gt;MAX(1,Cases[[#This Row],[Days at SAP]]*2),1,0),0)</f>
        <v>1</v>
      </c>
      <c r="CB262" s="2">
        <f>IF(AND(Cases[[#This Row],[Initial Component]]&lt;&gt;"",Cases[[#This Row],[Component]]&lt;&gt;"",Cases[[#This Row],[Initial Component]]&lt;&gt;Cases[[#This Row],[Component]]),1,0)</f>
        <v>0</v>
      </c>
      <c r="CC262" s="2">
        <f>IF(OR(Cases[[#This Row],[Is Reopened]]="X",Cases[[#This Row],[No. of Reopenings]]&gt;0),1,0)</f>
        <v>0</v>
      </c>
      <c r="CD262" s="2">
        <f>IF(Cases[[#This Row],[Confirmation Type]]="Automatic",1,0)</f>
        <v>1</v>
      </c>
      <c r="CE262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63" spans="1:83" x14ac:dyDescent="0.2">
      <c r="A263" s="1" t="s">
        <v>1714</v>
      </c>
      <c r="B263" s="2" t="s">
        <v>1715</v>
      </c>
      <c r="C263" s="2" t="s">
        <v>1716</v>
      </c>
      <c r="D263" s="2" t="s">
        <v>238</v>
      </c>
      <c r="E263" s="3">
        <v>24.81</v>
      </c>
      <c r="F263" s="3">
        <v>47.76</v>
      </c>
      <c r="G263" s="2" t="s">
        <v>79</v>
      </c>
      <c r="H263" s="2" t="s">
        <v>80</v>
      </c>
      <c r="I263" s="3" t="s">
        <v>114</v>
      </c>
      <c r="J263" s="3">
        <v>97</v>
      </c>
      <c r="K263" s="2" t="s">
        <v>1717</v>
      </c>
      <c r="L263" s="4">
        <v>46110</v>
      </c>
      <c r="M263" s="4">
        <v>46102</v>
      </c>
      <c r="N263" s="2" t="s">
        <v>180</v>
      </c>
      <c r="O263" s="2" t="s">
        <v>181</v>
      </c>
      <c r="P263" s="2" t="s">
        <v>260</v>
      </c>
      <c r="Q263" s="2" t="s">
        <v>86</v>
      </c>
      <c r="R263" s="2" t="s">
        <v>1718</v>
      </c>
      <c r="S263" s="4">
        <v>46030</v>
      </c>
      <c r="T263" s="2" t="s">
        <v>1334</v>
      </c>
      <c r="U263" s="2" t="s">
        <v>181</v>
      </c>
      <c r="V263" s="2" t="s">
        <v>677</v>
      </c>
      <c r="W263" s="2" t="s">
        <v>86</v>
      </c>
      <c r="X263" s="2" t="s">
        <v>117</v>
      </c>
      <c r="Y263" s="3" t="s">
        <v>118</v>
      </c>
      <c r="Z263" s="3">
        <v>72.569999999999993</v>
      </c>
      <c r="AA263" s="2" t="s">
        <v>90</v>
      </c>
      <c r="AB263" s="2" t="s">
        <v>247</v>
      </c>
      <c r="AC263" s="2" t="s">
        <v>245</v>
      </c>
      <c r="AD263" t="str" cm="1">
        <f t="array" ref="AD26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263" s="2" t="s">
        <v>139</v>
      </c>
      <c r="AF263" s="2" t="s">
        <v>92</v>
      </c>
      <c r="AG263" s="2" t="s">
        <v>527</v>
      </c>
      <c r="AH263" s="2" t="s">
        <v>528</v>
      </c>
      <c r="AJ263" s="2" t="s">
        <v>122</v>
      </c>
      <c r="AK263" s="2" t="s">
        <v>1719</v>
      </c>
      <c r="AN263" s="3">
        <v>1</v>
      </c>
      <c r="AO263" s="3">
        <v>1</v>
      </c>
      <c r="AP263" s="3">
        <v>1</v>
      </c>
      <c r="AQ263" s="3">
        <v>1</v>
      </c>
      <c r="AR263" s="3">
        <v>0</v>
      </c>
      <c r="AS263" s="3">
        <v>0</v>
      </c>
      <c r="AT263" s="3">
        <v>1</v>
      </c>
      <c r="AU263" s="3">
        <v>0</v>
      </c>
      <c r="AV263" s="3">
        <v>1</v>
      </c>
      <c r="AW263" s="3">
        <v>0</v>
      </c>
      <c r="AX263" s="3">
        <v>0</v>
      </c>
      <c r="AY263" s="3">
        <v>0</v>
      </c>
      <c r="AZ263" s="3">
        <v>1</v>
      </c>
      <c r="BA263" s="3">
        <v>1</v>
      </c>
      <c r="BB263" s="3">
        <v>0</v>
      </c>
      <c r="BC263" s="3">
        <v>0</v>
      </c>
      <c r="BD263" s="3">
        <v>5</v>
      </c>
      <c r="BE263" s="3">
        <v>0</v>
      </c>
      <c r="BG263" s="2" t="s">
        <v>139</v>
      </c>
      <c r="BH263" s="3">
        <v>2</v>
      </c>
      <c r="BJ263" s="2" t="s">
        <v>96</v>
      </c>
      <c r="BL263" s="2" t="s">
        <v>184</v>
      </c>
      <c r="BM263" s="2" t="s">
        <v>184</v>
      </c>
      <c r="BN263" s="2" t="s">
        <v>124</v>
      </c>
      <c r="BO263" s="2" t="s">
        <v>125</v>
      </c>
      <c r="BP263" s="2" t="s">
        <v>242</v>
      </c>
      <c r="BQ263" s="2" t="s">
        <v>124</v>
      </c>
      <c r="BR263" s="2" t="s">
        <v>126</v>
      </c>
      <c r="BS263" s="2" t="s">
        <v>713</v>
      </c>
      <c r="BT263" s="2" t="s">
        <v>343</v>
      </c>
      <c r="BU263" s="2" t="s">
        <v>714</v>
      </c>
      <c r="BV263" s="2" t="s">
        <v>166</v>
      </c>
      <c r="BW263" s="2" t="s">
        <v>167</v>
      </c>
      <c r="BX263" s="2" t="s">
        <v>91</v>
      </c>
      <c r="BY26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63" s="2">
        <f>IF(AND(Cases[[#This Row],[Priority Level]]&gt;=3,Cases[[#This Row],[System Role]]&lt;&gt;"Productive"),1,0)</f>
        <v>0</v>
      </c>
      <c r="CA263" s="2">
        <f>IFERROR(IF(Cases[[#This Row],[Days at Customer]]&gt;MAX(1,Cases[[#This Row],[Days at SAP]]*2),1,0),0)</f>
        <v>0</v>
      </c>
      <c r="CB263" s="2">
        <f>IF(AND(Cases[[#This Row],[Initial Component]]&lt;&gt;"",Cases[[#This Row],[Component]]&lt;&gt;"",Cases[[#This Row],[Initial Component]]&lt;&gt;Cases[[#This Row],[Component]]),1,0)</f>
        <v>1</v>
      </c>
      <c r="CC263" s="2">
        <f>IF(OR(Cases[[#This Row],[Is Reopened]]="X",Cases[[#This Row],[No. of Reopenings]]&gt;0),1,0)</f>
        <v>1</v>
      </c>
      <c r="CD263" s="2">
        <f>IF(Cases[[#This Row],[Confirmation Type]]="Automatic",1,0)</f>
        <v>1</v>
      </c>
      <c r="CE263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64" spans="1:83" x14ac:dyDescent="0.2">
      <c r="A264" s="1" t="s">
        <v>3187</v>
      </c>
      <c r="B264" s="2" t="s">
        <v>3188</v>
      </c>
      <c r="C264" s="2" t="s">
        <v>203</v>
      </c>
      <c r="D264" s="2" t="s">
        <v>78</v>
      </c>
      <c r="E264" s="3">
        <v>0</v>
      </c>
      <c r="F264" s="3">
        <v>0.19</v>
      </c>
      <c r="G264" s="2" t="s">
        <v>112</v>
      </c>
      <c r="H264" s="2" t="s">
        <v>113</v>
      </c>
      <c r="I264" s="3" t="s">
        <v>114</v>
      </c>
      <c r="J264" s="3">
        <v>189</v>
      </c>
      <c r="K264" s="2" t="s">
        <v>3189</v>
      </c>
      <c r="L264" s="4">
        <v>46033</v>
      </c>
      <c r="M264" s="4">
        <v>45939</v>
      </c>
      <c r="N264" s="2" t="s">
        <v>2727</v>
      </c>
      <c r="O264" s="2" t="s">
        <v>1805</v>
      </c>
      <c r="P264" s="2" t="s">
        <v>3126</v>
      </c>
      <c r="Q264" s="2" t="s">
        <v>1806</v>
      </c>
      <c r="R264" s="2" t="s">
        <v>205</v>
      </c>
      <c r="S264" s="4">
        <v>45938</v>
      </c>
      <c r="T264" s="2" t="s">
        <v>2727</v>
      </c>
      <c r="U264" s="2" t="s">
        <v>1805</v>
      </c>
      <c r="V264" s="2" t="s">
        <v>3126</v>
      </c>
      <c r="W264" s="2" t="s">
        <v>1806</v>
      </c>
      <c r="X264" s="2" t="s">
        <v>117</v>
      </c>
      <c r="Y264" s="3" t="s">
        <v>118</v>
      </c>
      <c r="Z264" s="3">
        <v>0.19</v>
      </c>
      <c r="AA264" s="2" t="s">
        <v>90</v>
      </c>
      <c r="AB264" s="2" t="s">
        <v>205</v>
      </c>
      <c r="AC264" s="2" t="s">
        <v>203</v>
      </c>
      <c r="AD264" t="str" cm="1">
        <f t="array" ref="AD26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264" s="2" t="s">
        <v>91</v>
      </c>
      <c r="AF264" s="2" t="s">
        <v>92</v>
      </c>
      <c r="AG264" s="2" t="s">
        <v>119</v>
      </c>
      <c r="AH264" s="2" t="s">
        <v>120</v>
      </c>
      <c r="AK264" s="2" t="s">
        <v>3190</v>
      </c>
      <c r="AN264" s="3">
        <v>1</v>
      </c>
      <c r="AO264" s="3">
        <v>1</v>
      </c>
      <c r="AP264" s="3">
        <v>1</v>
      </c>
      <c r="AQ264" s="3">
        <v>1</v>
      </c>
      <c r="AR264" s="3">
        <v>1</v>
      </c>
      <c r="AS264" s="3">
        <v>0</v>
      </c>
      <c r="AT264" s="3">
        <v>0</v>
      </c>
      <c r="AU264" s="3">
        <v>0</v>
      </c>
      <c r="AV264" s="3">
        <v>0</v>
      </c>
      <c r="AW264" s="3">
        <v>1</v>
      </c>
      <c r="AX264" s="3">
        <v>1</v>
      </c>
      <c r="AY264" s="3">
        <v>0</v>
      </c>
      <c r="AZ264" s="3">
        <v>0</v>
      </c>
      <c r="BA264" s="3">
        <v>1</v>
      </c>
      <c r="BB264" s="3">
        <v>0</v>
      </c>
      <c r="BC264" s="3">
        <v>0</v>
      </c>
      <c r="BD264" s="3">
        <v>0</v>
      </c>
      <c r="BE264" s="3">
        <v>0</v>
      </c>
      <c r="BG264" s="2" t="s">
        <v>91</v>
      </c>
      <c r="BH264" s="3">
        <v>3</v>
      </c>
      <c r="BI264" s="2" t="s">
        <v>122</v>
      </c>
      <c r="BJ264" s="2" t="s">
        <v>96</v>
      </c>
      <c r="BL264" s="2" t="s">
        <v>123</v>
      </c>
      <c r="BM264" s="2" t="s">
        <v>123</v>
      </c>
      <c r="BN264" s="2" t="s">
        <v>124</v>
      </c>
      <c r="BO264" s="2" t="s">
        <v>125</v>
      </c>
      <c r="BP264" s="2" t="s">
        <v>101</v>
      </c>
      <c r="BQ264" s="2" t="s">
        <v>124</v>
      </c>
      <c r="BR264" s="2" t="s">
        <v>126</v>
      </c>
      <c r="BS264" s="2" t="s">
        <v>127</v>
      </c>
      <c r="BT264" s="2" t="s">
        <v>199</v>
      </c>
      <c r="BU264" s="2" t="s">
        <v>200</v>
      </c>
      <c r="BV264" s="2" t="s">
        <v>166</v>
      </c>
      <c r="BW264" s="2" t="s">
        <v>167</v>
      </c>
      <c r="BX264" s="2" t="s">
        <v>91</v>
      </c>
      <c r="BY26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64" s="2">
        <f>IF(AND(Cases[[#This Row],[Priority Level]]&gt;=3,Cases[[#This Row],[System Role]]&lt;&gt;"Productive"),1,0)</f>
        <v>1</v>
      </c>
      <c r="CA264" s="2">
        <f>IFERROR(IF(Cases[[#This Row],[Days at Customer]]&gt;MAX(1,Cases[[#This Row],[Days at SAP]]*2),1,0),0)</f>
        <v>0</v>
      </c>
      <c r="CB264" s="2">
        <f>IF(AND(Cases[[#This Row],[Initial Component]]&lt;&gt;"",Cases[[#This Row],[Component]]&lt;&gt;"",Cases[[#This Row],[Initial Component]]&lt;&gt;Cases[[#This Row],[Component]]),1,0)</f>
        <v>0</v>
      </c>
      <c r="CC264" s="2">
        <f>IF(OR(Cases[[#This Row],[Is Reopened]]="X",Cases[[#This Row],[No. of Reopenings]]&gt;0),1,0)</f>
        <v>0</v>
      </c>
      <c r="CD264" s="2">
        <f>IF(Cases[[#This Row],[Confirmation Type]]="Automatic",1,0)</f>
        <v>0</v>
      </c>
      <c r="CE26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65" spans="1:83" x14ac:dyDescent="0.2">
      <c r="A265" s="1" t="s">
        <v>3498</v>
      </c>
      <c r="B265" s="2" t="s">
        <v>2970</v>
      </c>
      <c r="C265" s="2" t="s">
        <v>639</v>
      </c>
      <c r="D265" s="2" t="s">
        <v>238</v>
      </c>
      <c r="E265" s="3">
        <v>0.02</v>
      </c>
      <c r="F265" s="3">
        <v>21.74</v>
      </c>
      <c r="G265" s="2" t="s">
        <v>79</v>
      </c>
      <c r="H265" s="2" t="s">
        <v>178</v>
      </c>
      <c r="I265" s="3" t="s">
        <v>114</v>
      </c>
      <c r="J265" s="3">
        <v>210</v>
      </c>
      <c r="K265" s="2" t="s">
        <v>3499</v>
      </c>
      <c r="L265" s="4">
        <v>46033</v>
      </c>
      <c r="M265" s="4">
        <v>45938</v>
      </c>
      <c r="N265" s="2" t="s">
        <v>2727</v>
      </c>
      <c r="O265" s="2" t="s">
        <v>1805</v>
      </c>
      <c r="P265" s="2" t="s">
        <v>3126</v>
      </c>
      <c r="Q265" s="2" t="s">
        <v>1806</v>
      </c>
      <c r="R265" s="2" t="s">
        <v>641</v>
      </c>
      <c r="S265" s="4">
        <v>45917</v>
      </c>
      <c r="T265" s="2" t="s">
        <v>3264</v>
      </c>
      <c r="U265" s="2" t="s">
        <v>3265</v>
      </c>
      <c r="V265" s="2" t="s">
        <v>3423</v>
      </c>
      <c r="W265" s="2" t="s">
        <v>1806</v>
      </c>
      <c r="X265" s="2" t="s">
        <v>117</v>
      </c>
      <c r="Y265" s="3" t="s">
        <v>118</v>
      </c>
      <c r="Z265" s="3">
        <v>21.76</v>
      </c>
      <c r="AA265" s="2" t="s">
        <v>90</v>
      </c>
      <c r="AB265" s="2" t="s">
        <v>641</v>
      </c>
      <c r="AC265" s="2" t="s">
        <v>639</v>
      </c>
      <c r="AD265" t="str" cm="1">
        <f t="array" ref="AD26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265" s="2" t="s">
        <v>158</v>
      </c>
      <c r="AF265" s="2" t="s">
        <v>92</v>
      </c>
      <c r="AG265" s="2" t="s">
        <v>159</v>
      </c>
      <c r="AH265" s="2" t="s">
        <v>160</v>
      </c>
      <c r="AK265" s="2" t="s">
        <v>3500</v>
      </c>
      <c r="AN265" s="3">
        <v>1</v>
      </c>
      <c r="AO265" s="3">
        <v>0</v>
      </c>
      <c r="AP265" s="3">
        <v>1</v>
      </c>
      <c r="AQ265" s="3">
        <v>1</v>
      </c>
      <c r="AR265" s="3">
        <v>0</v>
      </c>
      <c r="AS265" s="3">
        <v>1</v>
      </c>
      <c r="AT265" s="3">
        <v>0</v>
      </c>
      <c r="AU265" s="3">
        <v>0</v>
      </c>
      <c r="AV265" s="3">
        <v>1</v>
      </c>
      <c r="AW265" s="3">
        <v>0</v>
      </c>
      <c r="AX265" s="3">
        <v>0</v>
      </c>
      <c r="AY265" s="3">
        <v>1</v>
      </c>
      <c r="AZ265" s="3">
        <v>0</v>
      </c>
      <c r="BA265" s="3">
        <v>1</v>
      </c>
      <c r="BB265" s="3">
        <v>0</v>
      </c>
      <c r="BC265" s="3">
        <v>0</v>
      </c>
      <c r="BD265" s="3">
        <v>0</v>
      </c>
      <c r="BE265" s="3">
        <v>0</v>
      </c>
      <c r="BG265" s="2" t="s">
        <v>158</v>
      </c>
      <c r="BH265" s="3">
        <v>1</v>
      </c>
      <c r="BJ265" s="2" t="s">
        <v>96</v>
      </c>
      <c r="BL265" s="2" t="s">
        <v>643</v>
      </c>
      <c r="BM265" s="2" t="s">
        <v>644</v>
      </c>
      <c r="BN265" s="2" t="s">
        <v>99</v>
      </c>
      <c r="BO265" s="2" t="s">
        <v>100</v>
      </c>
      <c r="BP265" s="2" t="s">
        <v>242</v>
      </c>
      <c r="BQ265" s="2" t="s">
        <v>102</v>
      </c>
      <c r="BR265" s="2" t="s">
        <v>103</v>
      </c>
      <c r="BS265" s="2" t="s">
        <v>127</v>
      </c>
      <c r="BT265" s="2" t="s">
        <v>645</v>
      </c>
      <c r="BU265" s="2" t="s">
        <v>2973</v>
      </c>
      <c r="BV265" s="2" t="s">
        <v>166</v>
      </c>
      <c r="BW265" s="2" t="s">
        <v>167</v>
      </c>
      <c r="BX265" s="2" t="s">
        <v>158</v>
      </c>
      <c r="BY26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65" s="2">
        <f>IF(AND(Cases[[#This Row],[Priority Level]]&gt;=3,Cases[[#This Row],[System Role]]&lt;&gt;"Productive"),1,0)</f>
        <v>0</v>
      </c>
      <c r="CA265" s="2">
        <f>IFERROR(IF(Cases[[#This Row],[Days at Customer]]&gt;MAX(1,Cases[[#This Row],[Days at SAP]]*2),1,0),0)</f>
        <v>1</v>
      </c>
      <c r="CB265" s="2">
        <f>IF(AND(Cases[[#This Row],[Initial Component]]&lt;&gt;"",Cases[[#This Row],[Component]]&lt;&gt;"",Cases[[#This Row],[Initial Component]]&lt;&gt;Cases[[#This Row],[Component]]),1,0)</f>
        <v>0</v>
      </c>
      <c r="CC265" s="2">
        <f>IF(OR(Cases[[#This Row],[Is Reopened]]="X",Cases[[#This Row],[No. of Reopenings]]&gt;0),1,0)</f>
        <v>0</v>
      </c>
      <c r="CD265" s="2">
        <f>IF(Cases[[#This Row],[Confirmation Type]]="Automatic",1,0)</f>
        <v>1</v>
      </c>
      <c r="CE265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66" spans="1:83" x14ac:dyDescent="0.2">
      <c r="A266" s="1" t="s">
        <v>1728</v>
      </c>
      <c r="B266" s="2" t="s">
        <v>1729</v>
      </c>
      <c r="C266" s="2" t="s">
        <v>1655</v>
      </c>
      <c r="D266" s="2" t="s">
        <v>238</v>
      </c>
      <c r="E266" s="3">
        <v>4.7</v>
      </c>
      <c r="F266" s="3">
        <v>21.73</v>
      </c>
      <c r="G266" s="2" t="s">
        <v>133</v>
      </c>
      <c r="H266" s="2" t="s">
        <v>324</v>
      </c>
      <c r="I266" s="3" t="s">
        <v>81</v>
      </c>
      <c r="J266" s="3">
        <v>98</v>
      </c>
      <c r="K266" s="2" t="s">
        <v>1730</v>
      </c>
      <c r="L266" s="4">
        <v>46061</v>
      </c>
      <c r="M266" s="4">
        <v>46055</v>
      </c>
      <c r="N266" s="2" t="s">
        <v>677</v>
      </c>
      <c r="O266" s="2" t="s">
        <v>181</v>
      </c>
      <c r="P266" s="2" t="s">
        <v>1165</v>
      </c>
      <c r="Q266" s="2" t="s">
        <v>86</v>
      </c>
      <c r="R266" s="2" t="s">
        <v>1657</v>
      </c>
      <c r="S266" s="4">
        <v>46029</v>
      </c>
      <c r="T266" s="2" t="s">
        <v>1334</v>
      </c>
      <c r="U266" s="2" t="s">
        <v>181</v>
      </c>
      <c r="V266" s="2" t="s">
        <v>677</v>
      </c>
      <c r="W266" s="2" t="s">
        <v>86</v>
      </c>
      <c r="X266" s="2" t="s">
        <v>88</v>
      </c>
      <c r="Y266" s="3" t="s">
        <v>89</v>
      </c>
      <c r="Z266" s="3">
        <v>26.44</v>
      </c>
      <c r="AA266" s="2" t="s">
        <v>90</v>
      </c>
      <c r="AB266" s="2" t="s">
        <v>1657</v>
      </c>
      <c r="AC266" s="2" t="s">
        <v>1655</v>
      </c>
      <c r="AD266" t="str" cm="1">
        <f t="array" ref="AD26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266" s="2" t="s">
        <v>139</v>
      </c>
      <c r="AF266" s="2" t="s">
        <v>92</v>
      </c>
      <c r="AG266" s="2" t="s">
        <v>93</v>
      </c>
      <c r="AH266" s="2" t="s">
        <v>94</v>
      </c>
      <c r="AK266" s="2" t="s">
        <v>1731</v>
      </c>
      <c r="AN266" s="3">
        <v>1</v>
      </c>
      <c r="AO266" s="3">
        <v>1</v>
      </c>
      <c r="AP266" s="3">
        <v>1</v>
      </c>
      <c r="AQ266" s="3">
        <v>1</v>
      </c>
      <c r="AR266" s="3">
        <v>0</v>
      </c>
      <c r="AS266" s="3">
        <v>0</v>
      </c>
      <c r="AT266" s="3">
        <v>1</v>
      </c>
      <c r="AU266" s="3">
        <v>0</v>
      </c>
      <c r="AV266" s="3">
        <v>1</v>
      </c>
      <c r="AW266" s="3">
        <v>0</v>
      </c>
      <c r="AX266" s="3">
        <v>0</v>
      </c>
      <c r="AY266" s="3">
        <v>0</v>
      </c>
      <c r="AZ266" s="3">
        <v>1</v>
      </c>
      <c r="BA266" s="3">
        <v>1</v>
      </c>
      <c r="BB266" s="3">
        <v>0</v>
      </c>
      <c r="BC266" s="3">
        <v>0</v>
      </c>
      <c r="BD266" s="3">
        <v>0</v>
      </c>
      <c r="BE266" s="3">
        <v>0</v>
      </c>
      <c r="BG266" s="2" t="s">
        <v>139</v>
      </c>
      <c r="BH266" s="3">
        <v>2</v>
      </c>
      <c r="BJ266" s="2" t="s">
        <v>96</v>
      </c>
      <c r="BL266" s="2" t="s">
        <v>184</v>
      </c>
      <c r="BM266" s="2" t="s">
        <v>184</v>
      </c>
      <c r="BN266" s="2" t="s">
        <v>124</v>
      </c>
      <c r="BO266" s="2" t="s">
        <v>125</v>
      </c>
      <c r="BP266" s="2" t="s">
        <v>242</v>
      </c>
      <c r="BQ266" s="2" t="s">
        <v>124</v>
      </c>
      <c r="BR266" s="2" t="s">
        <v>126</v>
      </c>
      <c r="BS266" s="2" t="s">
        <v>104</v>
      </c>
      <c r="BT266" s="2" t="s">
        <v>1659</v>
      </c>
      <c r="BU266" s="2" t="s">
        <v>1660</v>
      </c>
      <c r="BV266" s="2" t="s">
        <v>166</v>
      </c>
      <c r="BW266" s="2" t="s">
        <v>167</v>
      </c>
      <c r="BX266" s="2" t="s">
        <v>139</v>
      </c>
      <c r="BY26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66" s="2">
        <f>IF(AND(Cases[[#This Row],[Priority Level]]&gt;=3,Cases[[#This Row],[System Role]]&lt;&gt;"Productive"),1,0)</f>
        <v>0</v>
      </c>
      <c r="CA266" s="2">
        <f>IFERROR(IF(Cases[[#This Row],[Days at Customer]]&gt;MAX(1,Cases[[#This Row],[Days at SAP]]*2),1,0),0)</f>
        <v>1</v>
      </c>
      <c r="CB266" s="2">
        <f>IF(AND(Cases[[#This Row],[Initial Component]]&lt;&gt;"",Cases[[#This Row],[Component]]&lt;&gt;"",Cases[[#This Row],[Initial Component]]&lt;&gt;Cases[[#This Row],[Component]]),1,0)</f>
        <v>0</v>
      </c>
      <c r="CC266" s="2">
        <f>IF(OR(Cases[[#This Row],[Is Reopened]]="X",Cases[[#This Row],[No. of Reopenings]]&gt;0),1,0)</f>
        <v>0</v>
      </c>
      <c r="CD266" s="2">
        <f>IF(Cases[[#This Row],[Confirmation Type]]="Automatic",1,0)</f>
        <v>1</v>
      </c>
      <c r="CE266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67" spans="1:83" x14ac:dyDescent="0.2">
      <c r="A267" s="1" t="s">
        <v>1732</v>
      </c>
      <c r="B267" s="2" t="s">
        <v>1733</v>
      </c>
      <c r="C267" s="2" t="s">
        <v>1560</v>
      </c>
      <c r="D267" s="2" t="s">
        <v>78</v>
      </c>
      <c r="E267" s="3">
        <v>19.48</v>
      </c>
      <c r="F267" s="3">
        <v>23.18</v>
      </c>
      <c r="G267" s="2" t="s">
        <v>79</v>
      </c>
      <c r="H267" s="2" t="s">
        <v>80</v>
      </c>
      <c r="I267" s="3" t="s">
        <v>114</v>
      </c>
      <c r="J267" s="3">
        <v>98</v>
      </c>
      <c r="K267" s="2" t="s">
        <v>1734</v>
      </c>
      <c r="L267" s="4">
        <v>46075</v>
      </c>
      <c r="M267" s="4">
        <v>46072</v>
      </c>
      <c r="N267" s="2" t="s">
        <v>677</v>
      </c>
      <c r="O267" s="2" t="s">
        <v>181</v>
      </c>
      <c r="P267" s="2" t="s">
        <v>895</v>
      </c>
      <c r="Q267" s="2" t="s">
        <v>86</v>
      </c>
      <c r="R267" s="2" t="s">
        <v>1562</v>
      </c>
      <c r="S267" s="4">
        <v>46029</v>
      </c>
      <c r="T267" s="2" t="s">
        <v>1334</v>
      </c>
      <c r="U267" s="2" t="s">
        <v>181</v>
      </c>
      <c r="V267" s="2" t="s">
        <v>677</v>
      </c>
      <c r="W267" s="2" t="s">
        <v>86</v>
      </c>
      <c r="X267" s="2" t="s">
        <v>117</v>
      </c>
      <c r="Y267" s="3" t="s">
        <v>118</v>
      </c>
      <c r="Z267" s="3">
        <v>42.66</v>
      </c>
      <c r="AA267" s="2" t="s">
        <v>90</v>
      </c>
      <c r="AB267" s="2" t="s">
        <v>408</v>
      </c>
      <c r="AC267" s="2" t="s">
        <v>406</v>
      </c>
      <c r="AD267" t="str" cm="1">
        <f t="array" ref="AD26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267" s="2" t="s">
        <v>91</v>
      </c>
      <c r="AF267" s="2" t="s">
        <v>92</v>
      </c>
      <c r="AG267" s="2" t="s">
        <v>119</v>
      </c>
      <c r="AH267" s="2" t="s">
        <v>120</v>
      </c>
      <c r="AK267" s="2" t="s">
        <v>1735</v>
      </c>
      <c r="AN267" s="3">
        <v>1</v>
      </c>
      <c r="AO267" s="3">
        <v>1</v>
      </c>
      <c r="AP267" s="3">
        <v>1</v>
      </c>
      <c r="AQ267" s="3">
        <v>1</v>
      </c>
      <c r="AR267" s="3">
        <v>1</v>
      </c>
      <c r="AS267" s="3">
        <v>0</v>
      </c>
      <c r="AT267" s="3">
        <v>0</v>
      </c>
      <c r="AU267" s="3">
        <v>0</v>
      </c>
      <c r="AV267" s="3">
        <v>0</v>
      </c>
      <c r="AW267" s="3">
        <v>1</v>
      </c>
      <c r="AX267" s="3">
        <v>1</v>
      </c>
      <c r="AY267" s="3">
        <v>0</v>
      </c>
      <c r="AZ267" s="3">
        <v>0</v>
      </c>
      <c r="BA267" s="3">
        <v>0</v>
      </c>
      <c r="BB267" s="3">
        <v>0</v>
      </c>
      <c r="BC267" s="3">
        <v>1</v>
      </c>
      <c r="BD267" s="3">
        <v>0</v>
      </c>
      <c r="BE267" s="3">
        <v>0</v>
      </c>
      <c r="BG267" s="2" t="s">
        <v>91</v>
      </c>
      <c r="BH267" s="3">
        <v>3</v>
      </c>
      <c r="BJ267" s="2" t="s">
        <v>96</v>
      </c>
      <c r="BL267" s="2" t="s">
        <v>123</v>
      </c>
      <c r="BM267" s="2" t="s">
        <v>123</v>
      </c>
      <c r="BN267" s="2" t="s">
        <v>124</v>
      </c>
      <c r="BO267" s="2" t="s">
        <v>125</v>
      </c>
      <c r="BP267" s="2" t="s">
        <v>101</v>
      </c>
      <c r="BQ267" s="2" t="s">
        <v>124</v>
      </c>
      <c r="BR267" s="2" t="s">
        <v>126</v>
      </c>
      <c r="BS267" s="2" t="s">
        <v>127</v>
      </c>
      <c r="BT267" s="2" t="s">
        <v>207</v>
      </c>
      <c r="BU267" s="2" t="s">
        <v>208</v>
      </c>
      <c r="BV267" s="2" t="s">
        <v>150</v>
      </c>
      <c r="BW267" s="2" t="s">
        <v>151</v>
      </c>
      <c r="BX267" s="2" t="s">
        <v>91</v>
      </c>
      <c r="BY26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67" s="2">
        <f>IF(AND(Cases[[#This Row],[Priority Level]]&gt;=3,Cases[[#This Row],[System Role]]&lt;&gt;"Productive"),1,0)</f>
        <v>0</v>
      </c>
      <c r="CA267" s="2">
        <f>IFERROR(IF(Cases[[#This Row],[Days at Customer]]&gt;MAX(1,Cases[[#This Row],[Days at SAP]]*2),1,0),0)</f>
        <v>0</v>
      </c>
      <c r="CB267" s="2">
        <f>IF(AND(Cases[[#This Row],[Initial Component]]&lt;&gt;"",Cases[[#This Row],[Component]]&lt;&gt;"",Cases[[#This Row],[Initial Component]]&lt;&gt;Cases[[#This Row],[Component]]),1,0)</f>
        <v>1</v>
      </c>
      <c r="CC267" s="2">
        <f>IF(OR(Cases[[#This Row],[Is Reopened]]="X",Cases[[#This Row],[No. of Reopenings]]&gt;0),1,0)</f>
        <v>0</v>
      </c>
      <c r="CD267" s="2">
        <f>IF(Cases[[#This Row],[Confirmation Type]]="Automatic",1,0)</f>
        <v>0</v>
      </c>
      <c r="CE267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68" spans="1:83" x14ac:dyDescent="0.2">
      <c r="A268" s="1" t="s">
        <v>3548</v>
      </c>
      <c r="B268" s="2" t="s">
        <v>3549</v>
      </c>
      <c r="C268" s="2" t="s">
        <v>203</v>
      </c>
      <c r="D268" s="2" t="s">
        <v>238</v>
      </c>
      <c r="E268" s="3">
        <v>0</v>
      </c>
      <c r="F268" s="3">
        <v>21.5</v>
      </c>
      <c r="G268" s="2" t="s">
        <v>112</v>
      </c>
      <c r="H268" s="2" t="s">
        <v>113</v>
      </c>
      <c r="I268" s="3" t="s">
        <v>114</v>
      </c>
      <c r="J268" s="3">
        <v>215</v>
      </c>
      <c r="K268" s="2" t="s">
        <v>3550</v>
      </c>
      <c r="L268" s="4">
        <v>46033</v>
      </c>
      <c r="M268" s="4">
        <v>45937</v>
      </c>
      <c r="N268" s="2" t="s">
        <v>2727</v>
      </c>
      <c r="O268" s="2" t="s">
        <v>1805</v>
      </c>
      <c r="P268" s="2" t="s">
        <v>3126</v>
      </c>
      <c r="Q268" s="2" t="s">
        <v>1806</v>
      </c>
      <c r="R268" s="2" t="s">
        <v>205</v>
      </c>
      <c r="S268" s="4">
        <v>45912</v>
      </c>
      <c r="T268" s="2" t="s">
        <v>3264</v>
      </c>
      <c r="U268" s="2" t="s">
        <v>3265</v>
      </c>
      <c r="V268" s="2" t="s">
        <v>3540</v>
      </c>
      <c r="W268" s="2" t="s">
        <v>1806</v>
      </c>
      <c r="X268" s="2" t="s">
        <v>117</v>
      </c>
      <c r="Y268" s="3" t="s">
        <v>118</v>
      </c>
      <c r="Z268" s="3">
        <v>21.5</v>
      </c>
      <c r="AA268" s="2" t="s">
        <v>90</v>
      </c>
      <c r="AB268" s="2" t="s">
        <v>205</v>
      </c>
      <c r="AC268" s="2" t="s">
        <v>203</v>
      </c>
      <c r="AD268" t="str" cm="1">
        <f t="array" ref="AD26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268" s="2" t="s">
        <v>91</v>
      </c>
      <c r="AF268" s="2" t="s">
        <v>92</v>
      </c>
      <c r="AG268" s="2" t="s">
        <v>119</v>
      </c>
      <c r="AH268" s="2" t="s">
        <v>120</v>
      </c>
      <c r="AK268" s="2" t="s">
        <v>3551</v>
      </c>
      <c r="AN268" s="3">
        <v>1</v>
      </c>
      <c r="AO268" s="3">
        <v>0</v>
      </c>
      <c r="AP268" s="3">
        <v>1</v>
      </c>
      <c r="AQ268" s="3">
        <v>1</v>
      </c>
      <c r="AR268" s="3">
        <v>1</v>
      </c>
      <c r="AS268" s="3">
        <v>0</v>
      </c>
      <c r="AT268" s="3">
        <v>0</v>
      </c>
      <c r="AU268" s="3">
        <v>0</v>
      </c>
      <c r="AV268" s="3">
        <v>1</v>
      </c>
      <c r="AW268" s="3">
        <v>0</v>
      </c>
      <c r="AX268" s="3">
        <v>1</v>
      </c>
      <c r="AY268" s="3">
        <v>0</v>
      </c>
      <c r="AZ268" s="3">
        <v>0</v>
      </c>
      <c r="BA268" s="3">
        <v>0</v>
      </c>
      <c r="BB268" s="3">
        <v>0</v>
      </c>
      <c r="BC268" s="3">
        <v>1</v>
      </c>
      <c r="BD268" s="3">
        <v>0</v>
      </c>
      <c r="BE268" s="3">
        <v>0</v>
      </c>
      <c r="BG268" s="2" t="s">
        <v>91</v>
      </c>
      <c r="BH268" s="3">
        <v>3</v>
      </c>
      <c r="BI268" s="2" t="s">
        <v>122</v>
      </c>
      <c r="BJ268" s="2" t="s">
        <v>96</v>
      </c>
      <c r="BL268" s="2" t="s">
        <v>123</v>
      </c>
      <c r="BM268" s="2" t="s">
        <v>123</v>
      </c>
      <c r="BN268" s="2" t="s">
        <v>124</v>
      </c>
      <c r="BO268" s="2" t="s">
        <v>125</v>
      </c>
      <c r="BP268" s="2" t="s">
        <v>242</v>
      </c>
      <c r="BQ268" s="2" t="s">
        <v>124</v>
      </c>
      <c r="BR268" s="2" t="s">
        <v>126</v>
      </c>
      <c r="BS268" s="2" t="s">
        <v>127</v>
      </c>
      <c r="BT268" s="2" t="s">
        <v>207</v>
      </c>
      <c r="BU268" s="2" t="s">
        <v>208</v>
      </c>
      <c r="BV268" s="2" t="s">
        <v>150</v>
      </c>
      <c r="BW268" s="2" t="s">
        <v>151</v>
      </c>
      <c r="BX268" s="2" t="s">
        <v>91</v>
      </c>
      <c r="BY26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68" s="2">
        <f>IF(AND(Cases[[#This Row],[Priority Level]]&gt;=3,Cases[[#This Row],[System Role]]&lt;&gt;"Productive"),1,0)</f>
        <v>0</v>
      </c>
      <c r="CA268" s="2">
        <f>IFERROR(IF(Cases[[#This Row],[Days at Customer]]&gt;MAX(1,Cases[[#This Row],[Days at SAP]]*2),1,0),0)</f>
        <v>1</v>
      </c>
      <c r="CB268" s="2">
        <f>IF(AND(Cases[[#This Row],[Initial Component]]&lt;&gt;"",Cases[[#This Row],[Component]]&lt;&gt;"",Cases[[#This Row],[Initial Component]]&lt;&gt;Cases[[#This Row],[Component]]),1,0)</f>
        <v>0</v>
      </c>
      <c r="CC268" s="2">
        <f>IF(OR(Cases[[#This Row],[Is Reopened]]="X",Cases[[#This Row],[No. of Reopenings]]&gt;0),1,0)</f>
        <v>0</v>
      </c>
      <c r="CD268" s="2">
        <f>IF(Cases[[#This Row],[Confirmation Type]]="Automatic",1,0)</f>
        <v>1</v>
      </c>
      <c r="CE26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69" spans="1:83" x14ac:dyDescent="0.2">
      <c r="A269" s="1" t="s">
        <v>1740</v>
      </c>
      <c r="B269" s="2" t="s">
        <v>1741</v>
      </c>
      <c r="C269" s="2" t="s">
        <v>1742</v>
      </c>
      <c r="D269" s="2" t="s">
        <v>78</v>
      </c>
      <c r="E269" s="3">
        <v>0.88</v>
      </c>
      <c r="F269" s="3">
        <v>2.4</v>
      </c>
      <c r="G269" s="2" t="s">
        <v>190</v>
      </c>
      <c r="H269" s="2" t="s">
        <v>308</v>
      </c>
      <c r="I269" s="3" t="s">
        <v>114</v>
      </c>
      <c r="J269" s="3">
        <v>99</v>
      </c>
      <c r="K269" s="2" t="s">
        <v>1743</v>
      </c>
      <c r="L269" s="4">
        <v>46040</v>
      </c>
      <c r="M269" s="4">
        <v>46035</v>
      </c>
      <c r="N269" s="2" t="s">
        <v>1334</v>
      </c>
      <c r="O269" s="2" t="s">
        <v>181</v>
      </c>
      <c r="P269" s="2" t="s">
        <v>180</v>
      </c>
      <c r="Q269" s="2" t="s">
        <v>86</v>
      </c>
      <c r="R269" s="2" t="s">
        <v>1744</v>
      </c>
      <c r="S269" s="4">
        <v>46028</v>
      </c>
      <c r="T269" s="2" t="s">
        <v>1334</v>
      </c>
      <c r="U269" s="2" t="s">
        <v>181</v>
      </c>
      <c r="V269" s="2" t="s">
        <v>677</v>
      </c>
      <c r="W269" s="2" t="s">
        <v>86</v>
      </c>
      <c r="X269" s="2" t="s">
        <v>117</v>
      </c>
      <c r="Y269" s="3" t="s">
        <v>118</v>
      </c>
      <c r="Z269" s="3">
        <v>3.28</v>
      </c>
      <c r="AA269" s="2" t="s">
        <v>90</v>
      </c>
      <c r="AB269" s="2" t="s">
        <v>233</v>
      </c>
      <c r="AC269" s="2" t="s">
        <v>231</v>
      </c>
      <c r="AD269" t="str" cm="1">
        <f t="array" ref="AD26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269" s="2" t="s">
        <v>139</v>
      </c>
      <c r="AF269" s="2" t="s">
        <v>92</v>
      </c>
      <c r="AG269" s="2" t="s">
        <v>119</v>
      </c>
      <c r="AH269" s="2" t="s">
        <v>120</v>
      </c>
      <c r="AJ269" s="2" t="s">
        <v>122</v>
      </c>
      <c r="AK269" s="2" t="s">
        <v>1745</v>
      </c>
      <c r="AN269" s="3">
        <v>1</v>
      </c>
      <c r="AO269" s="3">
        <v>1</v>
      </c>
      <c r="AP269" s="3">
        <v>1</v>
      </c>
      <c r="AQ269" s="3">
        <v>1</v>
      </c>
      <c r="AR269" s="3">
        <v>0</v>
      </c>
      <c r="AS269" s="3">
        <v>0</v>
      </c>
      <c r="AT269" s="3">
        <v>1</v>
      </c>
      <c r="AU269" s="3">
        <v>0</v>
      </c>
      <c r="AV269" s="3">
        <v>0</v>
      </c>
      <c r="AW269" s="3">
        <v>1</v>
      </c>
      <c r="AX269" s="3">
        <v>0</v>
      </c>
      <c r="AY269" s="3">
        <v>0</v>
      </c>
      <c r="AZ269" s="3">
        <v>1</v>
      </c>
      <c r="BA269" s="3">
        <v>0</v>
      </c>
      <c r="BB269" s="3">
        <v>0</v>
      </c>
      <c r="BC269" s="3">
        <v>1</v>
      </c>
      <c r="BD269" s="3">
        <v>1</v>
      </c>
      <c r="BE269" s="3">
        <v>0</v>
      </c>
      <c r="BG269" s="2" t="s">
        <v>139</v>
      </c>
      <c r="BH269" s="3">
        <v>2</v>
      </c>
      <c r="BJ269" s="2" t="s">
        <v>96</v>
      </c>
      <c r="BL269" s="2" t="s">
        <v>382</v>
      </c>
      <c r="BM269" s="2" t="s">
        <v>382</v>
      </c>
      <c r="BN269" s="2" t="s">
        <v>99</v>
      </c>
      <c r="BO269" s="2" t="s">
        <v>100</v>
      </c>
      <c r="BP269" s="2" t="s">
        <v>101</v>
      </c>
      <c r="BQ269" s="2" t="s">
        <v>383</v>
      </c>
      <c r="BR269" s="2" t="s">
        <v>384</v>
      </c>
      <c r="BS269" s="2" t="s">
        <v>127</v>
      </c>
      <c r="BT269" s="2" t="s">
        <v>1000</v>
      </c>
      <c r="BU269" s="2" t="s">
        <v>1001</v>
      </c>
      <c r="BV269" s="2" t="s">
        <v>150</v>
      </c>
      <c r="BW269" s="2" t="s">
        <v>151</v>
      </c>
      <c r="BX269" s="2" t="s">
        <v>139</v>
      </c>
      <c r="BY26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69" s="2">
        <f>IF(AND(Cases[[#This Row],[Priority Level]]&gt;=3,Cases[[#This Row],[System Role]]&lt;&gt;"Productive"),1,0)</f>
        <v>0</v>
      </c>
      <c r="CA269" s="2">
        <f>IFERROR(IF(Cases[[#This Row],[Days at Customer]]&gt;MAX(1,Cases[[#This Row],[Days at SAP]]*2),1,0),0)</f>
        <v>1</v>
      </c>
      <c r="CB269" s="2">
        <f>IF(AND(Cases[[#This Row],[Initial Component]]&lt;&gt;"",Cases[[#This Row],[Component]]&lt;&gt;"",Cases[[#This Row],[Initial Component]]&lt;&gt;Cases[[#This Row],[Component]]),1,0)</f>
        <v>1</v>
      </c>
      <c r="CC269" s="2">
        <f>IF(OR(Cases[[#This Row],[Is Reopened]]="X",Cases[[#This Row],[No. of Reopenings]]&gt;0),1,0)</f>
        <v>1</v>
      </c>
      <c r="CD269" s="2">
        <f>IF(Cases[[#This Row],[Confirmation Type]]="Automatic",1,0)</f>
        <v>0</v>
      </c>
      <c r="CE269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270" spans="1:83" x14ac:dyDescent="0.2">
      <c r="A270" s="1" t="s">
        <v>1746</v>
      </c>
      <c r="B270" s="2" t="s">
        <v>1747</v>
      </c>
      <c r="C270" s="2" t="s">
        <v>633</v>
      </c>
      <c r="D270" s="2" t="s">
        <v>238</v>
      </c>
      <c r="E270" s="3">
        <v>1.7</v>
      </c>
      <c r="F270" s="3">
        <v>43.96</v>
      </c>
      <c r="G270" s="2" t="s">
        <v>588</v>
      </c>
      <c r="H270" s="2" t="s">
        <v>113</v>
      </c>
      <c r="I270" s="3" t="s">
        <v>114</v>
      </c>
      <c r="J270" s="3">
        <v>99</v>
      </c>
      <c r="K270" s="2" t="s">
        <v>1748</v>
      </c>
      <c r="L270" s="4">
        <v>46082</v>
      </c>
      <c r="M270" s="4">
        <v>46074</v>
      </c>
      <c r="N270" s="2" t="s">
        <v>677</v>
      </c>
      <c r="O270" s="2" t="s">
        <v>181</v>
      </c>
      <c r="P270" s="2" t="s">
        <v>895</v>
      </c>
      <c r="Q270" s="2" t="s">
        <v>86</v>
      </c>
      <c r="R270" s="2" t="s">
        <v>635</v>
      </c>
      <c r="S270" s="4">
        <v>46028</v>
      </c>
      <c r="T270" s="2" t="s">
        <v>1334</v>
      </c>
      <c r="U270" s="2" t="s">
        <v>181</v>
      </c>
      <c r="V270" s="2" t="s">
        <v>677</v>
      </c>
      <c r="W270" s="2" t="s">
        <v>86</v>
      </c>
      <c r="X270" s="2" t="s">
        <v>117</v>
      </c>
      <c r="Y270" s="3" t="s">
        <v>118</v>
      </c>
      <c r="Z270" s="3">
        <v>45.67</v>
      </c>
      <c r="AA270" s="2" t="s">
        <v>90</v>
      </c>
      <c r="AB270" s="2" t="s">
        <v>635</v>
      </c>
      <c r="AC270" s="2" t="s">
        <v>633</v>
      </c>
      <c r="AD270" t="str" cm="1">
        <f t="array" ref="AD27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270" s="2" t="s">
        <v>182</v>
      </c>
      <c r="AF270" s="2" t="s">
        <v>92</v>
      </c>
      <c r="AG270" s="2" t="s">
        <v>119</v>
      </c>
      <c r="AH270" s="2" t="s">
        <v>120</v>
      </c>
      <c r="AK270" s="2" t="s">
        <v>1749</v>
      </c>
      <c r="AN270" s="3">
        <v>1</v>
      </c>
      <c r="AO270" s="3">
        <v>1</v>
      </c>
      <c r="AP270" s="3">
        <v>1</v>
      </c>
      <c r="AQ270" s="3">
        <v>1</v>
      </c>
      <c r="AR270" s="3">
        <v>1</v>
      </c>
      <c r="AS270" s="3">
        <v>0</v>
      </c>
      <c r="AT270" s="3">
        <v>0</v>
      </c>
      <c r="AU270" s="3">
        <v>0</v>
      </c>
      <c r="AV270" s="3">
        <v>1</v>
      </c>
      <c r="AW270" s="3">
        <v>0</v>
      </c>
      <c r="AX270" s="3">
        <v>1</v>
      </c>
      <c r="AY270" s="3">
        <v>0</v>
      </c>
      <c r="AZ270" s="3">
        <v>0</v>
      </c>
      <c r="BA270" s="3">
        <v>0</v>
      </c>
      <c r="BB270" s="3">
        <v>0</v>
      </c>
      <c r="BC270" s="3">
        <v>1</v>
      </c>
      <c r="BD270" s="3">
        <v>0</v>
      </c>
      <c r="BE270" s="3">
        <v>0</v>
      </c>
      <c r="BG270" s="2" t="s">
        <v>91</v>
      </c>
      <c r="BH270" s="3">
        <v>3</v>
      </c>
      <c r="BJ270" s="2" t="s">
        <v>96</v>
      </c>
      <c r="BL270" s="2" t="s">
        <v>123</v>
      </c>
      <c r="BM270" s="2" t="s">
        <v>123</v>
      </c>
      <c r="BN270" s="2" t="s">
        <v>124</v>
      </c>
      <c r="BO270" s="2" t="s">
        <v>125</v>
      </c>
      <c r="BP270" s="2" t="s">
        <v>242</v>
      </c>
      <c r="BQ270" s="2" t="s">
        <v>124</v>
      </c>
      <c r="BR270" s="2" t="s">
        <v>126</v>
      </c>
      <c r="BS270" s="2" t="s">
        <v>127</v>
      </c>
      <c r="BT270" s="2" t="s">
        <v>207</v>
      </c>
      <c r="BU270" s="2" t="s">
        <v>208</v>
      </c>
      <c r="BV270" s="2" t="s">
        <v>150</v>
      </c>
      <c r="BW270" s="2" t="s">
        <v>151</v>
      </c>
      <c r="BX270" s="2" t="s">
        <v>182</v>
      </c>
      <c r="BY27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70" s="2">
        <f>IF(AND(Cases[[#This Row],[Priority Level]]&gt;=3,Cases[[#This Row],[System Role]]&lt;&gt;"Productive"),1,0)</f>
        <v>0</v>
      </c>
      <c r="CA270" s="2">
        <f>IFERROR(IF(Cases[[#This Row],[Days at Customer]]&gt;MAX(1,Cases[[#This Row],[Days at SAP]]*2),1,0),0)</f>
        <v>1</v>
      </c>
      <c r="CB270" s="2">
        <f>IF(AND(Cases[[#This Row],[Initial Component]]&lt;&gt;"",Cases[[#This Row],[Component]]&lt;&gt;"",Cases[[#This Row],[Initial Component]]&lt;&gt;Cases[[#This Row],[Component]]),1,0)</f>
        <v>0</v>
      </c>
      <c r="CC270" s="2">
        <f>IF(OR(Cases[[#This Row],[Is Reopened]]="X",Cases[[#This Row],[No. of Reopenings]]&gt;0),1,0)</f>
        <v>0</v>
      </c>
      <c r="CD270" s="2">
        <f>IF(Cases[[#This Row],[Confirmation Type]]="Automatic",1,0)</f>
        <v>1</v>
      </c>
      <c r="CE270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71" spans="1:83" x14ac:dyDescent="0.2">
      <c r="A271" s="1" t="s">
        <v>1750</v>
      </c>
      <c r="B271" s="2" t="s">
        <v>1751</v>
      </c>
      <c r="C271" s="2" t="s">
        <v>77</v>
      </c>
      <c r="D271" s="2" t="s">
        <v>78</v>
      </c>
      <c r="E271" s="3">
        <v>4.04</v>
      </c>
      <c r="F271" s="3">
        <v>38.07</v>
      </c>
      <c r="G271" s="2" t="s">
        <v>79</v>
      </c>
      <c r="H271" s="2" t="s">
        <v>178</v>
      </c>
      <c r="I271" s="3" t="s">
        <v>114</v>
      </c>
      <c r="J271" s="3">
        <v>99</v>
      </c>
      <c r="K271" s="2" t="s">
        <v>1752</v>
      </c>
      <c r="L271" s="4">
        <v>46096</v>
      </c>
      <c r="M271" s="4">
        <v>46070</v>
      </c>
      <c r="N271" s="2" t="s">
        <v>677</v>
      </c>
      <c r="O271" s="2" t="s">
        <v>181</v>
      </c>
      <c r="P271" s="2" t="s">
        <v>895</v>
      </c>
      <c r="Q271" s="2" t="s">
        <v>86</v>
      </c>
      <c r="R271" s="2" t="s">
        <v>87</v>
      </c>
      <c r="S271" s="4">
        <v>46028</v>
      </c>
      <c r="T271" s="2" t="s">
        <v>1334</v>
      </c>
      <c r="U271" s="2" t="s">
        <v>181</v>
      </c>
      <c r="V271" s="2" t="s">
        <v>677</v>
      </c>
      <c r="W271" s="2" t="s">
        <v>86</v>
      </c>
      <c r="X271" s="2" t="s">
        <v>117</v>
      </c>
      <c r="Y271" s="3" t="s">
        <v>118</v>
      </c>
      <c r="Z271" s="3">
        <v>42.11</v>
      </c>
      <c r="AA271" s="2" t="s">
        <v>90</v>
      </c>
      <c r="AB271" s="2" t="s">
        <v>87</v>
      </c>
      <c r="AC271" s="2" t="s">
        <v>77</v>
      </c>
      <c r="AD271" t="str" cm="1">
        <f t="array" ref="AD27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271" s="2" t="s">
        <v>91</v>
      </c>
      <c r="AF271" s="2" t="s">
        <v>92</v>
      </c>
      <c r="AG271" s="2" t="s">
        <v>119</v>
      </c>
      <c r="AH271" s="2" t="s">
        <v>120</v>
      </c>
      <c r="AJ271" s="2" t="s">
        <v>122</v>
      </c>
      <c r="AK271" s="2" t="s">
        <v>1753</v>
      </c>
      <c r="AN271" s="3">
        <v>1</v>
      </c>
      <c r="AO271" s="3">
        <v>1</v>
      </c>
      <c r="AP271" s="3">
        <v>1</v>
      </c>
      <c r="AQ271" s="3">
        <v>1</v>
      </c>
      <c r="AR271" s="3">
        <v>1</v>
      </c>
      <c r="AS271" s="3">
        <v>0</v>
      </c>
      <c r="AT271" s="3">
        <v>0</v>
      </c>
      <c r="AU271" s="3">
        <v>0</v>
      </c>
      <c r="AV271" s="3">
        <v>0</v>
      </c>
      <c r="AW271" s="3">
        <v>1</v>
      </c>
      <c r="AX271" s="3">
        <v>1</v>
      </c>
      <c r="AY271" s="3">
        <v>0</v>
      </c>
      <c r="AZ271" s="3">
        <v>0</v>
      </c>
      <c r="BA271" s="3">
        <v>1</v>
      </c>
      <c r="BB271" s="3">
        <v>0</v>
      </c>
      <c r="BC271" s="3">
        <v>0</v>
      </c>
      <c r="BD271" s="3">
        <v>1</v>
      </c>
      <c r="BE271" s="3">
        <v>0</v>
      </c>
      <c r="BG271" s="2" t="s">
        <v>91</v>
      </c>
      <c r="BH271" s="3">
        <v>3</v>
      </c>
      <c r="BJ271" s="2" t="s">
        <v>96</v>
      </c>
      <c r="BL271" s="2" t="s">
        <v>123</v>
      </c>
      <c r="BM271" s="2" t="s">
        <v>123</v>
      </c>
      <c r="BN271" s="2" t="s">
        <v>124</v>
      </c>
      <c r="BO271" s="2" t="s">
        <v>125</v>
      </c>
      <c r="BP271" s="2" t="s">
        <v>101</v>
      </c>
      <c r="BQ271" s="2" t="s">
        <v>124</v>
      </c>
      <c r="BR271" s="2" t="s">
        <v>126</v>
      </c>
      <c r="BS271" s="2" t="s">
        <v>127</v>
      </c>
      <c r="BT271" s="2" t="s">
        <v>199</v>
      </c>
      <c r="BU271" s="2" t="s">
        <v>200</v>
      </c>
      <c r="BV271" s="2" t="s">
        <v>166</v>
      </c>
      <c r="BW271" s="2" t="s">
        <v>167</v>
      </c>
      <c r="BX271" s="2" t="s">
        <v>91</v>
      </c>
      <c r="BY27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71" s="2">
        <f>IF(AND(Cases[[#This Row],[Priority Level]]&gt;=3,Cases[[#This Row],[System Role]]&lt;&gt;"Productive"),1,0)</f>
        <v>1</v>
      </c>
      <c r="CA271" s="2">
        <f>IFERROR(IF(Cases[[#This Row],[Days at Customer]]&gt;MAX(1,Cases[[#This Row],[Days at SAP]]*2),1,0),0)</f>
        <v>1</v>
      </c>
      <c r="CB271" s="2">
        <f>IF(AND(Cases[[#This Row],[Initial Component]]&lt;&gt;"",Cases[[#This Row],[Component]]&lt;&gt;"",Cases[[#This Row],[Initial Component]]&lt;&gt;Cases[[#This Row],[Component]]),1,0)</f>
        <v>0</v>
      </c>
      <c r="CC271" s="2">
        <f>IF(OR(Cases[[#This Row],[Is Reopened]]="X",Cases[[#This Row],[No. of Reopenings]]&gt;0),1,0)</f>
        <v>1</v>
      </c>
      <c r="CD271" s="2">
        <f>IF(Cases[[#This Row],[Confirmation Type]]="Automatic",1,0)</f>
        <v>0</v>
      </c>
      <c r="CE271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272" spans="1:83" x14ac:dyDescent="0.2">
      <c r="A272" s="1" t="s">
        <v>1754</v>
      </c>
      <c r="B272" s="2" t="s">
        <v>1755</v>
      </c>
      <c r="C272" s="2" t="s">
        <v>77</v>
      </c>
      <c r="D272" s="2" t="s">
        <v>78</v>
      </c>
      <c r="E272" s="3">
        <v>5.63</v>
      </c>
      <c r="F272" s="3">
        <v>8.14</v>
      </c>
      <c r="G272" s="2" t="s">
        <v>79</v>
      </c>
      <c r="H272" s="2" t="s">
        <v>178</v>
      </c>
      <c r="I272" s="3" t="s">
        <v>81</v>
      </c>
      <c r="J272" s="3">
        <v>99</v>
      </c>
      <c r="K272" s="2" t="s">
        <v>1756</v>
      </c>
      <c r="L272" s="4">
        <v>46047</v>
      </c>
      <c r="M272" s="4">
        <v>46042</v>
      </c>
      <c r="N272" s="2" t="s">
        <v>1334</v>
      </c>
      <c r="O272" s="2" t="s">
        <v>181</v>
      </c>
      <c r="P272" s="2" t="s">
        <v>83</v>
      </c>
      <c r="Q272" s="2" t="s">
        <v>86</v>
      </c>
      <c r="R272" s="2" t="s">
        <v>87</v>
      </c>
      <c r="S272" s="4">
        <v>46028</v>
      </c>
      <c r="T272" s="2" t="s">
        <v>1334</v>
      </c>
      <c r="U272" s="2" t="s">
        <v>181</v>
      </c>
      <c r="V272" s="2" t="s">
        <v>677</v>
      </c>
      <c r="W272" s="2" t="s">
        <v>86</v>
      </c>
      <c r="X272" s="2" t="s">
        <v>88</v>
      </c>
      <c r="Y272" s="3" t="s">
        <v>89</v>
      </c>
      <c r="Z272" s="3">
        <v>13.77</v>
      </c>
      <c r="AA272" s="2" t="s">
        <v>90</v>
      </c>
      <c r="AB272" s="2" t="s">
        <v>87</v>
      </c>
      <c r="AC272" s="2" t="s">
        <v>77</v>
      </c>
      <c r="AD272" t="str" cm="1">
        <f t="array" ref="AD27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272" s="2" t="s">
        <v>91</v>
      </c>
      <c r="AF272" s="2" t="s">
        <v>92</v>
      </c>
      <c r="AG272" s="2" t="s">
        <v>93</v>
      </c>
      <c r="AH272" s="2" t="s">
        <v>94</v>
      </c>
      <c r="AK272" s="2" t="s">
        <v>1757</v>
      </c>
      <c r="AN272" s="3">
        <v>1</v>
      </c>
      <c r="AO272" s="3">
        <v>1</v>
      </c>
      <c r="AP272" s="3">
        <v>1</v>
      </c>
      <c r="AQ272" s="3">
        <v>1</v>
      </c>
      <c r="AR272" s="3">
        <v>1</v>
      </c>
      <c r="AS272" s="3">
        <v>0</v>
      </c>
      <c r="AT272" s="3">
        <v>0</v>
      </c>
      <c r="AU272" s="3">
        <v>0</v>
      </c>
      <c r="AV272" s="3">
        <v>0</v>
      </c>
      <c r="AW272" s="3">
        <v>1</v>
      </c>
      <c r="AX272" s="3">
        <v>1</v>
      </c>
      <c r="AY272" s="3">
        <v>0</v>
      </c>
      <c r="AZ272" s="3">
        <v>0</v>
      </c>
      <c r="BA272" s="3">
        <v>1</v>
      </c>
      <c r="BB272" s="3">
        <v>0</v>
      </c>
      <c r="BC272" s="3">
        <v>0</v>
      </c>
      <c r="BD272" s="3">
        <v>0</v>
      </c>
      <c r="BE272" s="3">
        <v>0</v>
      </c>
      <c r="BG272" s="2" t="s">
        <v>91</v>
      </c>
      <c r="BH272" s="3">
        <v>3</v>
      </c>
      <c r="BJ272" s="2" t="s">
        <v>96</v>
      </c>
      <c r="BL272" s="2" t="s">
        <v>184</v>
      </c>
      <c r="BM272" s="2" t="s">
        <v>184</v>
      </c>
      <c r="BN272" s="2" t="s">
        <v>124</v>
      </c>
      <c r="BO272" s="2" t="s">
        <v>125</v>
      </c>
      <c r="BP272" s="2" t="s">
        <v>101</v>
      </c>
      <c r="BQ272" s="2" t="s">
        <v>124</v>
      </c>
      <c r="BR272" s="2" t="s">
        <v>126</v>
      </c>
      <c r="BS272" s="2" t="s">
        <v>104</v>
      </c>
      <c r="BT272" s="2" t="s">
        <v>343</v>
      </c>
      <c r="BU272" s="2" t="s">
        <v>344</v>
      </c>
      <c r="BV272" s="2" t="s">
        <v>166</v>
      </c>
      <c r="BW272" s="2" t="s">
        <v>167</v>
      </c>
      <c r="BX272" s="2" t="s">
        <v>91</v>
      </c>
      <c r="BY27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72" s="2">
        <f>IF(AND(Cases[[#This Row],[Priority Level]]&gt;=3,Cases[[#This Row],[System Role]]&lt;&gt;"Productive"),1,0)</f>
        <v>1</v>
      </c>
      <c r="CA272" s="2">
        <f>IFERROR(IF(Cases[[#This Row],[Days at Customer]]&gt;MAX(1,Cases[[#This Row],[Days at SAP]]*2),1,0),0)</f>
        <v>0</v>
      </c>
      <c r="CB272" s="2">
        <f>IF(AND(Cases[[#This Row],[Initial Component]]&lt;&gt;"",Cases[[#This Row],[Component]]&lt;&gt;"",Cases[[#This Row],[Initial Component]]&lt;&gt;Cases[[#This Row],[Component]]),1,0)</f>
        <v>0</v>
      </c>
      <c r="CC272" s="2">
        <f>IF(OR(Cases[[#This Row],[Is Reopened]]="X",Cases[[#This Row],[No. of Reopenings]]&gt;0),1,0)</f>
        <v>0</v>
      </c>
      <c r="CD272" s="2">
        <f>IF(Cases[[#This Row],[Confirmation Type]]="Automatic",1,0)</f>
        <v>0</v>
      </c>
      <c r="CE272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73" spans="1:83" x14ac:dyDescent="0.2">
      <c r="A273" s="1" t="s">
        <v>1758</v>
      </c>
      <c r="B273" s="2" t="s">
        <v>1759</v>
      </c>
      <c r="C273" s="2" t="s">
        <v>77</v>
      </c>
      <c r="D273" s="2" t="s">
        <v>78</v>
      </c>
      <c r="E273" s="3">
        <v>9.8699999999999992</v>
      </c>
      <c r="F273" s="3">
        <v>4.24</v>
      </c>
      <c r="G273" s="2" t="s">
        <v>79</v>
      </c>
      <c r="H273" s="2" t="s">
        <v>178</v>
      </c>
      <c r="I273" s="3" t="s">
        <v>114</v>
      </c>
      <c r="J273" s="3">
        <v>99</v>
      </c>
      <c r="K273" s="2" t="s">
        <v>1760</v>
      </c>
      <c r="L273" s="4">
        <v>46047</v>
      </c>
      <c r="M273" s="4">
        <v>46042</v>
      </c>
      <c r="N273" s="2" t="s">
        <v>1334</v>
      </c>
      <c r="O273" s="2" t="s">
        <v>181</v>
      </c>
      <c r="P273" s="2" t="s">
        <v>83</v>
      </c>
      <c r="Q273" s="2" t="s">
        <v>86</v>
      </c>
      <c r="R273" s="2" t="s">
        <v>87</v>
      </c>
      <c r="S273" s="4">
        <v>46028</v>
      </c>
      <c r="T273" s="2" t="s">
        <v>1334</v>
      </c>
      <c r="U273" s="2" t="s">
        <v>181</v>
      </c>
      <c r="V273" s="2" t="s">
        <v>677</v>
      </c>
      <c r="W273" s="2" t="s">
        <v>86</v>
      </c>
      <c r="X273" s="2" t="s">
        <v>117</v>
      </c>
      <c r="Y273" s="3" t="s">
        <v>118</v>
      </c>
      <c r="Z273" s="3">
        <v>14.11</v>
      </c>
      <c r="AA273" s="2" t="s">
        <v>90</v>
      </c>
      <c r="AB273" s="2" t="s">
        <v>87</v>
      </c>
      <c r="AC273" s="2" t="s">
        <v>77</v>
      </c>
      <c r="AD273" t="str" cm="1">
        <f t="array" ref="AD27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273" s="2" t="s">
        <v>91</v>
      </c>
      <c r="AF273" s="2" t="s">
        <v>92</v>
      </c>
      <c r="AG273" s="2" t="s">
        <v>119</v>
      </c>
      <c r="AH273" s="2" t="s">
        <v>120</v>
      </c>
      <c r="AK273" s="2" t="s">
        <v>1761</v>
      </c>
      <c r="AN273" s="3">
        <v>1</v>
      </c>
      <c r="AO273" s="3">
        <v>1</v>
      </c>
      <c r="AP273" s="3">
        <v>1</v>
      </c>
      <c r="AQ273" s="3">
        <v>1</v>
      </c>
      <c r="AR273" s="3">
        <v>1</v>
      </c>
      <c r="AS273" s="3">
        <v>0</v>
      </c>
      <c r="AT273" s="3">
        <v>0</v>
      </c>
      <c r="AU273" s="3">
        <v>0</v>
      </c>
      <c r="AV273" s="3">
        <v>0</v>
      </c>
      <c r="AW273" s="3">
        <v>1</v>
      </c>
      <c r="AX273" s="3">
        <v>1</v>
      </c>
      <c r="AY273" s="3">
        <v>0</v>
      </c>
      <c r="AZ273" s="3">
        <v>0</v>
      </c>
      <c r="BA273" s="3">
        <v>1</v>
      </c>
      <c r="BB273" s="3">
        <v>0</v>
      </c>
      <c r="BC273" s="3">
        <v>0</v>
      </c>
      <c r="BD273" s="3">
        <v>0</v>
      </c>
      <c r="BE273" s="3">
        <v>0</v>
      </c>
      <c r="BG273" s="2" t="s">
        <v>91</v>
      </c>
      <c r="BH273" s="3">
        <v>3</v>
      </c>
      <c r="BJ273" s="2" t="s">
        <v>96</v>
      </c>
      <c r="BL273" s="2" t="s">
        <v>123</v>
      </c>
      <c r="BM273" s="2" t="s">
        <v>123</v>
      </c>
      <c r="BN273" s="2" t="s">
        <v>124</v>
      </c>
      <c r="BO273" s="2" t="s">
        <v>125</v>
      </c>
      <c r="BP273" s="2" t="s">
        <v>101</v>
      </c>
      <c r="BQ273" s="2" t="s">
        <v>124</v>
      </c>
      <c r="BR273" s="2" t="s">
        <v>126</v>
      </c>
      <c r="BS273" s="2" t="s">
        <v>127</v>
      </c>
      <c r="BT273" s="2" t="s">
        <v>199</v>
      </c>
      <c r="BU273" s="2" t="s">
        <v>200</v>
      </c>
      <c r="BV273" s="2" t="s">
        <v>166</v>
      </c>
      <c r="BW273" s="2" t="s">
        <v>167</v>
      </c>
      <c r="BX273" s="2" t="s">
        <v>91</v>
      </c>
      <c r="BY27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73" s="2">
        <f>IF(AND(Cases[[#This Row],[Priority Level]]&gt;=3,Cases[[#This Row],[System Role]]&lt;&gt;"Productive"),1,0)</f>
        <v>1</v>
      </c>
      <c r="CA273" s="2">
        <f>IFERROR(IF(Cases[[#This Row],[Days at Customer]]&gt;MAX(1,Cases[[#This Row],[Days at SAP]]*2),1,0),0)</f>
        <v>0</v>
      </c>
      <c r="CB273" s="2">
        <f>IF(AND(Cases[[#This Row],[Initial Component]]&lt;&gt;"",Cases[[#This Row],[Component]]&lt;&gt;"",Cases[[#This Row],[Initial Component]]&lt;&gt;Cases[[#This Row],[Component]]),1,0)</f>
        <v>0</v>
      </c>
      <c r="CC273" s="2">
        <f>IF(OR(Cases[[#This Row],[Is Reopened]]="X",Cases[[#This Row],[No. of Reopenings]]&gt;0),1,0)</f>
        <v>0</v>
      </c>
      <c r="CD273" s="2">
        <f>IF(Cases[[#This Row],[Confirmation Type]]="Automatic",1,0)</f>
        <v>0</v>
      </c>
      <c r="CE273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74" spans="1:83" x14ac:dyDescent="0.2">
      <c r="A274" s="1" t="s">
        <v>3694</v>
      </c>
      <c r="B274" s="2" t="s">
        <v>3695</v>
      </c>
      <c r="C274" s="2" t="s">
        <v>203</v>
      </c>
      <c r="D274" s="2" t="s">
        <v>238</v>
      </c>
      <c r="E274" s="3">
        <v>0</v>
      </c>
      <c r="F274" s="3">
        <v>21.64</v>
      </c>
      <c r="G274" s="2" t="s">
        <v>112</v>
      </c>
      <c r="H274" s="2" t="s">
        <v>113</v>
      </c>
      <c r="I274" s="3" t="s">
        <v>114</v>
      </c>
      <c r="J274" s="3">
        <v>233</v>
      </c>
      <c r="K274" s="2" t="s">
        <v>3696</v>
      </c>
      <c r="L274" s="4">
        <v>46033</v>
      </c>
      <c r="M274" s="4">
        <v>45938</v>
      </c>
      <c r="N274" s="2" t="s">
        <v>2727</v>
      </c>
      <c r="O274" s="2" t="s">
        <v>1805</v>
      </c>
      <c r="P274" s="2" t="s">
        <v>3126</v>
      </c>
      <c r="Q274" s="2" t="s">
        <v>1806</v>
      </c>
      <c r="R274" s="2" t="s">
        <v>205</v>
      </c>
      <c r="S274" s="4">
        <v>45894</v>
      </c>
      <c r="T274" s="2" t="s">
        <v>3663</v>
      </c>
      <c r="U274" s="2" t="s">
        <v>3265</v>
      </c>
      <c r="V274" s="2" t="s">
        <v>3664</v>
      </c>
      <c r="W274" s="2" t="s">
        <v>1806</v>
      </c>
      <c r="X274" s="2" t="s">
        <v>117</v>
      </c>
      <c r="Y274" s="3" t="s">
        <v>118</v>
      </c>
      <c r="Z274" s="3">
        <v>21.64</v>
      </c>
      <c r="AA274" s="2" t="s">
        <v>90</v>
      </c>
      <c r="AB274" s="2" t="s">
        <v>205</v>
      </c>
      <c r="AC274" s="2" t="s">
        <v>203</v>
      </c>
      <c r="AD274" t="str" cm="1">
        <f t="array" ref="AD27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274" s="2" t="s">
        <v>91</v>
      </c>
      <c r="AF274" s="2" t="s">
        <v>92</v>
      </c>
      <c r="AG274" s="2" t="s">
        <v>119</v>
      </c>
      <c r="AH274" s="2" t="s">
        <v>120</v>
      </c>
      <c r="AK274" s="2" t="s">
        <v>3697</v>
      </c>
      <c r="AN274" s="3">
        <v>1</v>
      </c>
      <c r="AO274" s="3">
        <v>0</v>
      </c>
      <c r="AP274" s="3">
        <v>1</v>
      </c>
      <c r="AQ274" s="3">
        <v>1</v>
      </c>
      <c r="AR274" s="3">
        <v>1</v>
      </c>
      <c r="AS274" s="3">
        <v>0</v>
      </c>
      <c r="AT274" s="3">
        <v>0</v>
      </c>
      <c r="AU274" s="3">
        <v>0</v>
      </c>
      <c r="AV274" s="3">
        <v>1</v>
      </c>
      <c r="AW274" s="3">
        <v>0</v>
      </c>
      <c r="AX274" s="3">
        <v>1</v>
      </c>
      <c r="AY274" s="3">
        <v>0</v>
      </c>
      <c r="AZ274" s="3">
        <v>0</v>
      </c>
      <c r="BA274" s="3">
        <v>0</v>
      </c>
      <c r="BB274" s="3">
        <v>0</v>
      </c>
      <c r="BC274" s="3">
        <v>1</v>
      </c>
      <c r="BD274" s="3">
        <v>0</v>
      </c>
      <c r="BE274" s="3">
        <v>0</v>
      </c>
      <c r="BG274" s="2" t="s">
        <v>91</v>
      </c>
      <c r="BH274" s="3">
        <v>3</v>
      </c>
      <c r="BI274" s="2" t="s">
        <v>122</v>
      </c>
      <c r="BJ274" s="2" t="s">
        <v>96</v>
      </c>
      <c r="BL274" s="2" t="s">
        <v>123</v>
      </c>
      <c r="BM274" s="2" t="s">
        <v>123</v>
      </c>
      <c r="BN274" s="2" t="s">
        <v>124</v>
      </c>
      <c r="BO274" s="2" t="s">
        <v>125</v>
      </c>
      <c r="BP274" s="2" t="s">
        <v>242</v>
      </c>
      <c r="BQ274" s="2" t="s">
        <v>124</v>
      </c>
      <c r="BR274" s="2" t="s">
        <v>126</v>
      </c>
      <c r="BS274" s="2" t="s">
        <v>127</v>
      </c>
      <c r="BT274" s="2" t="s">
        <v>207</v>
      </c>
      <c r="BU274" s="2" t="s">
        <v>208</v>
      </c>
      <c r="BV274" s="2" t="s">
        <v>150</v>
      </c>
      <c r="BW274" s="2" t="s">
        <v>151</v>
      </c>
      <c r="BX274" s="2" t="s">
        <v>91</v>
      </c>
      <c r="BY27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74" s="2">
        <f>IF(AND(Cases[[#This Row],[Priority Level]]&gt;=3,Cases[[#This Row],[System Role]]&lt;&gt;"Productive"),1,0)</f>
        <v>0</v>
      </c>
      <c r="CA274" s="2">
        <f>IFERROR(IF(Cases[[#This Row],[Days at Customer]]&gt;MAX(1,Cases[[#This Row],[Days at SAP]]*2),1,0),0)</f>
        <v>1</v>
      </c>
      <c r="CB274" s="2">
        <f>IF(AND(Cases[[#This Row],[Initial Component]]&lt;&gt;"",Cases[[#This Row],[Component]]&lt;&gt;"",Cases[[#This Row],[Initial Component]]&lt;&gt;Cases[[#This Row],[Component]]),1,0)</f>
        <v>0</v>
      </c>
      <c r="CC274" s="2">
        <f>IF(OR(Cases[[#This Row],[Is Reopened]]="X",Cases[[#This Row],[No. of Reopenings]]&gt;0),1,0)</f>
        <v>0</v>
      </c>
      <c r="CD274" s="2">
        <f>IF(Cases[[#This Row],[Confirmation Type]]="Automatic",1,0)</f>
        <v>1</v>
      </c>
      <c r="CE27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75" spans="1:83" x14ac:dyDescent="0.2">
      <c r="A275" s="1" t="s">
        <v>1766</v>
      </c>
      <c r="B275" s="2" t="s">
        <v>1767</v>
      </c>
      <c r="C275" s="2" t="s">
        <v>731</v>
      </c>
      <c r="D275" s="2" t="s">
        <v>78</v>
      </c>
      <c r="E275" s="3">
        <v>6.66</v>
      </c>
      <c r="F275" s="3">
        <v>20.88</v>
      </c>
      <c r="G275" s="2" t="s">
        <v>79</v>
      </c>
      <c r="H275" s="2" t="s">
        <v>80</v>
      </c>
      <c r="I275" s="3" t="s">
        <v>114</v>
      </c>
      <c r="J275" s="3">
        <v>99</v>
      </c>
      <c r="K275" s="2" t="s">
        <v>1768</v>
      </c>
      <c r="L275" s="4">
        <v>46061</v>
      </c>
      <c r="M275" s="4">
        <v>46056</v>
      </c>
      <c r="N275" s="2" t="s">
        <v>677</v>
      </c>
      <c r="O275" s="2" t="s">
        <v>181</v>
      </c>
      <c r="P275" s="2" t="s">
        <v>1165</v>
      </c>
      <c r="Q275" s="2" t="s">
        <v>86</v>
      </c>
      <c r="R275" s="2" t="s">
        <v>734</v>
      </c>
      <c r="S275" s="4">
        <v>46028</v>
      </c>
      <c r="T275" s="2" t="s">
        <v>1334</v>
      </c>
      <c r="U275" s="2" t="s">
        <v>181</v>
      </c>
      <c r="V275" s="2" t="s">
        <v>677</v>
      </c>
      <c r="W275" s="2" t="s">
        <v>86</v>
      </c>
      <c r="X275" s="2" t="s">
        <v>117</v>
      </c>
      <c r="Y275" s="3" t="s">
        <v>118</v>
      </c>
      <c r="Z275" s="3">
        <v>27.54</v>
      </c>
      <c r="AA275" s="2" t="s">
        <v>90</v>
      </c>
      <c r="AB275" s="2" t="s">
        <v>292</v>
      </c>
      <c r="AC275" s="2" t="s">
        <v>289</v>
      </c>
      <c r="AD275" t="str" cm="1">
        <f t="array" ref="AD27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275" s="2" t="s">
        <v>139</v>
      </c>
      <c r="AF275" s="2" t="s">
        <v>92</v>
      </c>
      <c r="AG275" s="2" t="s">
        <v>527</v>
      </c>
      <c r="AH275" s="2" t="s">
        <v>528</v>
      </c>
      <c r="AK275" s="2" t="s">
        <v>1769</v>
      </c>
      <c r="AN275" s="3">
        <v>1</v>
      </c>
      <c r="AO275" s="3">
        <v>1</v>
      </c>
      <c r="AP275" s="3">
        <v>1</v>
      </c>
      <c r="AQ275" s="3">
        <v>1</v>
      </c>
      <c r="AR275" s="3">
        <v>0</v>
      </c>
      <c r="AS275" s="3">
        <v>0</v>
      </c>
      <c r="AT275" s="3">
        <v>1</v>
      </c>
      <c r="AU275" s="3">
        <v>0</v>
      </c>
      <c r="AV275" s="3">
        <v>0</v>
      </c>
      <c r="AW275" s="3">
        <v>1</v>
      </c>
      <c r="AX275" s="3">
        <v>0</v>
      </c>
      <c r="AY275" s="3">
        <v>0</v>
      </c>
      <c r="AZ275" s="3">
        <v>1</v>
      </c>
      <c r="BA275" s="3">
        <v>0</v>
      </c>
      <c r="BB275" s="3">
        <v>0</v>
      </c>
      <c r="BC275" s="3">
        <v>1</v>
      </c>
      <c r="BD275" s="3">
        <v>0</v>
      </c>
      <c r="BE275" s="3">
        <v>0</v>
      </c>
      <c r="BG275" s="2" t="s">
        <v>139</v>
      </c>
      <c r="BH275" s="3">
        <v>2</v>
      </c>
      <c r="BJ275" s="2" t="s">
        <v>96</v>
      </c>
      <c r="BL275" s="2" t="s">
        <v>184</v>
      </c>
      <c r="BM275" s="2" t="s">
        <v>184</v>
      </c>
      <c r="BN275" s="2" t="s">
        <v>124</v>
      </c>
      <c r="BO275" s="2" t="s">
        <v>125</v>
      </c>
      <c r="BP275" s="2" t="s">
        <v>101</v>
      </c>
      <c r="BQ275" s="2" t="s">
        <v>124</v>
      </c>
      <c r="BR275" s="2" t="s">
        <v>126</v>
      </c>
      <c r="BS275" s="2" t="s">
        <v>127</v>
      </c>
      <c r="BT275" s="2" t="s">
        <v>185</v>
      </c>
      <c r="BU275" s="2" t="s">
        <v>530</v>
      </c>
      <c r="BV275" s="2" t="s">
        <v>150</v>
      </c>
      <c r="BW275" s="2" t="s">
        <v>151</v>
      </c>
      <c r="BX275" s="2" t="s">
        <v>139</v>
      </c>
      <c r="BY27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75" s="2">
        <f>IF(AND(Cases[[#This Row],[Priority Level]]&gt;=3,Cases[[#This Row],[System Role]]&lt;&gt;"Productive"),1,0)</f>
        <v>0</v>
      </c>
      <c r="CA275" s="2">
        <f>IFERROR(IF(Cases[[#This Row],[Days at Customer]]&gt;MAX(1,Cases[[#This Row],[Days at SAP]]*2),1,0),0)</f>
        <v>1</v>
      </c>
      <c r="CB275" s="2">
        <f>IF(AND(Cases[[#This Row],[Initial Component]]&lt;&gt;"",Cases[[#This Row],[Component]]&lt;&gt;"",Cases[[#This Row],[Initial Component]]&lt;&gt;Cases[[#This Row],[Component]]),1,0)</f>
        <v>1</v>
      </c>
      <c r="CC275" s="2">
        <f>IF(OR(Cases[[#This Row],[Is Reopened]]="X",Cases[[#This Row],[No. of Reopenings]]&gt;0),1,0)</f>
        <v>0</v>
      </c>
      <c r="CD275" s="2">
        <f>IF(Cases[[#This Row],[Confirmation Type]]="Automatic",1,0)</f>
        <v>0</v>
      </c>
      <c r="CE275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76" spans="1:83" x14ac:dyDescent="0.2">
      <c r="A276" s="1" t="s">
        <v>1770</v>
      </c>
      <c r="B276" s="2" t="s">
        <v>1771</v>
      </c>
      <c r="C276" s="2" t="s">
        <v>1696</v>
      </c>
      <c r="D276" s="2" t="s">
        <v>238</v>
      </c>
      <c r="E276" s="3">
        <v>11.4</v>
      </c>
      <c r="F276" s="3">
        <v>27.21</v>
      </c>
      <c r="G276" s="2" t="s">
        <v>79</v>
      </c>
      <c r="H276" s="2" t="s">
        <v>178</v>
      </c>
      <c r="I276" s="3" t="s">
        <v>114</v>
      </c>
      <c r="J276" s="3">
        <v>99</v>
      </c>
      <c r="K276" s="2" t="s">
        <v>1772</v>
      </c>
      <c r="L276" s="4">
        <v>46068</v>
      </c>
      <c r="M276" s="4">
        <v>46066</v>
      </c>
      <c r="N276" s="2" t="s">
        <v>677</v>
      </c>
      <c r="O276" s="2" t="s">
        <v>181</v>
      </c>
      <c r="P276" s="2" t="s">
        <v>1079</v>
      </c>
      <c r="Q276" s="2" t="s">
        <v>86</v>
      </c>
      <c r="R276" s="2" t="s">
        <v>1698</v>
      </c>
      <c r="S276" s="4">
        <v>46028</v>
      </c>
      <c r="T276" s="2" t="s">
        <v>1334</v>
      </c>
      <c r="U276" s="2" t="s">
        <v>181</v>
      </c>
      <c r="V276" s="2" t="s">
        <v>677</v>
      </c>
      <c r="W276" s="2" t="s">
        <v>86</v>
      </c>
      <c r="X276" s="2" t="s">
        <v>117</v>
      </c>
      <c r="Y276" s="3" t="s">
        <v>118</v>
      </c>
      <c r="Z276" s="3">
        <v>38.619999999999997</v>
      </c>
      <c r="AA276" s="2" t="s">
        <v>90</v>
      </c>
      <c r="AB276" s="2" t="s">
        <v>1773</v>
      </c>
      <c r="AC276" s="2" t="s">
        <v>1774</v>
      </c>
      <c r="AD276" t="str" cm="1">
        <f t="array" ref="AD27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276" s="2" t="s">
        <v>139</v>
      </c>
      <c r="AF276" s="2" t="s">
        <v>92</v>
      </c>
      <c r="AG276" s="2" t="s">
        <v>119</v>
      </c>
      <c r="AH276" s="2" t="s">
        <v>120</v>
      </c>
      <c r="AK276" s="2" t="s">
        <v>1775</v>
      </c>
      <c r="AN276" s="3">
        <v>1</v>
      </c>
      <c r="AO276" s="3">
        <v>1</v>
      </c>
      <c r="AP276" s="3">
        <v>1</v>
      </c>
      <c r="AQ276" s="3">
        <v>1</v>
      </c>
      <c r="AR276" s="3">
        <v>0</v>
      </c>
      <c r="AS276" s="3">
        <v>0</v>
      </c>
      <c r="AT276" s="3">
        <v>1</v>
      </c>
      <c r="AU276" s="3">
        <v>0</v>
      </c>
      <c r="AV276" s="3">
        <v>1</v>
      </c>
      <c r="AW276" s="3">
        <v>0</v>
      </c>
      <c r="AX276" s="3">
        <v>0</v>
      </c>
      <c r="AY276" s="3">
        <v>0</v>
      </c>
      <c r="AZ276" s="3">
        <v>1</v>
      </c>
      <c r="BA276" s="3">
        <v>0</v>
      </c>
      <c r="BB276" s="3">
        <v>0</v>
      </c>
      <c r="BC276" s="3">
        <v>1</v>
      </c>
      <c r="BD276" s="3">
        <v>0</v>
      </c>
      <c r="BE276" s="3">
        <v>0</v>
      </c>
      <c r="BG276" s="2" t="s">
        <v>139</v>
      </c>
      <c r="BH276" s="3">
        <v>2</v>
      </c>
      <c r="BJ276" s="2" t="s">
        <v>96</v>
      </c>
      <c r="BL276" s="2" t="s">
        <v>123</v>
      </c>
      <c r="BM276" s="2" t="s">
        <v>123</v>
      </c>
      <c r="BN276" s="2" t="s">
        <v>124</v>
      </c>
      <c r="BO276" s="2" t="s">
        <v>125</v>
      </c>
      <c r="BP276" s="2" t="s">
        <v>242</v>
      </c>
      <c r="BQ276" s="2" t="s">
        <v>124</v>
      </c>
      <c r="BR276" s="2" t="s">
        <v>126</v>
      </c>
      <c r="BS276" s="2" t="s">
        <v>127</v>
      </c>
      <c r="BT276" s="2" t="s">
        <v>174</v>
      </c>
      <c r="BU276" s="2" t="s">
        <v>175</v>
      </c>
      <c r="BV276" s="2" t="s">
        <v>150</v>
      </c>
      <c r="BW276" s="2" t="s">
        <v>151</v>
      </c>
      <c r="BX276" s="2" t="s">
        <v>91</v>
      </c>
      <c r="BY27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76" s="2">
        <f>IF(AND(Cases[[#This Row],[Priority Level]]&gt;=3,Cases[[#This Row],[System Role]]&lt;&gt;"Productive"),1,0)</f>
        <v>0</v>
      </c>
      <c r="CA276" s="2">
        <f>IFERROR(IF(Cases[[#This Row],[Days at Customer]]&gt;MAX(1,Cases[[#This Row],[Days at SAP]]*2),1,0),0)</f>
        <v>1</v>
      </c>
      <c r="CB276" s="2">
        <f>IF(AND(Cases[[#This Row],[Initial Component]]&lt;&gt;"",Cases[[#This Row],[Component]]&lt;&gt;"",Cases[[#This Row],[Initial Component]]&lt;&gt;Cases[[#This Row],[Component]]),1,0)</f>
        <v>1</v>
      </c>
      <c r="CC276" s="2">
        <f>IF(OR(Cases[[#This Row],[Is Reopened]]="X",Cases[[#This Row],[No. of Reopenings]]&gt;0),1,0)</f>
        <v>0</v>
      </c>
      <c r="CD276" s="2">
        <f>IF(Cases[[#This Row],[Confirmation Type]]="Automatic",1,0)</f>
        <v>1</v>
      </c>
      <c r="CE276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277" spans="1:83" x14ac:dyDescent="0.2">
      <c r="A277" s="1" t="s">
        <v>1673</v>
      </c>
      <c r="B277" s="2" t="s">
        <v>1674</v>
      </c>
      <c r="C277" s="2" t="s">
        <v>111</v>
      </c>
      <c r="D277" s="2" t="s">
        <v>78</v>
      </c>
      <c r="E277" s="3">
        <v>0</v>
      </c>
      <c r="F277" s="3">
        <v>3.69</v>
      </c>
      <c r="G277" s="2" t="s">
        <v>112</v>
      </c>
      <c r="H277" s="2" t="s">
        <v>113</v>
      </c>
      <c r="I277" s="3" t="s">
        <v>114</v>
      </c>
      <c r="J277" s="3">
        <v>96</v>
      </c>
      <c r="K277" s="2" t="s">
        <v>1675</v>
      </c>
      <c r="L277" s="4">
        <v>46040</v>
      </c>
      <c r="M277" s="4">
        <v>46035</v>
      </c>
      <c r="N277" s="2" t="s">
        <v>1334</v>
      </c>
      <c r="O277" s="2" t="s">
        <v>181</v>
      </c>
      <c r="P277" s="2" t="s">
        <v>180</v>
      </c>
      <c r="Q277" s="2" t="s">
        <v>86</v>
      </c>
      <c r="R277" s="2" t="s">
        <v>116</v>
      </c>
      <c r="S277" s="4">
        <v>46031</v>
      </c>
      <c r="T277" s="2" t="s">
        <v>1334</v>
      </c>
      <c r="U277" s="2" t="s">
        <v>181</v>
      </c>
      <c r="V277" s="2" t="s">
        <v>677</v>
      </c>
      <c r="W277" s="2" t="s">
        <v>86</v>
      </c>
      <c r="X277" s="2" t="s">
        <v>117</v>
      </c>
      <c r="Y277" s="3" t="s">
        <v>118</v>
      </c>
      <c r="Z277" s="3">
        <v>3.69</v>
      </c>
      <c r="AA277" s="2" t="s">
        <v>90</v>
      </c>
      <c r="AB277" s="2" t="s">
        <v>116</v>
      </c>
      <c r="AC277" s="2" t="s">
        <v>111</v>
      </c>
      <c r="AD277" t="str" cm="1">
        <f t="array" ref="AD27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277" s="2" t="s">
        <v>139</v>
      </c>
      <c r="AF277" s="2" t="s">
        <v>92</v>
      </c>
      <c r="AG277" s="2" t="s">
        <v>119</v>
      </c>
      <c r="AH277" s="2" t="s">
        <v>120</v>
      </c>
      <c r="AK277" s="2" t="s">
        <v>1676</v>
      </c>
      <c r="AN277" s="3">
        <v>1</v>
      </c>
      <c r="AO277" s="3">
        <v>1</v>
      </c>
      <c r="AP277" s="3">
        <v>1</v>
      </c>
      <c r="AQ277" s="3">
        <v>1</v>
      </c>
      <c r="AR277" s="3">
        <v>0</v>
      </c>
      <c r="AS277" s="3">
        <v>0</v>
      </c>
      <c r="AT277" s="3">
        <v>1</v>
      </c>
      <c r="AU277" s="3">
        <v>0</v>
      </c>
      <c r="AV277" s="3">
        <v>0</v>
      </c>
      <c r="AW277" s="3">
        <v>1</v>
      </c>
      <c r="AX277" s="3">
        <v>0</v>
      </c>
      <c r="AY277" s="3">
        <v>0</v>
      </c>
      <c r="AZ277" s="3">
        <v>1</v>
      </c>
      <c r="BA277" s="3">
        <v>0</v>
      </c>
      <c r="BB277" s="3">
        <v>0</v>
      </c>
      <c r="BC277" s="3">
        <v>1</v>
      </c>
      <c r="BD277" s="3">
        <v>0</v>
      </c>
      <c r="BE277" s="3">
        <v>0</v>
      </c>
      <c r="BG277" s="2" t="s">
        <v>139</v>
      </c>
      <c r="BH277" s="3">
        <v>2</v>
      </c>
      <c r="BI277" s="2" t="s">
        <v>122</v>
      </c>
      <c r="BJ277" s="2" t="s">
        <v>96</v>
      </c>
      <c r="BL277" s="2" t="s">
        <v>123</v>
      </c>
      <c r="BM277" s="2" t="s">
        <v>123</v>
      </c>
      <c r="BN277" s="2" t="s">
        <v>124</v>
      </c>
      <c r="BO277" s="2" t="s">
        <v>125</v>
      </c>
      <c r="BP277" s="2" t="s">
        <v>101</v>
      </c>
      <c r="BQ277" s="2" t="s">
        <v>124</v>
      </c>
      <c r="BR277" s="2" t="s">
        <v>126</v>
      </c>
      <c r="BS277" s="2" t="s">
        <v>127</v>
      </c>
      <c r="BT277" s="2" t="s">
        <v>207</v>
      </c>
      <c r="BU277" s="2" t="s">
        <v>208</v>
      </c>
      <c r="BV277" s="2" t="s">
        <v>150</v>
      </c>
      <c r="BW277" s="2" t="s">
        <v>151</v>
      </c>
      <c r="BX277" s="2" t="s">
        <v>139</v>
      </c>
      <c r="BY27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77" s="2">
        <f>IF(AND(Cases[[#This Row],[Priority Level]]&gt;=3,Cases[[#This Row],[System Role]]&lt;&gt;"Productive"),1,0)</f>
        <v>0</v>
      </c>
      <c r="CA277" s="2">
        <f>IFERROR(IF(Cases[[#This Row],[Days at Customer]]&gt;MAX(1,Cases[[#This Row],[Days at SAP]]*2),1,0),0)</f>
        <v>1</v>
      </c>
      <c r="CB277" s="2">
        <f>IF(AND(Cases[[#This Row],[Initial Component]]&lt;&gt;"",Cases[[#This Row],[Component]]&lt;&gt;"",Cases[[#This Row],[Initial Component]]&lt;&gt;Cases[[#This Row],[Component]]),1,0)</f>
        <v>0</v>
      </c>
      <c r="CC277" s="2">
        <f>IF(OR(Cases[[#This Row],[Is Reopened]]="X",Cases[[#This Row],[No. of Reopenings]]&gt;0),1,0)</f>
        <v>0</v>
      </c>
      <c r="CD277" s="2">
        <f>IF(Cases[[#This Row],[Confirmation Type]]="Automatic",1,0)</f>
        <v>0</v>
      </c>
      <c r="CE277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78" spans="1:83" x14ac:dyDescent="0.2">
      <c r="A278" s="1" t="s">
        <v>1780</v>
      </c>
      <c r="B278" s="2" t="s">
        <v>492</v>
      </c>
      <c r="C278" s="2" t="s">
        <v>493</v>
      </c>
      <c r="D278" s="2" t="s">
        <v>238</v>
      </c>
      <c r="E278" s="3">
        <v>2.38</v>
      </c>
      <c r="F278" s="3">
        <v>36.340000000000003</v>
      </c>
      <c r="G278" s="2" t="s">
        <v>79</v>
      </c>
      <c r="H278" s="2" t="s">
        <v>80</v>
      </c>
      <c r="I278" s="3" t="s">
        <v>81</v>
      </c>
      <c r="J278" s="3">
        <v>100</v>
      </c>
      <c r="K278" s="2" t="s">
        <v>1781</v>
      </c>
      <c r="L278" s="4">
        <v>46068</v>
      </c>
      <c r="M278" s="4">
        <v>46066</v>
      </c>
      <c r="N278" s="2" t="s">
        <v>677</v>
      </c>
      <c r="O278" s="2" t="s">
        <v>181</v>
      </c>
      <c r="P278" s="2" t="s">
        <v>1079</v>
      </c>
      <c r="Q278" s="2" t="s">
        <v>86</v>
      </c>
      <c r="R278" s="2" t="s">
        <v>495</v>
      </c>
      <c r="S278" s="4">
        <v>46027</v>
      </c>
      <c r="T278" s="2" t="s">
        <v>1334</v>
      </c>
      <c r="U278" s="2" t="s">
        <v>181</v>
      </c>
      <c r="V278" s="2" t="s">
        <v>677</v>
      </c>
      <c r="W278" s="2" t="s">
        <v>86</v>
      </c>
      <c r="X278" s="2" t="s">
        <v>88</v>
      </c>
      <c r="Y278" s="3" t="s">
        <v>89</v>
      </c>
      <c r="Z278" s="3">
        <v>38.72</v>
      </c>
      <c r="AA278" s="2" t="s">
        <v>90</v>
      </c>
      <c r="AB278" s="2" t="s">
        <v>495</v>
      </c>
      <c r="AC278" s="2" t="s">
        <v>493</v>
      </c>
      <c r="AD278" t="str" cm="1">
        <f t="array" ref="AD27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278" s="2" t="s">
        <v>139</v>
      </c>
      <c r="AF278" s="2" t="s">
        <v>92</v>
      </c>
      <c r="AG278" s="2" t="s">
        <v>496</v>
      </c>
      <c r="AH278" s="2" t="s">
        <v>497</v>
      </c>
      <c r="AK278" s="2" t="s">
        <v>1782</v>
      </c>
      <c r="AN278" s="3">
        <v>1</v>
      </c>
      <c r="AO278" s="3">
        <v>1</v>
      </c>
      <c r="AP278" s="3">
        <v>1</v>
      </c>
      <c r="AQ278" s="3">
        <v>1</v>
      </c>
      <c r="AR278" s="3">
        <v>0</v>
      </c>
      <c r="AS278" s="3">
        <v>0</v>
      </c>
      <c r="AT278" s="3">
        <v>1</v>
      </c>
      <c r="AU278" s="3">
        <v>0</v>
      </c>
      <c r="AV278" s="3">
        <v>1</v>
      </c>
      <c r="AW278" s="3">
        <v>0</v>
      </c>
      <c r="AX278" s="3">
        <v>0</v>
      </c>
      <c r="AY278" s="3">
        <v>0</v>
      </c>
      <c r="AZ278" s="3">
        <v>1</v>
      </c>
      <c r="BA278" s="3">
        <v>0</v>
      </c>
      <c r="BB278" s="3">
        <v>0</v>
      </c>
      <c r="BC278" s="3">
        <v>1</v>
      </c>
      <c r="BD278" s="3">
        <v>0</v>
      </c>
      <c r="BE278" s="3">
        <v>0</v>
      </c>
      <c r="BG278" s="2" t="s">
        <v>139</v>
      </c>
      <c r="BH278" s="3">
        <v>2</v>
      </c>
      <c r="BJ278" s="2" t="s">
        <v>96</v>
      </c>
      <c r="BL278" s="2" t="s">
        <v>162</v>
      </c>
      <c r="BM278" s="2" t="s">
        <v>163</v>
      </c>
      <c r="BN278" s="2" t="s">
        <v>99</v>
      </c>
      <c r="BO278" s="2" t="s">
        <v>100</v>
      </c>
      <c r="BP278" s="2" t="s">
        <v>242</v>
      </c>
      <c r="BQ278" s="2" t="s">
        <v>102</v>
      </c>
      <c r="BR278" s="2" t="s">
        <v>103</v>
      </c>
      <c r="BS278" s="2" t="s">
        <v>104</v>
      </c>
      <c r="BT278" s="2" t="s">
        <v>499</v>
      </c>
      <c r="BU278" s="2" t="s">
        <v>500</v>
      </c>
      <c r="BV278" s="2" t="s">
        <v>150</v>
      </c>
      <c r="BW278" s="2" t="s">
        <v>151</v>
      </c>
      <c r="BX278" s="2" t="s">
        <v>139</v>
      </c>
      <c r="BY27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78" s="2">
        <f>IF(AND(Cases[[#This Row],[Priority Level]]&gt;=3,Cases[[#This Row],[System Role]]&lt;&gt;"Productive"),1,0)</f>
        <v>0</v>
      </c>
      <c r="CA278" s="2">
        <f>IFERROR(IF(Cases[[#This Row],[Days at Customer]]&gt;MAX(1,Cases[[#This Row],[Days at SAP]]*2),1,0),0)</f>
        <v>1</v>
      </c>
      <c r="CB278" s="2">
        <f>IF(AND(Cases[[#This Row],[Initial Component]]&lt;&gt;"",Cases[[#This Row],[Component]]&lt;&gt;"",Cases[[#This Row],[Initial Component]]&lt;&gt;Cases[[#This Row],[Component]]),1,0)</f>
        <v>0</v>
      </c>
      <c r="CC278" s="2">
        <f>IF(OR(Cases[[#This Row],[Is Reopened]]="X",Cases[[#This Row],[No. of Reopenings]]&gt;0),1,0)</f>
        <v>0</v>
      </c>
      <c r="CD278" s="2">
        <f>IF(Cases[[#This Row],[Confirmation Type]]="Automatic",1,0)</f>
        <v>1</v>
      </c>
      <c r="CE27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79" spans="1:83" x14ac:dyDescent="0.2">
      <c r="A279" s="1" t="s">
        <v>1783</v>
      </c>
      <c r="B279" s="2" t="s">
        <v>1784</v>
      </c>
      <c r="C279" s="2" t="s">
        <v>1785</v>
      </c>
      <c r="D279" s="2" t="s">
        <v>78</v>
      </c>
      <c r="E279" s="3">
        <v>6.96</v>
      </c>
      <c r="F279" s="3">
        <v>7.8</v>
      </c>
      <c r="G279" s="2" t="s">
        <v>113</v>
      </c>
      <c r="H279" s="2" t="s">
        <v>113</v>
      </c>
      <c r="I279" s="3" t="s">
        <v>114</v>
      </c>
      <c r="J279" s="3">
        <v>103</v>
      </c>
      <c r="K279" s="2" t="s">
        <v>1786</v>
      </c>
      <c r="L279" s="4">
        <v>46052</v>
      </c>
      <c r="M279" s="4">
        <v>46044</v>
      </c>
      <c r="N279" s="2" t="s">
        <v>1334</v>
      </c>
      <c r="O279" s="2" t="s">
        <v>181</v>
      </c>
      <c r="P279" s="2" t="s">
        <v>83</v>
      </c>
      <c r="Q279" s="2" t="s">
        <v>86</v>
      </c>
      <c r="R279" s="2" t="s">
        <v>1787</v>
      </c>
      <c r="S279" s="4">
        <v>46024</v>
      </c>
      <c r="T279" s="2" t="s">
        <v>1334</v>
      </c>
      <c r="U279" s="2" t="s">
        <v>181</v>
      </c>
      <c r="V279" s="2" t="s">
        <v>1334</v>
      </c>
      <c r="W279" s="2" t="s">
        <v>86</v>
      </c>
      <c r="X279" s="2" t="s">
        <v>117</v>
      </c>
      <c r="Y279" s="3" t="s">
        <v>118</v>
      </c>
      <c r="Z279" s="3">
        <v>14.76</v>
      </c>
      <c r="AA279" s="2" t="s">
        <v>90</v>
      </c>
      <c r="AB279" s="2" t="s">
        <v>326</v>
      </c>
      <c r="AC279" s="2" t="s">
        <v>323</v>
      </c>
      <c r="AD279" t="str" cm="1">
        <f t="array" ref="AD27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279" s="2" t="s">
        <v>91</v>
      </c>
      <c r="AF279" s="2" t="s">
        <v>92</v>
      </c>
      <c r="AG279" s="2" t="s">
        <v>527</v>
      </c>
      <c r="AH279" s="2" t="s">
        <v>528</v>
      </c>
      <c r="AK279" s="2" t="s">
        <v>1788</v>
      </c>
      <c r="AN279" s="3">
        <v>1</v>
      </c>
      <c r="AO279" s="3">
        <v>1</v>
      </c>
      <c r="AP279" s="3">
        <v>1</v>
      </c>
      <c r="AQ279" s="3">
        <v>1</v>
      </c>
      <c r="AR279" s="3">
        <v>1</v>
      </c>
      <c r="AS279" s="3">
        <v>0</v>
      </c>
      <c r="AT279" s="3">
        <v>0</v>
      </c>
      <c r="AU279" s="3">
        <v>0</v>
      </c>
      <c r="AV279" s="3">
        <v>0</v>
      </c>
      <c r="AW279" s="3">
        <v>1</v>
      </c>
      <c r="AX279" s="3">
        <v>1</v>
      </c>
      <c r="AY279" s="3">
        <v>0</v>
      </c>
      <c r="AZ279" s="3">
        <v>0</v>
      </c>
      <c r="BA279" s="3">
        <v>1</v>
      </c>
      <c r="BB279" s="3">
        <v>0</v>
      </c>
      <c r="BC279" s="3">
        <v>0</v>
      </c>
      <c r="BE279" s="3">
        <v>0</v>
      </c>
      <c r="BG279" s="2" t="s">
        <v>91</v>
      </c>
      <c r="BH279" s="3">
        <v>3</v>
      </c>
      <c r="BJ279" s="2" t="s">
        <v>96</v>
      </c>
      <c r="BL279" s="2" t="s">
        <v>184</v>
      </c>
      <c r="BM279" s="2" t="s">
        <v>184</v>
      </c>
      <c r="BN279" s="2" t="s">
        <v>124</v>
      </c>
      <c r="BO279" s="2" t="s">
        <v>125</v>
      </c>
      <c r="BP279" s="2" t="s">
        <v>101</v>
      </c>
      <c r="BQ279" s="2" t="s">
        <v>124</v>
      </c>
      <c r="BR279" s="2" t="s">
        <v>126</v>
      </c>
      <c r="BS279" s="2" t="s">
        <v>127</v>
      </c>
      <c r="BT279" s="2" t="s">
        <v>1789</v>
      </c>
      <c r="BU279" s="2" t="s">
        <v>1790</v>
      </c>
      <c r="BV279" s="2" t="s">
        <v>166</v>
      </c>
      <c r="BW279" s="2" t="s">
        <v>167</v>
      </c>
      <c r="BX279" s="2" t="s">
        <v>91</v>
      </c>
      <c r="BY27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79" s="2">
        <f>IF(AND(Cases[[#This Row],[Priority Level]]&gt;=3,Cases[[#This Row],[System Role]]&lt;&gt;"Productive"),1,0)</f>
        <v>1</v>
      </c>
      <c r="CA279" s="2">
        <f>IFERROR(IF(Cases[[#This Row],[Days at Customer]]&gt;MAX(1,Cases[[#This Row],[Days at SAP]]*2),1,0),0)</f>
        <v>0</v>
      </c>
      <c r="CB279" s="2">
        <f>IF(AND(Cases[[#This Row],[Initial Component]]&lt;&gt;"",Cases[[#This Row],[Component]]&lt;&gt;"",Cases[[#This Row],[Initial Component]]&lt;&gt;Cases[[#This Row],[Component]]),1,0)</f>
        <v>1</v>
      </c>
      <c r="CC279" s="2">
        <f>IF(OR(Cases[[#This Row],[Is Reopened]]="X",Cases[[#This Row],[No. of Reopenings]]&gt;0),1,0)</f>
        <v>0</v>
      </c>
      <c r="CD279" s="2">
        <f>IF(Cases[[#This Row],[Confirmation Type]]="Automatic",1,0)</f>
        <v>0</v>
      </c>
      <c r="CE279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80" spans="1:83" x14ac:dyDescent="0.2">
      <c r="A280" s="1" t="s">
        <v>1791</v>
      </c>
      <c r="B280" s="2" t="s">
        <v>1792</v>
      </c>
      <c r="C280" s="2" t="s">
        <v>1785</v>
      </c>
      <c r="D280" s="2" t="s">
        <v>238</v>
      </c>
      <c r="E280" s="3">
        <v>5.16</v>
      </c>
      <c r="F280" s="3">
        <v>20.420000000000002</v>
      </c>
      <c r="G280" s="2" t="s">
        <v>113</v>
      </c>
      <c r="H280" s="2" t="s">
        <v>113</v>
      </c>
      <c r="I280" s="3" t="s">
        <v>81</v>
      </c>
      <c r="J280" s="3">
        <v>103</v>
      </c>
      <c r="K280" s="2" t="s">
        <v>1793</v>
      </c>
      <c r="L280" s="4">
        <v>46064</v>
      </c>
      <c r="M280" s="4">
        <v>46056</v>
      </c>
      <c r="N280" s="2" t="s">
        <v>677</v>
      </c>
      <c r="O280" s="2" t="s">
        <v>181</v>
      </c>
      <c r="P280" s="2" t="s">
        <v>1165</v>
      </c>
      <c r="Q280" s="2" t="s">
        <v>86</v>
      </c>
      <c r="R280" s="2" t="s">
        <v>1787</v>
      </c>
      <c r="S280" s="4">
        <v>46024</v>
      </c>
      <c r="T280" s="2" t="s">
        <v>1334</v>
      </c>
      <c r="U280" s="2" t="s">
        <v>181</v>
      </c>
      <c r="V280" s="2" t="s">
        <v>1334</v>
      </c>
      <c r="W280" s="2" t="s">
        <v>86</v>
      </c>
      <c r="X280" s="2" t="s">
        <v>88</v>
      </c>
      <c r="Y280" s="3" t="s">
        <v>89</v>
      </c>
      <c r="Z280" s="3">
        <v>25.58</v>
      </c>
      <c r="AA280" s="2" t="s">
        <v>90</v>
      </c>
      <c r="AB280" s="2" t="s">
        <v>326</v>
      </c>
      <c r="AC280" s="2" t="s">
        <v>323</v>
      </c>
      <c r="AD280" t="str" cm="1">
        <f t="array" ref="AD28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280" s="2" t="s">
        <v>91</v>
      </c>
      <c r="AF280" s="2" t="s">
        <v>92</v>
      </c>
      <c r="AG280" s="2" t="s">
        <v>93</v>
      </c>
      <c r="AH280" s="2" t="s">
        <v>94</v>
      </c>
      <c r="AK280" s="2" t="s">
        <v>1794</v>
      </c>
      <c r="AN280" s="3">
        <v>1</v>
      </c>
      <c r="AO280" s="3">
        <v>1</v>
      </c>
      <c r="AP280" s="3">
        <v>1</v>
      </c>
      <c r="AQ280" s="3">
        <v>1</v>
      </c>
      <c r="AR280" s="3">
        <v>1</v>
      </c>
      <c r="AS280" s="3">
        <v>0</v>
      </c>
      <c r="AT280" s="3">
        <v>0</v>
      </c>
      <c r="AU280" s="3">
        <v>0</v>
      </c>
      <c r="AV280" s="3">
        <v>1</v>
      </c>
      <c r="AW280" s="3">
        <v>0</v>
      </c>
      <c r="AX280" s="3">
        <v>1</v>
      </c>
      <c r="AY280" s="3">
        <v>0</v>
      </c>
      <c r="AZ280" s="3">
        <v>0</v>
      </c>
      <c r="BA280" s="3">
        <v>1</v>
      </c>
      <c r="BB280" s="3">
        <v>0</v>
      </c>
      <c r="BC280" s="3">
        <v>0</v>
      </c>
      <c r="BE280" s="3">
        <v>0</v>
      </c>
      <c r="BG280" s="2" t="s">
        <v>91</v>
      </c>
      <c r="BH280" s="3">
        <v>3</v>
      </c>
      <c r="BJ280" s="2" t="s">
        <v>96</v>
      </c>
      <c r="BL280" s="2" t="s">
        <v>184</v>
      </c>
      <c r="BM280" s="2" t="s">
        <v>184</v>
      </c>
      <c r="BN280" s="2" t="s">
        <v>124</v>
      </c>
      <c r="BO280" s="2" t="s">
        <v>125</v>
      </c>
      <c r="BP280" s="2" t="s">
        <v>242</v>
      </c>
      <c r="BQ280" s="2" t="s">
        <v>124</v>
      </c>
      <c r="BR280" s="2" t="s">
        <v>126</v>
      </c>
      <c r="BS280" s="2" t="s">
        <v>104</v>
      </c>
      <c r="BT280" s="2" t="s">
        <v>343</v>
      </c>
      <c r="BU280" s="2" t="s">
        <v>344</v>
      </c>
      <c r="BV280" s="2" t="s">
        <v>166</v>
      </c>
      <c r="BW280" s="2" t="s">
        <v>167</v>
      </c>
      <c r="BX280" s="2" t="s">
        <v>91</v>
      </c>
      <c r="BY28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80" s="2">
        <f>IF(AND(Cases[[#This Row],[Priority Level]]&gt;=3,Cases[[#This Row],[System Role]]&lt;&gt;"Productive"),1,0)</f>
        <v>1</v>
      </c>
      <c r="CA280" s="2">
        <f>IFERROR(IF(Cases[[#This Row],[Days at Customer]]&gt;MAX(1,Cases[[#This Row],[Days at SAP]]*2),1,0),0)</f>
        <v>1</v>
      </c>
      <c r="CB280" s="2">
        <f>IF(AND(Cases[[#This Row],[Initial Component]]&lt;&gt;"",Cases[[#This Row],[Component]]&lt;&gt;"",Cases[[#This Row],[Initial Component]]&lt;&gt;Cases[[#This Row],[Component]]),1,0)</f>
        <v>1</v>
      </c>
      <c r="CC280" s="2">
        <f>IF(OR(Cases[[#This Row],[Is Reopened]]="X",Cases[[#This Row],[No. of Reopenings]]&gt;0),1,0)</f>
        <v>0</v>
      </c>
      <c r="CD280" s="2">
        <f>IF(Cases[[#This Row],[Confirmation Type]]="Automatic",1,0)</f>
        <v>1</v>
      </c>
      <c r="CE280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281" spans="1:83" x14ac:dyDescent="0.2">
      <c r="A281" s="1" t="s">
        <v>1795</v>
      </c>
      <c r="B281" s="2" t="s">
        <v>1796</v>
      </c>
      <c r="C281" s="2" t="s">
        <v>655</v>
      </c>
      <c r="D281" s="2" t="s">
        <v>238</v>
      </c>
      <c r="E281" s="3">
        <v>3.64</v>
      </c>
      <c r="F281" s="3">
        <v>27.73</v>
      </c>
      <c r="G281" s="2" t="s">
        <v>133</v>
      </c>
      <c r="H281" s="2" t="s">
        <v>324</v>
      </c>
      <c r="I281" s="3" t="s">
        <v>114</v>
      </c>
      <c r="J281" s="3">
        <v>103</v>
      </c>
      <c r="K281" s="2" t="s">
        <v>1797</v>
      </c>
      <c r="L281" s="4">
        <v>46096</v>
      </c>
      <c r="M281" s="4">
        <v>46055</v>
      </c>
      <c r="N281" s="2" t="s">
        <v>677</v>
      </c>
      <c r="O281" s="2" t="s">
        <v>181</v>
      </c>
      <c r="P281" s="2" t="s">
        <v>1165</v>
      </c>
      <c r="Q281" s="2" t="s">
        <v>86</v>
      </c>
      <c r="R281" s="2" t="s">
        <v>657</v>
      </c>
      <c r="S281" s="4">
        <v>46024</v>
      </c>
      <c r="T281" s="2" t="s">
        <v>1334</v>
      </c>
      <c r="U281" s="2" t="s">
        <v>181</v>
      </c>
      <c r="V281" s="2" t="s">
        <v>1334</v>
      </c>
      <c r="W281" s="2" t="s">
        <v>86</v>
      </c>
      <c r="X281" s="2" t="s">
        <v>117</v>
      </c>
      <c r="Y281" s="3" t="s">
        <v>118</v>
      </c>
      <c r="Z281" s="3">
        <v>31.37</v>
      </c>
      <c r="AA281" s="2" t="s">
        <v>90</v>
      </c>
      <c r="AB281" s="2" t="s">
        <v>657</v>
      </c>
      <c r="AC281" s="2" t="s">
        <v>655</v>
      </c>
      <c r="AD281" t="str" cm="1">
        <f t="array" ref="AD28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281" s="2" t="s">
        <v>91</v>
      </c>
      <c r="AF281" s="2" t="s">
        <v>92</v>
      </c>
      <c r="AG281" s="2" t="s">
        <v>159</v>
      </c>
      <c r="AH281" s="2" t="s">
        <v>160</v>
      </c>
      <c r="AK281" s="2" t="s">
        <v>1798</v>
      </c>
      <c r="AN281" s="3">
        <v>1</v>
      </c>
      <c r="AO281" s="3">
        <v>1</v>
      </c>
      <c r="AP281" s="3">
        <v>1</v>
      </c>
      <c r="AQ281" s="3">
        <v>1</v>
      </c>
      <c r="AR281" s="3">
        <v>1</v>
      </c>
      <c r="AS281" s="3">
        <v>0</v>
      </c>
      <c r="AT281" s="3">
        <v>0</v>
      </c>
      <c r="AU281" s="3">
        <v>0</v>
      </c>
      <c r="AV281" s="3">
        <v>1</v>
      </c>
      <c r="AW281" s="3">
        <v>0</v>
      </c>
      <c r="AX281" s="3">
        <v>1</v>
      </c>
      <c r="AY281" s="3">
        <v>0</v>
      </c>
      <c r="AZ281" s="3">
        <v>0</v>
      </c>
      <c r="BA281" s="3">
        <v>1</v>
      </c>
      <c r="BB281" s="3">
        <v>0</v>
      </c>
      <c r="BC281" s="3">
        <v>0</v>
      </c>
      <c r="BD281" s="3">
        <v>0</v>
      </c>
      <c r="BE281" s="3">
        <v>0</v>
      </c>
      <c r="BG281" s="2" t="s">
        <v>91</v>
      </c>
      <c r="BH281" s="3">
        <v>3</v>
      </c>
      <c r="BJ281" s="2" t="s">
        <v>96</v>
      </c>
      <c r="BL281" s="2" t="s">
        <v>97</v>
      </c>
      <c r="BM281" s="2" t="s">
        <v>98</v>
      </c>
      <c r="BN281" s="2" t="s">
        <v>99</v>
      </c>
      <c r="BO281" s="2" t="s">
        <v>100</v>
      </c>
      <c r="BP281" s="2" t="s">
        <v>242</v>
      </c>
      <c r="BQ281" s="2" t="s">
        <v>102</v>
      </c>
      <c r="BR281" s="2" t="s">
        <v>103</v>
      </c>
      <c r="BS281" s="2" t="s">
        <v>713</v>
      </c>
      <c r="BT281" s="2" t="s">
        <v>1799</v>
      </c>
      <c r="BU281" s="2" t="s">
        <v>1800</v>
      </c>
      <c r="BV281" s="2" t="s">
        <v>107</v>
      </c>
      <c r="BW281" s="2" t="s">
        <v>108</v>
      </c>
      <c r="BX281" s="2" t="s">
        <v>91</v>
      </c>
      <c r="BY28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81" s="2">
        <f>IF(AND(Cases[[#This Row],[Priority Level]]&gt;=3,Cases[[#This Row],[System Role]]&lt;&gt;"Productive"),1,0)</f>
        <v>1</v>
      </c>
      <c r="CA281" s="2">
        <f>IFERROR(IF(Cases[[#This Row],[Days at Customer]]&gt;MAX(1,Cases[[#This Row],[Days at SAP]]*2),1,0),0)</f>
        <v>1</v>
      </c>
      <c r="CB281" s="2">
        <f>IF(AND(Cases[[#This Row],[Initial Component]]&lt;&gt;"",Cases[[#This Row],[Component]]&lt;&gt;"",Cases[[#This Row],[Initial Component]]&lt;&gt;Cases[[#This Row],[Component]]),1,0)</f>
        <v>0</v>
      </c>
      <c r="CC281" s="2">
        <f>IF(OR(Cases[[#This Row],[Is Reopened]]="X",Cases[[#This Row],[No. of Reopenings]]&gt;0),1,0)</f>
        <v>0</v>
      </c>
      <c r="CD281" s="2">
        <f>IF(Cases[[#This Row],[Confirmation Type]]="Automatic",1,0)</f>
        <v>1</v>
      </c>
      <c r="CE281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82" spans="1:83" x14ac:dyDescent="0.2">
      <c r="A282" s="1" t="s">
        <v>1923</v>
      </c>
      <c r="B282" s="2" t="s">
        <v>1924</v>
      </c>
      <c r="C282" s="2" t="s">
        <v>203</v>
      </c>
      <c r="D282" s="2" t="s">
        <v>78</v>
      </c>
      <c r="E282" s="3">
        <v>0</v>
      </c>
      <c r="F282" s="3">
        <v>12.42</v>
      </c>
      <c r="G282" s="2" t="s">
        <v>112</v>
      </c>
      <c r="H282" s="2" t="s">
        <v>113</v>
      </c>
      <c r="I282" s="3" t="s">
        <v>114</v>
      </c>
      <c r="J282" s="3">
        <v>114</v>
      </c>
      <c r="K282" s="2" t="s">
        <v>1925</v>
      </c>
      <c r="L282" s="4">
        <v>46040</v>
      </c>
      <c r="M282" s="4">
        <v>46034</v>
      </c>
      <c r="N282" s="2" t="s">
        <v>1334</v>
      </c>
      <c r="O282" s="2" t="s">
        <v>181</v>
      </c>
      <c r="P282" s="2" t="s">
        <v>180</v>
      </c>
      <c r="Q282" s="2" t="s">
        <v>86</v>
      </c>
      <c r="R282" s="2" t="s">
        <v>205</v>
      </c>
      <c r="S282" s="4">
        <v>46013</v>
      </c>
      <c r="T282" s="2" t="s">
        <v>1804</v>
      </c>
      <c r="U282" s="2" t="s">
        <v>1805</v>
      </c>
      <c r="V282" s="2" t="s">
        <v>1868</v>
      </c>
      <c r="W282" s="2" t="s">
        <v>1806</v>
      </c>
      <c r="X282" s="2" t="s">
        <v>117</v>
      </c>
      <c r="Y282" s="3" t="s">
        <v>118</v>
      </c>
      <c r="Z282" s="3">
        <v>12.42</v>
      </c>
      <c r="AA282" s="2" t="s">
        <v>90</v>
      </c>
      <c r="AB282" s="2" t="s">
        <v>205</v>
      </c>
      <c r="AC282" s="2" t="s">
        <v>203</v>
      </c>
      <c r="AD282" t="str" cm="1">
        <f t="array" ref="AD28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282" s="2" t="s">
        <v>139</v>
      </c>
      <c r="AF282" s="2" t="s">
        <v>92</v>
      </c>
      <c r="AG282" s="2" t="s">
        <v>119</v>
      </c>
      <c r="AH282" s="2" t="s">
        <v>120</v>
      </c>
      <c r="AK282" s="2" t="s">
        <v>1926</v>
      </c>
      <c r="AN282" s="3">
        <v>1</v>
      </c>
      <c r="AO282" s="3">
        <v>1</v>
      </c>
      <c r="AP282" s="3">
        <v>1</v>
      </c>
      <c r="AQ282" s="3">
        <v>1</v>
      </c>
      <c r="AR282" s="3">
        <v>0</v>
      </c>
      <c r="AS282" s="3">
        <v>0</v>
      </c>
      <c r="AT282" s="3">
        <v>1</v>
      </c>
      <c r="AU282" s="3">
        <v>0</v>
      </c>
      <c r="AV282" s="3">
        <v>0</v>
      </c>
      <c r="AW282" s="3">
        <v>1</v>
      </c>
      <c r="AX282" s="3">
        <v>0</v>
      </c>
      <c r="AY282" s="3">
        <v>0</v>
      </c>
      <c r="AZ282" s="3">
        <v>1</v>
      </c>
      <c r="BA282" s="3">
        <v>0</v>
      </c>
      <c r="BB282" s="3">
        <v>0</v>
      </c>
      <c r="BC282" s="3">
        <v>1</v>
      </c>
      <c r="BD282" s="3">
        <v>0</v>
      </c>
      <c r="BE282" s="3">
        <v>0</v>
      </c>
      <c r="BG282" s="2" t="s">
        <v>139</v>
      </c>
      <c r="BH282" s="3">
        <v>2</v>
      </c>
      <c r="BI282" s="2" t="s">
        <v>122</v>
      </c>
      <c r="BJ282" s="2" t="s">
        <v>96</v>
      </c>
      <c r="BL282" s="2" t="s">
        <v>123</v>
      </c>
      <c r="BM282" s="2" t="s">
        <v>123</v>
      </c>
      <c r="BN282" s="2" t="s">
        <v>124</v>
      </c>
      <c r="BO282" s="2" t="s">
        <v>125</v>
      </c>
      <c r="BP282" s="2" t="s">
        <v>101</v>
      </c>
      <c r="BQ282" s="2" t="s">
        <v>124</v>
      </c>
      <c r="BR282" s="2" t="s">
        <v>126</v>
      </c>
      <c r="BS282" s="2" t="s">
        <v>127</v>
      </c>
      <c r="BT282" s="2" t="s">
        <v>207</v>
      </c>
      <c r="BU282" s="2" t="s">
        <v>208</v>
      </c>
      <c r="BV282" s="2" t="s">
        <v>150</v>
      </c>
      <c r="BW282" s="2" t="s">
        <v>151</v>
      </c>
      <c r="BX282" s="2" t="s">
        <v>139</v>
      </c>
      <c r="BY28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82" s="2">
        <f>IF(AND(Cases[[#This Row],[Priority Level]]&gt;=3,Cases[[#This Row],[System Role]]&lt;&gt;"Productive"),1,0)</f>
        <v>0</v>
      </c>
      <c r="CA282" s="2">
        <f>IFERROR(IF(Cases[[#This Row],[Days at Customer]]&gt;MAX(1,Cases[[#This Row],[Days at SAP]]*2),1,0),0)</f>
        <v>1</v>
      </c>
      <c r="CB282" s="2">
        <f>IF(AND(Cases[[#This Row],[Initial Component]]&lt;&gt;"",Cases[[#This Row],[Component]]&lt;&gt;"",Cases[[#This Row],[Initial Component]]&lt;&gt;Cases[[#This Row],[Component]]),1,0)</f>
        <v>0</v>
      </c>
      <c r="CC282" s="2">
        <f>IF(OR(Cases[[#This Row],[Is Reopened]]="X",Cases[[#This Row],[No. of Reopenings]]&gt;0),1,0)</f>
        <v>0</v>
      </c>
      <c r="CD282" s="2">
        <f>IF(Cases[[#This Row],[Confirmation Type]]="Automatic",1,0)</f>
        <v>0</v>
      </c>
      <c r="CE282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83" spans="1:83" x14ac:dyDescent="0.2">
      <c r="A283" s="1" t="s">
        <v>2283</v>
      </c>
      <c r="B283" s="2" t="s">
        <v>2284</v>
      </c>
      <c r="C283" s="2" t="s">
        <v>203</v>
      </c>
      <c r="D283" s="2" t="s">
        <v>238</v>
      </c>
      <c r="E283" s="3">
        <v>0</v>
      </c>
      <c r="F283" s="3">
        <v>38.97</v>
      </c>
      <c r="G283" s="2" t="s">
        <v>112</v>
      </c>
      <c r="H283" s="2" t="s">
        <v>113</v>
      </c>
      <c r="I283" s="3" t="s">
        <v>114</v>
      </c>
      <c r="J283" s="3">
        <v>138</v>
      </c>
      <c r="K283" s="2" t="s">
        <v>2285</v>
      </c>
      <c r="L283" s="4">
        <v>46040</v>
      </c>
      <c r="M283" s="4">
        <v>46034</v>
      </c>
      <c r="N283" s="2" t="s">
        <v>1334</v>
      </c>
      <c r="O283" s="2" t="s">
        <v>181</v>
      </c>
      <c r="P283" s="2" t="s">
        <v>180</v>
      </c>
      <c r="Q283" s="2" t="s">
        <v>86</v>
      </c>
      <c r="R283" s="2" t="s">
        <v>205</v>
      </c>
      <c r="S283" s="4">
        <v>45989</v>
      </c>
      <c r="T283" s="2" t="s">
        <v>2274</v>
      </c>
      <c r="U283" s="2" t="s">
        <v>1805</v>
      </c>
      <c r="V283" s="2" t="s">
        <v>2275</v>
      </c>
      <c r="W283" s="2" t="s">
        <v>1806</v>
      </c>
      <c r="X283" s="2" t="s">
        <v>117</v>
      </c>
      <c r="Y283" s="3" t="s">
        <v>118</v>
      </c>
      <c r="Z283" s="3">
        <v>38.97</v>
      </c>
      <c r="AA283" s="2" t="s">
        <v>90</v>
      </c>
      <c r="AB283" s="2" t="s">
        <v>205</v>
      </c>
      <c r="AC283" s="2" t="s">
        <v>203</v>
      </c>
      <c r="AD283" t="str" cm="1">
        <f t="array" ref="AD28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283" s="2" t="s">
        <v>139</v>
      </c>
      <c r="AF283" s="2" t="s">
        <v>92</v>
      </c>
      <c r="AG283" s="2" t="s">
        <v>119</v>
      </c>
      <c r="AH283" s="2" t="s">
        <v>120</v>
      </c>
      <c r="AK283" s="2" t="s">
        <v>2286</v>
      </c>
      <c r="AN283" s="3">
        <v>1</v>
      </c>
      <c r="AO283" s="3">
        <v>1</v>
      </c>
      <c r="AP283" s="3">
        <v>1</v>
      </c>
      <c r="AQ283" s="3">
        <v>1</v>
      </c>
      <c r="AR283" s="3">
        <v>0</v>
      </c>
      <c r="AS283" s="3">
        <v>0</v>
      </c>
      <c r="AT283" s="3">
        <v>1</v>
      </c>
      <c r="AU283" s="3">
        <v>0</v>
      </c>
      <c r="AV283" s="3">
        <v>1</v>
      </c>
      <c r="AW283" s="3">
        <v>0</v>
      </c>
      <c r="AX283" s="3">
        <v>0</v>
      </c>
      <c r="AY283" s="3">
        <v>0</v>
      </c>
      <c r="AZ283" s="3">
        <v>1</v>
      </c>
      <c r="BA283" s="3">
        <v>0</v>
      </c>
      <c r="BB283" s="3">
        <v>0</v>
      </c>
      <c r="BC283" s="3">
        <v>1</v>
      </c>
      <c r="BD283" s="3">
        <v>0</v>
      </c>
      <c r="BE283" s="3">
        <v>0</v>
      </c>
      <c r="BG283" s="2" t="s">
        <v>139</v>
      </c>
      <c r="BH283" s="3">
        <v>2</v>
      </c>
      <c r="BI283" s="2" t="s">
        <v>122</v>
      </c>
      <c r="BJ283" s="2" t="s">
        <v>96</v>
      </c>
      <c r="BL283" s="2" t="s">
        <v>123</v>
      </c>
      <c r="BM283" s="2" t="s">
        <v>123</v>
      </c>
      <c r="BN283" s="2" t="s">
        <v>124</v>
      </c>
      <c r="BO283" s="2" t="s">
        <v>125</v>
      </c>
      <c r="BP283" s="2" t="s">
        <v>242</v>
      </c>
      <c r="BQ283" s="2" t="s">
        <v>124</v>
      </c>
      <c r="BR283" s="2" t="s">
        <v>126</v>
      </c>
      <c r="BS283" s="2" t="s">
        <v>127</v>
      </c>
      <c r="BT283" s="2" t="s">
        <v>207</v>
      </c>
      <c r="BU283" s="2" t="s">
        <v>208</v>
      </c>
      <c r="BV283" s="2" t="s">
        <v>150</v>
      </c>
      <c r="BW283" s="2" t="s">
        <v>151</v>
      </c>
      <c r="BX283" s="2" t="s">
        <v>139</v>
      </c>
      <c r="BY28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83" s="2">
        <f>IF(AND(Cases[[#This Row],[Priority Level]]&gt;=3,Cases[[#This Row],[System Role]]&lt;&gt;"Productive"),1,0)</f>
        <v>0</v>
      </c>
      <c r="CA283" s="2">
        <f>IFERROR(IF(Cases[[#This Row],[Days at Customer]]&gt;MAX(1,Cases[[#This Row],[Days at SAP]]*2),1,0),0)</f>
        <v>1</v>
      </c>
      <c r="CB283" s="2">
        <f>IF(AND(Cases[[#This Row],[Initial Component]]&lt;&gt;"",Cases[[#This Row],[Component]]&lt;&gt;"",Cases[[#This Row],[Initial Component]]&lt;&gt;Cases[[#This Row],[Component]]),1,0)</f>
        <v>0</v>
      </c>
      <c r="CC283" s="2">
        <f>IF(OR(Cases[[#This Row],[Is Reopened]]="X",Cases[[#This Row],[No. of Reopenings]]&gt;0),1,0)</f>
        <v>0</v>
      </c>
      <c r="CD283" s="2">
        <f>IF(Cases[[#This Row],[Confirmation Type]]="Automatic",1,0)</f>
        <v>1</v>
      </c>
      <c r="CE283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84" spans="1:83" x14ac:dyDescent="0.2">
      <c r="A284" s="1" t="s">
        <v>1812</v>
      </c>
      <c r="B284" s="2" t="s">
        <v>1813</v>
      </c>
      <c r="C284" s="2" t="s">
        <v>1236</v>
      </c>
      <c r="D284" s="2" t="s">
        <v>238</v>
      </c>
      <c r="E284" s="3">
        <v>4.8</v>
      </c>
      <c r="F284" s="3">
        <v>21.69</v>
      </c>
      <c r="G284" s="2" t="s">
        <v>79</v>
      </c>
      <c r="H284" s="2" t="s">
        <v>80</v>
      </c>
      <c r="I284" s="3" t="s">
        <v>114</v>
      </c>
      <c r="J284" s="3">
        <v>105</v>
      </c>
      <c r="K284" s="2" t="s">
        <v>1814</v>
      </c>
      <c r="L284" s="4">
        <v>46054</v>
      </c>
      <c r="M284" s="4">
        <v>46049</v>
      </c>
      <c r="N284" s="2" t="s">
        <v>1334</v>
      </c>
      <c r="O284" s="2" t="s">
        <v>181</v>
      </c>
      <c r="P284" s="2" t="s">
        <v>1335</v>
      </c>
      <c r="Q284" s="2" t="s">
        <v>86</v>
      </c>
      <c r="R284" s="2" t="s">
        <v>1235</v>
      </c>
      <c r="S284" s="4">
        <v>46022</v>
      </c>
      <c r="T284" s="2" t="s">
        <v>1804</v>
      </c>
      <c r="U284" s="2" t="s">
        <v>1805</v>
      </c>
      <c r="V284" s="2" t="s">
        <v>1334</v>
      </c>
      <c r="W284" s="2" t="s">
        <v>1806</v>
      </c>
      <c r="X284" s="2" t="s">
        <v>117</v>
      </c>
      <c r="Y284" s="3" t="s">
        <v>118</v>
      </c>
      <c r="Z284" s="3">
        <v>26.5</v>
      </c>
      <c r="AA284" s="2" t="s">
        <v>90</v>
      </c>
      <c r="AB284" s="2" t="s">
        <v>1235</v>
      </c>
      <c r="AC284" s="2" t="s">
        <v>1236</v>
      </c>
      <c r="AD284" t="str" cm="1">
        <f t="array" ref="AD28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284" s="2" t="s">
        <v>91</v>
      </c>
      <c r="AF284" s="2" t="s">
        <v>92</v>
      </c>
      <c r="AG284" s="2" t="s">
        <v>119</v>
      </c>
      <c r="AH284" s="2" t="s">
        <v>120</v>
      </c>
      <c r="AK284" s="2" t="s">
        <v>1815</v>
      </c>
      <c r="AN284" s="3">
        <v>1</v>
      </c>
      <c r="AO284" s="3">
        <v>1</v>
      </c>
      <c r="AP284" s="3">
        <v>1</v>
      </c>
      <c r="AQ284" s="3">
        <v>1</v>
      </c>
      <c r="AR284" s="3">
        <v>1</v>
      </c>
      <c r="AS284" s="3">
        <v>0</v>
      </c>
      <c r="AT284" s="3">
        <v>0</v>
      </c>
      <c r="AU284" s="3">
        <v>0</v>
      </c>
      <c r="AV284" s="3">
        <v>1</v>
      </c>
      <c r="AW284" s="3">
        <v>0</v>
      </c>
      <c r="AX284" s="3">
        <v>1</v>
      </c>
      <c r="AY284" s="3">
        <v>0</v>
      </c>
      <c r="AZ284" s="3">
        <v>0</v>
      </c>
      <c r="BA284" s="3">
        <v>0</v>
      </c>
      <c r="BB284" s="3">
        <v>0</v>
      </c>
      <c r="BC284" s="3">
        <v>1</v>
      </c>
      <c r="BD284" s="3">
        <v>0</v>
      </c>
      <c r="BE284" s="3">
        <v>0</v>
      </c>
      <c r="BG284" s="2" t="s">
        <v>91</v>
      </c>
      <c r="BH284" s="3">
        <v>3</v>
      </c>
      <c r="BJ284" s="2" t="s">
        <v>96</v>
      </c>
      <c r="BL284" s="2" t="s">
        <v>123</v>
      </c>
      <c r="BM284" s="2" t="s">
        <v>123</v>
      </c>
      <c r="BN284" s="2" t="s">
        <v>124</v>
      </c>
      <c r="BO284" s="2" t="s">
        <v>125</v>
      </c>
      <c r="BP284" s="2" t="s">
        <v>242</v>
      </c>
      <c r="BQ284" s="2" t="s">
        <v>124</v>
      </c>
      <c r="BR284" s="2" t="s">
        <v>126</v>
      </c>
      <c r="BS284" s="2" t="s">
        <v>127</v>
      </c>
      <c r="BT284" s="2" t="s">
        <v>207</v>
      </c>
      <c r="BU284" s="2" t="s">
        <v>208</v>
      </c>
      <c r="BV284" s="2" t="s">
        <v>150</v>
      </c>
      <c r="BW284" s="2" t="s">
        <v>151</v>
      </c>
      <c r="BX284" s="2" t="s">
        <v>91</v>
      </c>
      <c r="BY28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84" s="2">
        <f>IF(AND(Cases[[#This Row],[Priority Level]]&gt;=3,Cases[[#This Row],[System Role]]&lt;&gt;"Productive"),1,0)</f>
        <v>0</v>
      </c>
      <c r="CA284" s="2">
        <f>IFERROR(IF(Cases[[#This Row],[Days at Customer]]&gt;MAX(1,Cases[[#This Row],[Days at SAP]]*2),1,0),0)</f>
        <v>1</v>
      </c>
      <c r="CB284" s="2">
        <f>IF(AND(Cases[[#This Row],[Initial Component]]&lt;&gt;"",Cases[[#This Row],[Component]]&lt;&gt;"",Cases[[#This Row],[Initial Component]]&lt;&gt;Cases[[#This Row],[Component]]),1,0)</f>
        <v>0</v>
      </c>
      <c r="CC284" s="2">
        <f>IF(OR(Cases[[#This Row],[Is Reopened]]="X",Cases[[#This Row],[No. of Reopenings]]&gt;0),1,0)</f>
        <v>0</v>
      </c>
      <c r="CD284" s="2">
        <f>IF(Cases[[#This Row],[Confirmation Type]]="Automatic",1,0)</f>
        <v>1</v>
      </c>
      <c r="CE28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85" spans="1:83" x14ac:dyDescent="0.2">
      <c r="A285" s="1" t="s">
        <v>1816</v>
      </c>
      <c r="B285" s="2" t="s">
        <v>1817</v>
      </c>
      <c r="C285" s="2" t="s">
        <v>655</v>
      </c>
      <c r="D285" s="2" t="s">
        <v>238</v>
      </c>
      <c r="E285" s="3">
        <v>6.74</v>
      </c>
      <c r="F285" s="3">
        <v>21.66</v>
      </c>
      <c r="G285" s="2" t="s">
        <v>79</v>
      </c>
      <c r="H285" s="2" t="s">
        <v>178</v>
      </c>
      <c r="I285" s="3" t="s">
        <v>114</v>
      </c>
      <c r="J285" s="3">
        <v>105</v>
      </c>
      <c r="K285" s="2" t="s">
        <v>1818</v>
      </c>
      <c r="L285" s="4">
        <v>46054</v>
      </c>
      <c r="M285" s="4">
        <v>46051</v>
      </c>
      <c r="N285" s="2" t="s">
        <v>1334</v>
      </c>
      <c r="O285" s="2" t="s">
        <v>181</v>
      </c>
      <c r="P285" s="2" t="s">
        <v>1335</v>
      </c>
      <c r="Q285" s="2" t="s">
        <v>86</v>
      </c>
      <c r="R285" s="2" t="s">
        <v>657</v>
      </c>
      <c r="S285" s="4">
        <v>46022</v>
      </c>
      <c r="T285" s="2" t="s">
        <v>1804</v>
      </c>
      <c r="U285" s="2" t="s">
        <v>1805</v>
      </c>
      <c r="V285" s="2" t="s">
        <v>1334</v>
      </c>
      <c r="W285" s="2" t="s">
        <v>1806</v>
      </c>
      <c r="X285" s="2" t="s">
        <v>117</v>
      </c>
      <c r="Y285" s="3" t="s">
        <v>118</v>
      </c>
      <c r="Z285" s="3">
        <v>28.4</v>
      </c>
      <c r="AA285" s="2" t="s">
        <v>90</v>
      </c>
      <c r="AB285" s="2" t="s">
        <v>1819</v>
      </c>
      <c r="AC285" s="2" t="s">
        <v>1820</v>
      </c>
      <c r="AD285" t="str" cm="1">
        <f t="array" ref="AD28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285" s="2" t="s">
        <v>139</v>
      </c>
      <c r="AF285" s="2" t="s">
        <v>92</v>
      </c>
      <c r="AG285" s="2" t="s">
        <v>540</v>
      </c>
      <c r="AH285" s="2" t="s">
        <v>541</v>
      </c>
      <c r="AJ285" s="2" t="s">
        <v>122</v>
      </c>
      <c r="AK285" s="2" t="s">
        <v>1821</v>
      </c>
      <c r="AN285" s="3">
        <v>1</v>
      </c>
      <c r="AO285" s="3">
        <v>1</v>
      </c>
      <c r="AP285" s="3">
        <v>1</v>
      </c>
      <c r="AQ285" s="3">
        <v>1</v>
      </c>
      <c r="AR285" s="3">
        <v>0</v>
      </c>
      <c r="AS285" s="3">
        <v>0</v>
      </c>
      <c r="AT285" s="3">
        <v>1</v>
      </c>
      <c r="AU285" s="3">
        <v>0</v>
      </c>
      <c r="AV285" s="3">
        <v>1</v>
      </c>
      <c r="AW285" s="3">
        <v>0</v>
      </c>
      <c r="AX285" s="3">
        <v>0</v>
      </c>
      <c r="AY285" s="3">
        <v>0</v>
      </c>
      <c r="AZ285" s="3">
        <v>1</v>
      </c>
      <c r="BA285" s="3">
        <v>0</v>
      </c>
      <c r="BB285" s="3">
        <v>0</v>
      </c>
      <c r="BC285" s="3">
        <v>1</v>
      </c>
      <c r="BD285" s="3">
        <v>1</v>
      </c>
      <c r="BE285" s="3">
        <v>0</v>
      </c>
      <c r="BG285" s="2" t="s">
        <v>139</v>
      </c>
      <c r="BH285" s="3">
        <v>2</v>
      </c>
      <c r="BJ285" s="2" t="s">
        <v>96</v>
      </c>
      <c r="BL285" s="2" t="s">
        <v>382</v>
      </c>
      <c r="BM285" s="2" t="s">
        <v>382</v>
      </c>
      <c r="BN285" s="2" t="s">
        <v>99</v>
      </c>
      <c r="BO285" s="2" t="s">
        <v>100</v>
      </c>
      <c r="BP285" s="2" t="s">
        <v>242</v>
      </c>
      <c r="BQ285" s="2" t="s">
        <v>383</v>
      </c>
      <c r="BR285" s="2" t="s">
        <v>384</v>
      </c>
      <c r="BS285" s="2" t="s">
        <v>127</v>
      </c>
      <c r="BT285" s="2" t="s">
        <v>1132</v>
      </c>
      <c r="BU285" s="2" t="s">
        <v>1822</v>
      </c>
      <c r="BV285" s="2" t="s">
        <v>150</v>
      </c>
      <c r="BW285" s="2" t="s">
        <v>151</v>
      </c>
      <c r="BX285" s="2" t="s">
        <v>139</v>
      </c>
      <c r="BY28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85" s="2">
        <f>IF(AND(Cases[[#This Row],[Priority Level]]&gt;=3,Cases[[#This Row],[System Role]]&lt;&gt;"Productive"),1,0)</f>
        <v>0</v>
      </c>
      <c r="CA285" s="2">
        <f>IFERROR(IF(Cases[[#This Row],[Days at Customer]]&gt;MAX(1,Cases[[#This Row],[Days at SAP]]*2),1,0),0)</f>
        <v>1</v>
      </c>
      <c r="CB285" s="2">
        <f>IF(AND(Cases[[#This Row],[Initial Component]]&lt;&gt;"",Cases[[#This Row],[Component]]&lt;&gt;"",Cases[[#This Row],[Initial Component]]&lt;&gt;Cases[[#This Row],[Component]]),1,0)</f>
        <v>1</v>
      </c>
      <c r="CC285" s="2">
        <f>IF(OR(Cases[[#This Row],[Is Reopened]]="X",Cases[[#This Row],[No. of Reopenings]]&gt;0),1,0)</f>
        <v>1</v>
      </c>
      <c r="CD285" s="2">
        <f>IF(Cases[[#This Row],[Confirmation Type]]="Automatic",1,0)</f>
        <v>1</v>
      </c>
      <c r="CE285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286" spans="1:83" x14ac:dyDescent="0.2">
      <c r="A286" s="1" t="s">
        <v>1823</v>
      </c>
      <c r="B286" s="2" t="s">
        <v>1824</v>
      </c>
      <c r="C286" s="2" t="s">
        <v>633</v>
      </c>
      <c r="D286" s="2" t="s">
        <v>78</v>
      </c>
      <c r="E286" s="3">
        <v>0.73</v>
      </c>
      <c r="F286" s="3">
        <v>0</v>
      </c>
      <c r="G286" s="2" t="s">
        <v>133</v>
      </c>
      <c r="H286" s="2" t="s">
        <v>134</v>
      </c>
      <c r="I286" s="3" t="s">
        <v>114</v>
      </c>
      <c r="J286" s="3">
        <v>106</v>
      </c>
      <c r="K286" s="2" t="s">
        <v>1825</v>
      </c>
      <c r="L286" s="4">
        <v>46026</v>
      </c>
      <c r="M286" s="4">
        <v>46022</v>
      </c>
      <c r="N286" s="2" t="s">
        <v>1804</v>
      </c>
      <c r="O286" s="2" t="s">
        <v>1805</v>
      </c>
      <c r="P286" s="2" t="s">
        <v>1334</v>
      </c>
      <c r="Q286" s="2" t="s">
        <v>1806</v>
      </c>
      <c r="R286" s="2" t="s">
        <v>635</v>
      </c>
      <c r="S286" s="4">
        <v>46021</v>
      </c>
      <c r="T286" s="2" t="s">
        <v>1804</v>
      </c>
      <c r="U286" s="2" t="s">
        <v>1805</v>
      </c>
      <c r="V286" s="2" t="s">
        <v>1334</v>
      </c>
      <c r="W286" s="2" t="s">
        <v>1806</v>
      </c>
      <c r="X286" s="2" t="s">
        <v>117</v>
      </c>
      <c r="Y286" s="3" t="s">
        <v>118</v>
      </c>
      <c r="Z286" s="3">
        <v>0.73</v>
      </c>
      <c r="AA286" s="2" t="s">
        <v>90</v>
      </c>
      <c r="AB286" s="2" t="s">
        <v>635</v>
      </c>
      <c r="AC286" s="2" t="s">
        <v>633</v>
      </c>
      <c r="AD286" t="str" cm="1">
        <f t="array" ref="AD28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286" s="2" t="s">
        <v>139</v>
      </c>
      <c r="AF286" s="2" t="s">
        <v>92</v>
      </c>
      <c r="AG286" s="2" t="s">
        <v>119</v>
      </c>
      <c r="AH286" s="2" t="s">
        <v>120</v>
      </c>
      <c r="AK286" s="2" t="s">
        <v>1826</v>
      </c>
      <c r="AN286" s="3">
        <v>1</v>
      </c>
      <c r="AO286" s="3">
        <v>1</v>
      </c>
      <c r="AP286" s="3">
        <v>1</v>
      </c>
      <c r="AQ286" s="3">
        <v>1</v>
      </c>
      <c r="AR286" s="3">
        <v>0</v>
      </c>
      <c r="AS286" s="3">
        <v>0</v>
      </c>
      <c r="AT286" s="3">
        <v>1</v>
      </c>
      <c r="AU286" s="3">
        <v>0</v>
      </c>
      <c r="AV286" s="3">
        <v>0</v>
      </c>
      <c r="AW286" s="3">
        <v>1</v>
      </c>
      <c r="AX286" s="3">
        <v>0</v>
      </c>
      <c r="AY286" s="3">
        <v>0</v>
      </c>
      <c r="AZ286" s="3">
        <v>1</v>
      </c>
      <c r="BA286" s="3">
        <v>0</v>
      </c>
      <c r="BB286" s="3">
        <v>0</v>
      </c>
      <c r="BC286" s="3">
        <v>1</v>
      </c>
      <c r="BD286" s="3">
        <v>0</v>
      </c>
      <c r="BE286" s="3">
        <v>0</v>
      </c>
      <c r="BG286" s="2" t="s">
        <v>139</v>
      </c>
      <c r="BH286" s="3">
        <v>2</v>
      </c>
      <c r="BJ286" s="2" t="s">
        <v>96</v>
      </c>
      <c r="BL286" s="2" t="s">
        <v>123</v>
      </c>
      <c r="BM286" s="2" t="s">
        <v>123</v>
      </c>
      <c r="BN286" s="2" t="s">
        <v>124</v>
      </c>
      <c r="BO286" s="2" t="s">
        <v>125</v>
      </c>
      <c r="BP286" s="2" t="s">
        <v>101</v>
      </c>
      <c r="BQ286" s="2" t="s">
        <v>124</v>
      </c>
      <c r="BR286" s="2" t="s">
        <v>126</v>
      </c>
      <c r="BS286" s="2" t="s">
        <v>127</v>
      </c>
      <c r="BT286" s="2" t="s">
        <v>207</v>
      </c>
      <c r="BU286" s="2" t="s">
        <v>208</v>
      </c>
      <c r="BV286" s="2" t="s">
        <v>150</v>
      </c>
      <c r="BW286" s="2" t="s">
        <v>151</v>
      </c>
      <c r="BX286" s="2" t="s">
        <v>139</v>
      </c>
      <c r="BY28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86" s="2">
        <f>IF(AND(Cases[[#This Row],[Priority Level]]&gt;=3,Cases[[#This Row],[System Role]]&lt;&gt;"Productive"),1,0)</f>
        <v>0</v>
      </c>
      <c r="CA286" s="2">
        <f>IFERROR(IF(Cases[[#This Row],[Days at Customer]]&gt;MAX(1,Cases[[#This Row],[Days at SAP]]*2),1,0),0)</f>
        <v>0</v>
      </c>
      <c r="CB286" s="2">
        <f>IF(AND(Cases[[#This Row],[Initial Component]]&lt;&gt;"",Cases[[#This Row],[Component]]&lt;&gt;"",Cases[[#This Row],[Initial Component]]&lt;&gt;Cases[[#This Row],[Component]]),1,0)</f>
        <v>0</v>
      </c>
      <c r="CC286" s="2">
        <f>IF(OR(Cases[[#This Row],[Is Reopened]]="X",Cases[[#This Row],[No. of Reopenings]]&gt;0),1,0)</f>
        <v>0</v>
      </c>
      <c r="CD286" s="2">
        <f>IF(Cases[[#This Row],[Confirmation Type]]="Automatic",1,0)</f>
        <v>0</v>
      </c>
      <c r="CE286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287" spans="1:83" x14ac:dyDescent="0.2">
      <c r="A287" s="1" t="s">
        <v>3044</v>
      </c>
      <c r="B287" s="2" t="s">
        <v>3045</v>
      </c>
      <c r="C287" s="2" t="s">
        <v>3046</v>
      </c>
      <c r="D287" s="2" t="s">
        <v>78</v>
      </c>
      <c r="E287" s="3">
        <v>2.81</v>
      </c>
      <c r="F287" s="3">
        <v>0</v>
      </c>
      <c r="G287" s="2" t="s">
        <v>79</v>
      </c>
      <c r="H287" s="2" t="s">
        <v>80</v>
      </c>
      <c r="I287" s="3" t="s">
        <v>114</v>
      </c>
      <c r="J287" s="3">
        <v>183</v>
      </c>
      <c r="K287" s="2" t="s">
        <v>3047</v>
      </c>
      <c r="L287" s="4">
        <v>46040</v>
      </c>
      <c r="M287" s="4">
        <v>45947</v>
      </c>
      <c r="N287" s="2" t="s">
        <v>2727</v>
      </c>
      <c r="O287" s="2" t="s">
        <v>1805</v>
      </c>
      <c r="P287" s="2" t="s">
        <v>2936</v>
      </c>
      <c r="Q287" s="2" t="s">
        <v>1806</v>
      </c>
      <c r="R287" s="2" t="s">
        <v>3048</v>
      </c>
      <c r="S287" s="4">
        <v>45944</v>
      </c>
      <c r="T287" s="2" t="s">
        <v>2727</v>
      </c>
      <c r="U287" s="2" t="s">
        <v>1805</v>
      </c>
      <c r="V287" s="2" t="s">
        <v>2936</v>
      </c>
      <c r="W287" s="2" t="s">
        <v>1806</v>
      </c>
      <c r="X287" s="2" t="s">
        <v>117</v>
      </c>
      <c r="Y287" s="3" t="s">
        <v>118</v>
      </c>
      <c r="Z287" s="3">
        <v>2.81</v>
      </c>
      <c r="AA287" s="2" t="s">
        <v>90</v>
      </c>
      <c r="AB287" s="2" t="s">
        <v>3048</v>
      </c>
      <c r="AC287" s="2" t="s">
        <v>3046</v>
      </c>
      <c r="AD287" t="str" cm="1">
        <f t="array" ref="AD28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287" s="2" t="s">
        <v>158</v>
      </c>
      <c r="AF287" s="2" t="s">
        <v>900</v>
      </c>
      <c r="AG287" s="2" t="s">
        <v>159</v>
      </c>
      <c r="AH287" s="2" t="s">
        <v>160</v>
      </c>
      <c r="AK287" s="2" t="s">
        <v>3049</v>
      </c>
      <c r="AN287" s="3">
        <v>1</v>
      </c>
      <c r="AO287" s="3">
        <v>1</v>
      </c>
      <c r="AP287" s="3">
        <v>1</v>
      </c>
      <c r="AQ287" s="3">
        <v>1</v>
      </c>
      <c r="AR287" s="3">
        <v>0</v>
      </c>
      <c r="AS287" s="3">
        <v>1</v>
      </c>
      <c r="AT287" s="3">
        <v>0</v>
      </c>
      <c r="AU287" s="3">
        <v>0</v>
      </c>
      <c r="AV287" s="3">
        <v>0</v>
      </c>
      <c r="AW287" s="3">
        <v>1</v>
      </c>
      <c r="AX287" s="3">
        <v>0</v>
      </c>
      <c r="AY287" s="3">
        <v>1</v>
      </c>
      <c r="AZ287" s="3">
        <v>0</v>
      </c>
      <c r="BA287" s="3">
        <v>1</v>
      </c>
      <c r="BB287" s="3">
        <v>0</v>
      </c>
      <c r="BC287" s="3">
        <v>0</v>
      </c>
      <c r="BD287" s="3">
        <v>0</v>
      </c>
      <c r="BE287" s="3">
        <v>0</v>
      </c>
      <c r="BG287" s="2" t="s">
        <v>158</v>
      </c>
      <c r="BH287" s="3">
        <v>1</v>
      </c>
      <c r="BJ287" s="2" t="s">
        <v>96</v>
      </c>
      <c r="BL287" s="2" t="s">
        <v>162</v>
      </c>
      <c r="BM287" s="2" t="s">
        <v>163</v>
      </c>
      <c r="BN287" s="2" t="s">
        <v>99</v>
      </c>
      <c r="BO287" s="2" t="s">
        <v>100</v>
      </c>
      <c r="BP287" s="2" t="s">
        <v>101</v>
      </c>
      <c r="BQ287" s="2" t="s">
        <v>102</v>
      </c>
      <c r="BR287" s="2" t="s">
        <v>103</v>
      </c>
      <c r="BS287" s="2" t="s">
        <v>127</v>
      </c>
      <c r="BT287" s="2" t="s">
        <v>3050</v>
      </c>
      <c r="BU287" s="2" t="s">
        <v>3051</v>
      </c>
      <c r="BV287" s="2" t="s">
        <v>107</v>
      </c>
      <c r="BW287" s="2" t="s">
        <v>108</v>
      </c>
      <c r="BX287" s="2" t="s">
        <v>158</v>
      </c>
      <c r="BY28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87" s="2">
        <f>IF(AND(Cases[[#This Row],[Priority Level]]&gt;=3,Cases[[#This Row],[System Role]]&lt;&gt;"Productive"),1,0)</f>
        <v>0</v>
      </c>
      <c r="CA287" s="2">
        <f>IFERROR(IF(Cases[[#This Row],[Days at Customer]]&gt;MAX(1,Cases[[#This Row],[Days at SAP]]*2),1,0),0)</f>
        <v>0</v>
      </c>
      <c r="CB287" s="2">
        <f>IF(AND(Cases[[#This Row],[Initial Component]]&lt;&gt;"",Cases[[#This Row],[Component]]&lt;&gt;"",Cases[[#This Row],[Initial Component]]&lt;&gt;Cases[[#This Row],[Component]]),1,0)</f>
        <v>0</v>
      </c>
      <c r="CC287" s="2">
        <f>IF(OR(Cases[[#This Row],[Is Reopened]]="X",Cases[[#This Row],[No. of Reopenings]]&gt;0),1,0)</f>
        <v>0</v>
      </c>
      <c r="CD287" s="2">
        <f>IF(Cases[[#This Row],[Confirmation Type]]="Automatic",1,0)</f>
        <v>0</v>
      </c>
      <c r="CE287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288" spans="1:83" x14ac:dyDescent="0.2">
      <c r="A288" s="1" t="s">
        <v>1831</v>
      </c>
      <c r="B288" s="2" t="s">
        <v>1832</v>
      </c>
      <c r="C288" s="2" t="s">
        <v>1833</v>
      </c>
      <c r="D288" s="2" t="s">
        <v>238</v>
      </c>
      <c r="E288" s="3">
        <v>7.33</v>
      </c>
      <c r="F288" s="3">
        <v>21.94</v>
      </c>
      <c r="G288" s="2" t="s">
        <v>79</v>
      </c>
      <c r="H288" s="2" t="s">
        <v>290</v>
      </c>
      <c r="I288" s="3" t="s">
        <v>114</v>
      </c>
      <c r="J288" s="3">
        <v>106</v>
      </c>
      <c r="K288" s="2" t="s">
        <v>1834</v>
      </c>
      <c r="L288" s="4">
        <v>46054</v>
      </c>
      <c r="M288" s="4">
        <v>46050</v>
      </c>
      <c r="N288" s="2" t="s">
        <v>1334</v>
      </c>
      <c r="O288" s="2" t="s">
        <v>181</v>
      </c>
      <c r="P288" s="2" t="s">
        <v>1335</v>
      </c>
      <c r="Q288" s="2" t="s">
        <v>86</v>
      </c>
      <c r="R288" s="2" t="s">
        <v>612</v>
      </c>
      <c r="S288" s="4">
        <v>46021</v>
      </c>
      <c r="T288" s="2" t="s">
        <v>1804</v>
      </c>
      <c r="U288" s="2" t="s">
        <v>1805</v>
      </c>
      <c r="V288" s="2" t="s">
        <v>1334</v>
      </c>
      <c r="W288" s="2" t="s">
        <v>1806</v>
      </c>
      <c r="X288" s="2" t="s">
        <v>117</v>
      </c>
      <c r="Y288" s="3" t="s">
        <v>118</v>
      </c>
      <c r="Z288" s="3">
        <v>29.27</v>
      </c>
      <c r="AA288" s="2" t="s">
        <v>90</v>
      </c>
      <c r="AB288" s="2" t="s">
        <v>292</v>
      </c>
      <c r="AC288" s="2" t="s">
        <v>289</v>
      </c>
      <c r="AD288" t="str" cm="1">
        <f t="array" ref="AD28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288" s="2" t="s">
        <v>139</v>
      </c>
      <c r="AF288" s="2" t="s">
        <v>92</v>
      </c>
      <c r="AG288" s="2" t="s">
        <v>119</v>
      </c>
      <c r="AH288" s="2" t="s">
        <v>120</v>
      </c>
      <c r="AK288" s="2" t="s">
        <v>1835</v>
      </c>
      <c r="AN288" s="3">
        <v>1</v>
      </c>
      <c r="AO288" s="3">
        <v>1</v>
      </c>
      <c r="AP288" s="3">
        <v>1</v>
      </c>
      <c r="AQ288" s="3">
        <v>1</v>
      </c>
      <c r="AR288" s="3">
        <v>0</v>
      </c>
      <c r="AS288" s="3">
        <v>0</v>
      </c>
      <c r="AT288" s="3">
        <v>1</v>
      </c>
      <c r="AU288" s="3">
        <v>0</v>
      </c>
      <c r="AV288" s="3">
        <v>1</v>
      </c>
      <c r="AW288" s="3">
        <v>0</v>
      </c>
      <c r="AX288" s="3">
        <v>0</v>
      </c>
      <c r="AY288" s="3">
        <v>0</v>
      </c>
      <c r="AZ288" s="3">
        <v>1</v>
      </c>
      <c r="BA288" s="3">
        <v>0</v>
      </c>
      <c r="BB288" s="3">
        <v>0</v>
      </c>
      <c r="BC288" s="3">
        <v>1</v>
      </c>
      <c r="BD288" s="3">
        <v>0</v>
      </c>
      <c r="BE288" s="3">
        <v>0</v>
      </c>
      <c r="BG288" s="2" t="s">
        <v>139</v>
      </c>
      <c r="BH288" s="3">
        <v>2</v>
      </c>
      <c r="BJ288" s="2" t="s">
        <v>96</v>
      </c>
      <c r="BL288" s="2" t="s">
        <v>123</v>
      </c>
      <c r="BM288" s="2" t="s">
        <v>123</v>
      </c>
      <c r="BN288" s="2" t="s">
        <v>124</v>
      </c>
      <c r="BO288" s="2" t="s">
        <v>125</v>
      </c>
      <c r="BP288" s="2" t="s">
        <v>242</v>
      </c>
      <c r="BQ288" s="2" t="s">
        <v>124</v>
      </c>
      <c r="BR288" s="2" t="s">
        <v>126</v>
      </c>
      <c r="BS288" s="2" t="s">
        <v>127</v>
      </c>
      <c r="BT288" s="2" t="s">
        <v>207</v>
      </c>
      <c r="BU288" s="2" t="s">
        <v>208</v>
      </c>
      <c r="BV288" s="2" t="s">
        <v>150</v>
      </c>
      <c r="BW288" s="2" t="s">
        <v>151</v>
      </c>
      <c r="BX288" s="2" t="s">
        <v>139</v>
      </c>
      <c r="BY28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88" s="2">
        <f>IF(AND(Cases[[#This Row],[Priority Level]]&gt;=3,Cases[[#This Row],[System Role]]&lt;&gt;"Productive"),1,0)</f>
        <v>0</v>
      </c>
      <c r="CA288" s="2">
        <f>IFERROR(IF(Cases[[#This Row],[Days at Customer]]&gt;MAX(1,Cases[[#This Row],[Days at SAP]]*2),1,0),0)</f>
        <v>1</v>
      </c>
      <c r="CB288" s="2">
        <f>IF(AND(Cases[[#This Row],[Initial Component]]&lt;&gt;"",Cases[[#This Row],[Component]]&lt;&gt;"",Cases[[#This Row],[Initial Component]]&lt;&gt;Cases[[#This Row],[Component]]),1,0)</f>
        <v>1</v>
      </c>
      <c r="CC288" s="2">
        <f>IF(OR(Cases[[#This Row],[Is Reopened]]="X",Cases[[#This Row],[No. of Reopenings]]&gt;0),1,0)</f>
        <v>0</v>
      </c>
      <c r="CD288" s="2">
        <f>IF(Cases[[#This Row],[Confirmation Type]]="Automatic",1,0)</f>
        <v>1</v>
      </c>
      <c r="CE288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289" spans="1:83" x14ac:dyDescent="0.2">
      <c r="A289" s="1" t="s">
        <v>3343</v>
      </c>
      <c r="B289" s="2" t="s">
        <v>3344</v>
      </c>
      <c r="C289" s="2" t="s">
        <v>265</v>
      </c>
      <c r="D289" s="2" t="s">
        <v>238</v>
      </c>
      <c r="E289" s="3">
        <v>1.6</v>
      </c>
      <c r="F289" s="3">
        <v>21.95</v>
      </c>
      <c r="G289" s="2" t="s">
        <v>79</v>
      </c>
      <c r="H289" s="2" t="s">
        <v>80</v>
      </c>
      <c r="I289" s="3" t="s">
        <v>114</v>
      </c>
      <c r="J289" s="3">
        <v>203</v>
      </c>
      <c r="K289" s="2" t="s">
        <v>3345</v>
      </c>
      <c r="L289" s="4">
        <v>46040</v>
      </c>
      <c r="M289" s="4">
        <v>45948</v>
      </c>
      <c r="N289" s="2" t="s">
        <v>2727</v>
      </c>
      <c r="O289" s="2" t="s">
        <v>1805</v>
      </c>
      <c r="P289" s="2" t="s">
        <v>2936</v>
      </c>
      <c r="Q289" s="2" t="s">
        <v>1806</v>
      </c>
      <c r="R289" s="2" t="s">
        <v>267</v>
      </c>
      <c r="S289" s="4">
        <v>45924</v>
      </c>
      <c r="T289" s="2" t="s">
        <v>3264</v>
      </c>
      <c r="U289" s="2" t="s">
        <v>3265</v>
      </c>
      <c r="V289" s="2" t="s">
        <v>3296</v>
      </c>
      <c r="W289" s="2" t="s">
        <v>1806</v>
      </c>
      <c r="X289" s="2" t="s">
        <v>117</v>
      </c>
      <c r="Y289" s="3" t="s">
        <v>118</v>
      </c>
      <c r="Z289" s="3">
        <v>23.56</v>
      </c>
      <c r="AA289" s="2" t="s">
        <v>90</v>
      </c>
      <c r="AB289" s="2" t="s">
        <v>267</v>
      </c>
      <c r="AC289" s="2" t="s">
        <v>265</v>
      </c>
      <c r="AD289" t="str" cm="1">
        <f t="array" ref="AD28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289" s="2" t="s">
        <v>91</v>
      </c>
      <c r="AF289" s="2" t="s">
        <v>92</v>
      </c>
      <c r="AG289" s="2" t="s">
        <v>119</v>
      </c>
      <c r="AH289" s="2" t="s">
        <v>120</v>
      </c>
      <c r="AK289" s="2" t="s">
        <v>3346</v>
      </c>
      <c r="AN289" s="3">
        <v>1</v>
      </c>
      <c r="AO289" s="3">
        <v>0</v>
      </c>
      <c r="AP289" s="3">
        <v>1</v>
      </c>
      <c r="AQ289" s="3">
        <v>1</v>
      </c>
      <c r="AR289" s="3">
        <v>1</v>
      </c>
      <c r="AS289" s="3">
        <v>0</v>
      </c>
      <c r="AT289" s="3">
        <v>0</v>
      </c>
      <c r="AU289" s="3">
        <v>0</v>
      </c>
      <c r="AV289" s="3">
        <v>1</v>
      </c>
      <c r="AW289" s="3">
        <v>0</v>
      </c>
      <c r="AX289" s="3">
        <v>1</v>
      </c>
      <c r="AY289" s="3">
        <v>0</v>
      </c>
      <c r="AZ289" s="3">
        <v>0</v>
      </c>
      <c r="BA289" s="3">
        <v>0</v>
      </c>
      <c r="BB289" s="3">
        <v>0</v>
      </c>
      <c r="BC289" s="3">
        <v>1</v>
      </c>
      <c r="BD289" s="3">
        <v>0</v>
      </c>
      <c r="BE289" s="3">
        <v>0</v>
      </c>
      <c r="BG289" s="2" t="s">
        <v>91</v>
      </c>
      <c r="BH289" s="3">
        <v>3</v>
      </c>
      <c r="BJ289" s="2" t="s">
        <v>96</v>
      </c>
      <c r="BL289" s="2" t="s">
        <v>123</v>
      </c>
      <c r="BM289" s="2" t="s">
        <v>123</v>
      </c>
      <c r="BN289" s="2" t="s">
        <v>124</v>
      </c>
      <c r="BO289" s="2" t="s">
        <v>125</v>
      </c>
      <c r="BP289" s="2" t="s">
        <v>242</v>
      </c>
      <c r="BQ289" s="2" t="s">
        <v>124</v>
      </c>
      <c r="BR289" s="2" t="s">
        <v>126</v>
      </c>
      <c r="BS289" s="2" t="s">
        <v>127</v>
      </c>
      <c r="BT289" s="2" t="s">
        <v>207</v>
      </c>
      <c r="BU289" s="2" t="s">
        <v>208</v>
      </c>
      <c r="BV289" s="2" t="s">
        <v>150</v>
      </c>
      <c r="BW289" s="2" t="s">
        <v>151</v>
      </c>
      <c r="BX289" s="2" t="s">
        <v>91</v>
      </c>
      <c r="BY28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89" s="2">
        <f>IF(AND(Cases[[#This Row],[Priority Level]]&gt;=3,Cases[[#This Row],[System Role]]&lt;&gt;"Productive"),1,0)</f>
        <v>0</v>
      </c>
      <c r="CA289" s="2">
        <f>IFERROR(IF(Cases[[#This Row],[Days at Customer]]&gt;MAX(1,Cases[[#This Row],[Days at SAP]]*2),1,0),0)</f>
        <v>1</v>
      </c>
      <c r="CB289" s="2">
        <f>IF(AND(Cases[[#This Row],[Initial Component]]&lt;&gt;"",Cases[[#This Row],[Component]]&lt;&gt;"",Cases[[#This Row],[Initial Component]]&lt;&gt;Cases[[#This Row],[Component]]),1,0)</f>
        <v>0</v>
      </c>
      <c r="CC289" s="2">
        <f>IF(OR(Cases[[#This Row],[Is Reopened]]="X",Cases[[#This Row],[No. of Reopenings]]&gt;0),1,0)</f>
        <v>0</v>
      </c>
      <c r="CD289" s="2">
        <f>IF(Cases[[#This Row],[Confirmation Type]]="Automatic",1,0)</f>
        <v>1</v>
      </c>
      <c r="CE289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90" spans="1:83" x14ac:dyDescent="0.2">
      <c r="A290" s="1" t="s">
        <v>1840</v>
      </c>
      <c r="B290" s="2" t="s">
        <v>1841</v>
      </c>
      <c r="C290" s="2" t="s">
        <v>1842</v>
      </c>
      <c r="D290" s="2" t="s">
        <v>238</v>
      </c>
      <c r="E290" s="3">
        <v>1.57</v>
      </c>
      <c r="F290" s="3">
        <v>21.88</v>
      </c>
      <c r="G290" s="2" t="s">
        <v>79</v>
      </c>
      <c r="H290" s="2" t="s">
        <v>155</v>
      </c>
      <c r="I290" s="3" t="s">
        <v>114</v>
      </c>
      <c r="J290" s="3">
        <v>107</v>
      </c>
      <c r="K290" s="2" t="s">
        <v>1843</v>
      </c>
      <c r="L290" s="4">
        <v>46061</v>
      </c>
      <c r="M290" s="4">
        <v>46043</v>
      </c>
      <c r="N290" s="2" t="s">
        <v>1334</v>
      </c>
      <c r="O290" s="2" t="s">
        <v>181</v>
      </c>
      <c r="P290" s="2" t="s">
        <v>83</v>
      </c>
      <c r="Q290" s="2" t="s">
        <v>86</v>
      </c>
      <c r="R290" s="2" t="s">
        <v>1844</v>
      </c>
      <c r="S290" s="4">
        <v>46020</v>
      </c>
      <c r="T290" s="2" t="s">
        <v>1804</v>
      </c>
      <c r="U290" s="2" t="s">
        <v>1805</v>
      </c>
      <c r="V290" s="2" t="s">
        <v>1334</v>
      </c>
      <c r="W290" s="2" t="s">
        <v>1806</v>
      </c>
      <c r="X290" s="2" t="s">
        <v>117</v>
      </c>
      <c r="Y290" s="3" t="s">
        <v>118</v>
      </c>
      <c r="Z290" s="3">
        <v>23.45</v>
      </c>
      <c r="AA290" s="2" t="s">
        <v>90</v>
      </c>
      <c r="AB290" s="2" t="s">
        <v>590</v>
      </c>
      <c r="AC290" s="2" t="s">
        <v>587</v>
      </c>
      <c r="AD290" t="str" cm="1">
        <f t="array" ref="AD29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290" s="2" t="s">
        <v>91</v>
      </c>
      <c r="AF290" s="2" t="s">
        <v>92</v>
      </c>
      <c r="AG290" s="2" t="s">
        <v>119</v>
      </c>
      <c r="AH290" s="2" t="s">
        <v>120</v>
      </c>
      <c r="AK290" s="2" t="s">
        <v>1845</v>
      </c>
      <c r="AN290" s="3">
        <v>1</v>
      </c>
      <c r="AO290" s="3">
        <v>1</v>
      </c>
      <c r="AP290" s="3">
        <v>1</v>
      </c>
      <c r="AQ290" s="3">
        <v>1</v>
      </c>
      <c r="AR290" s="3">
        <v>1</v>
      </c>
      <c r="AS290" s="3">
        <v>0</v>
      </c>
      <c r="AT290" s="3">
        <v>0</v>
      </c>
      <c r="AU290" s="3">
        <v>0</v>
      </c>
      <c r="AV290" s="3">
        <v>1</v>
      </c>
      <c r="AW290" s="3">
        <v>0</v>
      </c>
      <c r="AX290" s="3">
        <v>1</v>
      </c>
      <c r="AY290" s="3">
        <v>0</v>
      </c>
      <c r="AZ290" s="3">
        <v>0</v>
      </c>
      <c r="BA290" s="3">
        <v>1</v>
      </c>
      <c r="BB290" s="3">
        <v>0</v>
      </c>
      <c r="BC290" s="3">
        <v>0</v>
      </c>
      <c r="BD290" s="3">
        <v>0</v>
      </c>
      <c r="BE290" s="3">
        <v>0</v>
      </c>
      <c r="BG290" s="2" t="s">
        <v>91</v>
      </c>
      <c r="BH290" s="3">
        <v>3</v>
      </c>
      <c r="BJ290" s="2" t="s">
        <v>96</v>
      </c>
      <c r="BL290" s="2" t="s">
        <v>123</v>
      </c>
      <c r="BM290" s="2" t="s">
        <v>123</v>
      </c>
      <c r="BN290" s="2" t="s">
        <v>124</v>
      </c>
      <c r="BO290" s="2" t="s">
        <v>125</v>
      </c>
      <c r="BP290" s="2" t="s">
        <v>242</v>
      </c>
      <c r="BQ290" s="2" t="s">
        <v>124</v>
      </c>
      <c r="BR290" s="2" t="s">
        <v>126</v>
      </c>
      <c r="BS290" s="2" t="s">
        <v>127</v>
      </c>
      <c r="BT290" s="2" t="s">
        <v>1846</v>
      </c>
      <c r="BU290" s="2" t="s">
        <v>1847</v>
      </c>
      <c r="BV290" s="2" t="s">
        <v>107</v>
      </c>
      <c r="BW290" s="2" t="s">
        <v>108</v>
      </c>
      <c r="BX290" s="2" t="s">
        <v>91</v>
      </c>
      <c r="BY29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90" s="2">
        <f>IF(AND(Cases[[#This Row],[Priority Level]]&gt;=3,Cases[[#This Row],[System Role]]&lt;&gt;"Productive"),1,0)</f>
        <v>1</v>
      </c>
      <c r="CA290" s="2">
        <f>IFERROR(IF(Cases[[#This Row],[Days at Customer]]&gt;MAX(1,Cases[[#This Row],[Days at SAP]]*2),1,0),0)</f>
        <v>1</v>
      </c>
      <c r="CB290" s="2">
        <f>IF(AND(Cases[[#This Row],[Initial Component]]&lt;&gt;"",Cases[[#This Row],[Component]]&lt;&gt;"",Cases[[#This Row],[Initial Component]]&lt;&gt;Cases[[#This Row],[Component]]),1,0)</f>
        <v>1</v>
      </c>
      <c r="CC290" s="2">
        <f>IF(OR(Cases[[#This Row],[Is Reopened]]="X",Cases[[#This Row],[No. of Reopenings]]&gt;0),1,0)</f>
        <v>0</v>
      </c>
      <c r="CD290" s="2">
        <f>IF(Cases[[#This Row],[Confirmation Type]]="Automatic",1,0)</f>
        <v>1</v>
      </c>
      <c r="CE290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291" spans="1:83" x14ac:dyDescent="0.2">
      <c r="A291" s="1" t="s">
        <v>1848</v>
      </c>
      <c r="B291" s="2" t="s">
        <v>1849</v>
      </c>
      <c r="C291" s="2" t="s">
        <v>1850</v>
      </c>
      <c r="D291" s="2" t="s">
        <v>238</v>
      </c>
      <c r="E291" s="3">
        <v>21.54</v>
      </c>
      <c r="F291" s="3">
        <v>34.9</v>
      </c>
      <c r="G291" s="2" t="s">
        <v>79</v>
      </c>
      <c r="H291" s="2" t="s">
        <v>178</v>
      </c>
      <c r="I291" s="3" t="s">
        <v>114</v>
      </c>
      <c r="J291" s="3">
        <v>107</v>
      </c>
      <c r="K291" s="2" t="s">
        <v>1851</v>
      </c>
      <c r="L291" s="4">
        <v>46082</v>
      </c>
      <c r="M291" s="4">
        <v>46077</v>
      </c>
      <c r="N291" s="2" t="s">
        <v>677</v>
      </c>
      <c r="O291" s="2" t="s">
        <v>181</v>
      </c>
      <c r="P291" s="2" t="s">
        <v>678</v>
      </c>
      <c r="Q291" s="2" t="s">
        <v>86</v>
      </c>
      <c r="R291" s="2" t="s">
        <v>363</v>
      </c>
      <c r="S291" s="4">
        <v>46020</v>
      </c>
      <c r="T291" s="2" t="s">
        <v>1804</v>
      </c>
      <c r="U291" s="2" t="s">
        <v>1805</v>
      </c>
      <c r="V291" s="2" t="s">
        <v>1334</v>
      </c>
      <c r="W291" s="2" t="s">
        <v>1806</v>
      </c>
      <c r="X291" s="2" t="s">
        <v>117</v>
      </c>
      <c r="Y291" s="3" t="s">
        <v>118</v>
      </c>
      <c r="Z291" s="3">
        <v>56.44</v>
      </c>
      <c r="AA291" s="2" t="s">
        <v>90</v>
      </c>
      <c r="AB291" s="2" t="s">
        <v>1852</v>
      </c>
      <c r="AC291" s="2" t="s">
        <v>1853</v>
      </c>
      <c r="AD291" t="str" cm="1">
        <f t="array" ref="AD29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291" s="2" t="s">
        <v>91</v>
      </c>
      <c r="AF291" s="2" t="s">
        <v>92</v>
      </c>
      <c r="AG291" s="2" t="s">
        <v>119</v>
      </c>
      <c r="AH291" s="2" t="s">
        <v>120</v>
      </c>
      <c r="AK291" s="2" t="s">
        <v>1854</v>
      </c>
      <c r="AN291" s="3">
        <v>1</v>
      </c>
      <c r="AO291" s="3">
        <v>1</v>
      </c>
      <c r="AP291" s="3">
        <v>1</v>
      </c>
      <c r="AQ291" s="3">
        <v>1</v>
      </c>
      <c r="AR291" s="3">
        <v>1</v>
      </c>
      <c r="AS291" s="3">
        <v>0</v>
      </c>
      <c r="AT291" s="3">
        <v>0</v>
      </c>
      <c r="AU291" s="3">
        <v>0</v>
      </c>
      <c r="AV291" s="3">
        <v>1</v>
      </c>
      <c r="AW291" s="3">
        <v>0</v>
      </c>
      <c r="AX291" s="3">
        <v>1</v>
      </c>
      <c r="AY291" s="3">
        <v>0</v>
      </c>
      <c r="AZ291" s="3">
        <v>0</v>
      </c>
      <c r="BA291" s="3">
        <v>0</v>
      </c>
      <c r="BB291" s="3">
        <v>0</v>
      </c>
      <c r="BC291" s="3">
        <v>1</v>
      </c>
      <c r="BD291" s="3">
        <v>0</v>
      </c>
      <c r="BE291" s="3">
        <v>0</v>
      </c>
      <c r="BG291" s="2" t="s">
        <v>91</v>
      </c>
      <c r="BH291" s="3">
        <v>3</v>
      </c>
      <c r="BJ291" s="2" t="s">
        <v>96</v>
      </c>
      <c r="BL291" s="2" t="s">
        <v>123</v>
      </c>
      <c r="BM291" s="2" t="s">
        <v>123</v>
      </c>
      <c r="BN291" s="2" t="s">
        <v>124</v>
      </c>
      <c r="BO291" s="2" t="s">
        <v>125</v>
      </c>
      <c r="BP291" s="2" t="s">
        <v>242</v>
      </c>
      <c r="BQ291" s="2" t="s">
        <v>124</v>
      </c>
      <c r="BR291" s="2" t="s">
        <v>126</v>
      </c>
      <c r="BS291" s="2" t="s">
        <v>127</v>
      </c>
      <c r="BT291" s="2" t="s">
        <v>207</v>
      </c>
      <c r="BU291" s="2" t="s">
        <v>208</v>
      </c>
      <c r="BV291" s="2" t="s">
        <v>150</v>
      </c>
      <c r="BW291" s="2" t="s">
        <v>151</v>
      </c>
      <c r="BX291" s="2" t="s">
        <v>91</v>
      </c>
      <c r="BY29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91" s="2">
        <f>IF(AND(Cases[[#This Row],[Priority Level]]&gt;=3,Cases[[#This Row],[System Role]]&lt;&gt;"Productive"),1,0)</f>
        <v>0</v>
      </c>
      <c r="CA291" s="2">
        <f>IFERROR(IF(Cases[[#This Row],[Days at Customer]]&gt;MAX(1,Cases[[#This Row],[Days at SAP]]*2),1,0),0)</f>
        <v>0</v>
      </c>
      <c r="CB291" s="2">
        <f>IF(AND(Cases[[#This Row],[Initial Component]]&lt;&gt;"",Cases[[#This Row],[Component]]&lt;&gt;"",Cases[[#This Row],[Initial Component]]&lt;&gt;Cases[[#This Row],[Component]]),1,0)</f>
        <v>1</v>
      </c>
      <c r="CC291" s="2">
        <f>IF(OR(Cases[[#This Row],[Is Reopened]]="X",Cases[[#This Row],[No. of Reopenings]]&gt;0),1,0)</f>
        <v>0</v>
      </c>
      <c r="CD291" s="2">
        <f>IF(Cases[[#This Row],[Confirmation Type]]="Automatic",1,0)</f>
        <v>1</v>
      </c>
      <c r="CE291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92" spans="1:83" x14ac:dyDescent="0.2">
      <c r="A292" s="1" t="s">
        <v>3425</v>
      </c>
      <c r="B292" s="2" t="s">
        <v>3426</v>
      </c>
      <c r="C292" s="2" t="s">
        <v>203</v>
      </c>
      <c r="D292" s="2" t="s">
        <v>78</v>
      </c>
      <c r="E292" s="3">
        <v>0</v>
      </c>
      <c r="F292" s="3">
        <v>12.24</v>
      </c>
      <c r="G292" s="2" t="s">
        <v>112</v>
      </c>
      <c r="H292" s="2" t="s">
        <v>113</v>
      </c>
      <c r="I292" s="3" t="s">
        <v>114</v>
      </c>
      <c r="J292" s="3">
        <v>208</v>
      </c>
      <c r="K292" s="2" t="s">
        <v>3427</v>
      </c>
      <c r="L292" s="4">
        <v>46040</v>
      </c>
      <c r="M292" s="4">
        <v>45946</v>
      </c>
      <c r="N292" s="2" t="s">
        <v>2727</v>
      </c>
      <c r="O292" s="2" t="s">
        <v>1805</v>
      </c>
      <c r="P292" s="2" t="s">
        <v>2936</v>
      </c>
      <c r="Q292" s="2" t="s">
        <v>1806</v>
      </c>
      <c r="R292" s="2" t="s">
        <v>205</v>
      </c>
      <c r="S292" s="4">
        <v>45919</v>
      </c>
      <c r="T292" s="2" t="s">
        <v>3264</v>
      </c>
      <c r="U292" s="2" t="s">
        <v>3265</v>
      </c>
      <c r="V292" s="2" t="s">
        <v>3423</v>
      </c>
      <c r="W292" s="2" t="s">
        <v>1806</v>
      </c>
      <c r="X292" s="2" t="s">
        <v>117</v>
      </c>
      <c r="Y292" s="3" t="s">
        <v>118</v>
      </c>
      <c r="Z292" s="3">
        <v>12.24</v>
      </c>
      <c r="AA292" s="2" t="s">
        <v>90</v>
      </c>
      <c r="AB292" s="2" t="s">
        <v>205</v>
      </c>
      <c r="AC292" s="2" t="s">
        <v>203</v>
      </c>
      <c r="AD292" t="str" cm="1">
        <f t="array" ref="AD29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292" s="2" t="s">
        <v>91</v>
      </c>
      <c r="AF292" s="2" t="s">
        <v>92</v>
      </c>
      <c r="AG292" s="2" t="s">
        <v>119</v>
      </c>
      <c r="AH292" s="2" t="s">
        <v>120</v>
      </c>
      <c r="AK292" s="2" t="s">
        <v>3428</v>
      </c>
      <c r="AN292" s="3">
        <v>1</v>
      </c>
      <c r="AO292" s="3">
        <v>0</v>
      </c>
      <c r="AP292" s="3">
        <v>1</v>
      </c>
      <c r="AQ292" s="3">
        <v>1</v>
      </c>
      <c r="AR292" s="3">
        <v>1</v>
      </c>
      <c r="AS292" s="3">
        <v>0</v>
      </c>
      <c r="AT292" s="3">
        <v>0</v>
      </c>
      <c r="AU292" s="3">
        <v>0</v>
      </c>
      <c r="AV292" s="3">
        <v>0</v>
      </c>
      <c r="AW292" s="3">
        <v>1</v>
      </c>
      <c r="AX292" s="3">
        <v>1</v>
      </c>
      <c r="AY292" s="3">
        <v>0</v>
      </c>
      <c r="AZ292" s="3">
        <v>0</v>
      </c>
      <c r="BA292" s="3">
        <v>0</v>
      </c>
      <c r="BB292" s="3">
        <v>0</v>
      </c>
      <c r="BC292" s="3">
        <v>1</v>
      </c>
      <c r="BD292" s="3">
        <v>0</v>
      </c>
      <c r="BE292" s="3">
        <v>0</v>
      </c>
      <c r="BG292" s="2" t="s">
        <v>91</v>
      </c>
      <c r="BH292" s="3">
        <v>3</v>
      </c>
      <c r="BI292" s="2" t="s">
        <v>122</v>
      </c>
      <c r="BJ292" s="2" t="s">
        <v>96</v>
      </c>
      <c r="BL292" s="2" t="s">
        <v>123</v>
      </c>
      <c r="BM292" s="2" t="s">
        <v>123</v>
      </c>
      <c r="BN292" s="2" t="s">
        <v>124</v>
      </c>
      <c r="BO292" s="2" t="s">
        <v>125</v>
      </c>
      <c r="BP292" s="2" t="s">
        <v>101</v>
      </c>
      <c r="BQ292" s="2" t="s">
        <v>124</v>
      </c>
      <c r="BR292" s="2" t="s">
        <v>126</v>
      </c>
      <c r="BS292" s="2" t="s">
        <v>127</v>
      </c>
      <c r="BT292" s="2" t="s">
        <v>207</v>
      </c>
      <c r="BU292" s="2" t="s">
        <v>208</v>
      </c>
      <c r="BV292" s="2" t="s">
        <v>150</v>
      </c>
      <c r="BW292" s="2" t="s">
        <v>151</v>
      </c>
      <c r="BX292" s="2" t="s">
        <v>91</v>
      </c>
      <c r="BY29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92" s="2">
        <f>IF(AND(Cases[[#This Row],[Priority Level]]&gt;=3,Cases[[#This Row],[System Role]]&lt;&gt;"Productive"),1,0)</f>
        <v>0</v>
      </c>
      <c r="CA292" s="2">
        <f>IFERROR(IF(Cases[[#This Row],[Days at Customer]]&gt;MAX(1,Cases[[#This Row],[Days at SAP]]*2),1,0),0)</f>
        <v>1</v>
      </c>
      <c r="CB292" s="2">
        <f>IF(AND(Cases[[#This Row],[Initial Component]]&lt;&gt;"",Cases[[#This Row],[Component]]&lt;&gt;"",Cases[[#This Row],[Initial Component]]&lt;&gt;Cases[[#This Row],[Component]]),1,0)</f>
        <v>0</v>
      </c>
      <c r="CC292" s="2">
        <f>IF(OR(Cases[[#This Row],[Is Reopened]]="X",Cases[[#This Row],[No. of Reopenings]]&gt;0),1,0)</f>
        <v>0</v>
      </c>
      <c r="CD292" s="2">
        <f>IF(Cases[[#This Row],[Confirmation Type]]="Automatic",1,0)</f>
        <v>0</v>
      </c>
      <c r="CE292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93" spans="1:83" x14ac:dyDescent="0.2">
      <c r="A293" s="1" t="s">
        <v>1863</v>
      </c>
      <c r="B293" s="2" t="s">
        <v>1864</v>
      </c>
      <c r="C293" s="2" t="s">
        <v>1865</v>
      </c>
      <c r="D293" s="2" t="s">
        <v>238</v>
      </c>
      <c r="E293" s="3">
        <v>1.74</v>
      </c>
      <c r="F293" s="3">
        <v>42.59</v>
      </c>
      <c r="G293" s="2" t="s">
        <v>112</v>
      </c>
      <c r="H293" s="2" t="s">
        <v>113</v>
      </c>
      <c r="I293" s="3" t="s">
        <v>114</v>
      </c>
      <c r="J293" s="3">
        <v>108</v>
      </c>
      <c r="K293" s="2" t="s">
        <v>1866</v>
      </c>
      <c r="L293" s="4">
        <v>46068</v>
      </c>
      <c r="M293" s="4">
        <v>46064</v>
      </c>
      <c r="N293" s="2" t="s">
        <v>677</v>
      </c>
      <c r="O293" s="2" t="s">
        <v>181</v>
      </c>
      <c r="P293" s="2" t="s">
        <v>1079</v>
      </c>
      <c r="Q293" s="2" t="s">
        <v>86</v>
      </c>
      <c r="R293" s="2" t="s">
        <v>1867</v>
      </c>
      <c r="S293" s="4">
        <v>46019</v>
      </c>
      <c r="T293" s="2" t="s">
        <v>1804</v>
      </c>
      <c r="U293" s="2" t="s">
        <v>1805</v>
      </c>
      <c r="V293" s="2" t="s">
        <v>1868</v>
      </c>
      <c r="W293" s="2" t="s">
        <v>1806</v>
      </c>
      <c r="X293" s="2" t="s">
        <v>117</v>
      </c>
      <c r="Y293" s="3" t="s">
        <v>118</v>
      </c>
      <c r="Z293" s="3">
        <v>44.33</v>
      </c>
      <c r="AA293" s="2" t="s">
        <v>90</v>
      </c>
      <c r="AB293" s="2" t="s">
        <v>363</v>
      </c>
      <c r="AC293" s="2" t="s">
        <v>364</v>
      </c>
      <c r="AD293" t="str" cm="1">
        <f t="array" ref="AD29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293" s="2" t="s">
        <v>91</v>
      </c>
      <c r="AF293" s="2" t="s">
        <v>92</v>
      </c>
      <c r="AG293" s="2" t="s">
        <v>119</v>
      </c>
      <c r="AH293" s="2" t="s">
        <v>120</v>
      </c>
      <c r="AK293" s="2" t="s">
        <v>1869</v>
      </c>
      <c r="AN293" s="3">
        <v>1</v>
      </c>
      <c r="AO293" s="3">
        <v>1</v>
      </c>
      <c r="AP293" s="3">
        <v>1</v>
      </c>
      <c r="AQ293" s="3">
        <v>1</v>
      </c>
      <c r="AR293" s="3">
        <v>1</v>
      </c>
      <c r="AS293" s="3">
        <v>0</v>
      </c>
      <c r="AT293" s="3">
        <v>0</v>
      </c>
      <c r="AU293" s="3">
        <v>0</v>
      </c>
      <c r="AV293" s="3">
        <v>1</v>
      </c>
      <c r="AW293" s="3">
        <v>0</v>
      </c>
      <c r="AX293" s="3">
        <v>1</v>
      </c>
      <c r="AY293" s="3">
        <v>0</v>
      </c>
      <c r="AZ293" s="3">
        <v>0</v>
      </c>
      <c r="BA293" s="3">
        <v>1</v>
      </c>
      <c r="BB293" s="3">
        <v>0</v>
      </c>
      <c r="BC293" s="3">
        <v>0</v>
      </c>
      <c r="BD293" s="3">
        <v>0</v>
      </c>
      <c r="BE293" s="3">
        <v>0</v>
      </c>
      <c r="BG293" s="2" t="s">
        <v>91</v>
      </c>
      <c r="BH293" s="3">
        <v>3</v>
      </c>
      <c r="BJ293" s="2" t="s">
        <v>96</v>
      </c>
      <c r="BL293" s="2" t="s">
        <v>123</v>
      </c>
      <c r="BM293" s="2" t="s">
        <v>123</v>
      </c>
      <c r="BN293" s="2" t="s">
        <v>124</v>
      </c>
      <c r="BO293" s="2" t="s">
        <v>125</v>
      </c>
      <c r="BP293" s="2" t="s">
        <v>242</v>
      </c>
      <c r="BQ293" s="2" t="s">
        <v>124</v>
      </c>
      <c r="BR293" s="2" t="s">
        <v>126</v>
      </c>
      <c r="BS293" s="2" t="s">
        <v>127</v>
      </c>
      <c r="BT293" s="2" t="s">
        <v>128</v>
      </c>
      <c r="BU293" s="2" t="s">
        <v>129</v>
      </c>
      <c r="BV293" s="2" t="s">
        <v>107</v>
      </c>
      <c r="BW293" s="2" t="s">
        <v>108</v>
      </c>
      <c r="BX293" s="2" t="s">
        <v>91</v>
      </c>
      <c r="BY29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93" s="2">
        <f>IF(AND(Cases[[#This Row],[Priority Level]]&gt;=3,Cases[[#This Row],[System Role]]&lt;&gt;"Productive"),1,0)</f>
        <v>1</v>
      </c>
      <c r="CA293" s="2">
        <f>IFERROR(IF(Cases[[#This Row],[Days at Customer]]&gt;MAX(1,Cases[[#This Row],[Days at SAP]]*2),1,0),0)</f>
        <v>1</v>
      </c>
      <c r="CB293" s="2">
        <f>IF(AND(Cases[[#This Row],[Initial Component]]&lt;&gt;"",Cases[[#This Row],[Component]]&lt;&gt;"",Cases[[#This Row],[Initial Component]]&lt;&gt;Cases[[#This Row],[Component]]),1,0)</f>
        <v>1</v>
      </c>
      <c r="CC293" s="2">
        <f>IF(OR(Cases[[#This Row],[Is Reopened]]="X",Cases[[#This Row],[No. of Reopenings]]&gt;0),1,0)</f>
        <v>0</v>
      </c>
      <c r="CD293" s="2">
        <f>IF(Cases[[#This Row],[Confirmation Type]]="Automatic",1,0)</f>
        <v>1</v>
      </c>
      <c r="CE293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294" spans="1:83" x14ac:dyDescent="0.2">
      <c r="A294" s="1" t="s">
        <v>3433</v>
      </c>
      <c r="B294" s="2" t="s">
        <v>3434</v>
      </c>
      <c r="C294" s="2" t="s">
        <v>203</v>
      </c>
      <c r="D294" s="2" t="s">
        <v>238</v>
      </c>
      <c r="E294" s="3">
        <v>0</v>
      </c>
      <c r="F294" s="3">
        <v>25.17</v>
      </c>
      <c r="G294" s="2" t="s">
        <v>112</v>
      </c>
      <c r="H294" s="2" t="s">
        <v>113</v>
      </c>
      <c r="I294" s="3" t="s">
        <v>114</v>
      </c>
      <c r="J294" s="3">
        <v>208</v>
      </c>
      <c r="K294" s="2" t="s">
        <v>3435</v>
      </c>
      <c r="L294" s="4">
        <v>46040</v>
      </c>
      <c r="M294" s="4">
        <v>45945</v>
      </c>
      <c r="N294" s="2" t="s">
        <v>2727</v>
      </c>
      <c r="O294" s="2" t="s">
        <v>1805</v>
      </c>
      <c r="P294" s="2" t="s">
        <v>2936</v>
      </c>
      <c r="Q294" s="2" t="s">
        <v>1806</v>
      </c>
      <c r="R294" s="2" t="s">
        <v>205</v>
      </c>
      <c r="S294" s="4">
        <v>45919</v>
      </c>
      <c r="T294" s="2" t="s">
        <v>3264</v>
      </c>
      <c r="U294" s="2" t="s">
        <v>3265</v>
      </c>
      <c r="V294" s="2" t="s">
        <v>3423</v>
      </c>
      <c r="W294" s="2" t="s">
        <v>1806</v>
      </c>
      <c r="X294" s="2" t="s">
        <v>117</v>
      </c>
      <c r="Y294" s="3" t="s">
        <v>118</v>
      </c>
      <c r="Z294" s="3">
        <v>25.17</v>
      </c>
      <c r="AA294" s="2" t="s">
        <v>90</v>
      </c>
      <c r="AB294" s="2" t="s">
        <v>205</v>
      </c>
      <c r="AC294" s="2" t="s">
        <v>203</v>
      </c>
      <c r="AD294" t="str" cm="1">
        <f t="array" ref="AD29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294" s="2" t="s">
        <v>139</v>
      </c>
      <c r="AF294" s="2" t="s">
        <v>92</v>
      </c>
      <c r="AG294" s="2" t="s">
        <v>119</v>
      </c>
      <c r="AH294" s="2" t="s">
        <v>120</v>
      </c>
      <c r="AK294" s="2" t="s">
        <v>3436</v>
      </c>
      <c r="AN294" s="3">
        <v>1</v>
      </c>
      <c r="AO294" s="3">
        <v>0</v>
      </c>
      <c r="AP294" s="3">
        <v>1</v>
      </c>
      <c r="AQ294" s="3">
        <v>1</v>
      </c>
      <c r="AR294" s="3">
        <v>1</v>
      </c>
      <c r="AS294" s="3">
        <v>0</v>
      </c>
      <c r="AT294" s="3">
        <v>0</v>
      </c>
      <c r="AU294" s="3">
        <v>0</v>
      </c>
      <c r="AV294" s="3">
        <v>1</v>
      </c>
      <c r="AW294" s="3">
        <v>0</v>
      </c>
      <c r="AX294" s="3">
        <v>1</v>
      </c>
      <c r="AY294" s="3">
        <v>0</v>
      </c>
      <c r="AZ294" s="3">
        <v>0</v>
      </c>
      <c r="BA294" s="3">
        <v>0</v>
      </c>
      <c r="BB294" s="3">
        <v>0</v>
      </c>
      <c r="BC294" s="3">
        <v>1</v>
      </c>
      <c r="BD294" s="3">
        <v>0</v>
      </c>
      <c r="BE294" s="3">
        <v>0</v>
      </c>
      <c r="BG294" s="2" t="s">
        <v>91</v>
      </c>
      <c r="BH294" s="3">
        <v>3</v>
      </c>
      <c r="BI294" s="2" t="s">
        <v>122</v>
      </c>
      <c r="BJ294" s="2" t="s">
        <v>96</v>
      </c>
      <c r="BL294" s="2" t="s">
        <v>123</v>
      </c>
      <c r="BM294" s="2" t="s">
        <v>123</v>
      </c>
      <c r="BN294" s="2" t="s">
        <v>124</v>
      </c>
      <c r="BO294" s="2" t="s">
        <v>125</v>
      </c>
      <c r="BP294" s="2" t="s">
        <v>242</v>
      </c>
      <c r="BQ294" s="2" t="s">
        <v>124</v>
      </c>
      <c r="BR294" s="2" t="s">
        <v>126</v>
      </c>
      <c r="BS294" s="2" t="s">
        <v>127</v>
      </c>
      <c r="BT294" s="2" t="s">
        <v>207</v>
      </c>
      <c r="BU294" s="2" t="s">
        <v>208</v>
      </c>
      <c r="BV294" s="2" t="s">
        <v>150</v>
      </c>
      <c r="BW294" s="2" t="s">
        <v>151</v>
      </c>
      <c r="BX294" s="2" t="s">
        <v>91</v>
      </c>
      <c r="BY29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94" s="2">
        <f>IF(AND(Cases[[#This Row],[Priority Level]]&gt;=3,Cases[[#This Row],[System Role]]&lt;&gt;"Productive"),1,0)</f>
        <v>0</v>
      </c>
      <c r="CA294" s="2">
        <f>IFERROR(IF(Cases[[#This Row],[Days at Customer]]&gt;MAX(1,Cases[[#This Row],[Days at SAP]]*2),1,0),0)</f>
        <v>1</v>
      </c>
      <c r="CB294" s="2">
        <f>IF(AND(Cases[[#This Row],[Initial Component]]&lt;&gt;"",Cases[[#This Row],[Component]]&lt;&gt;"",Cases[[#This Row],[Initial Component]]&lt;&gt;Cases[[#This Row],[Component]]),1,0)</f>
        <v>0</v>
      </c>
      <c r="CC294" s="2">
        <f>IF(OR(Cases[[#This Row],[Is Reopened]]="X",Cases[[#This Row],[No. of Reopenings]]&gt;0),1,0)</f>
        <v>0</v>
      </c>
      <c r="CD294" s="2">
        <f>IF(Cases[[#This Row],[Confirmation Type]]="Automatic",1,0)</f>
        <v>1</v>
      </c>
      <c r="CE29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95" spans="1:83" x14ac:dyDescent="0.2">
      <c r="A295" s="1" t="s">
        <v>1873</v>
      </c>
      <c r="B295" s="2" t="s">
        <v>1874</v>
      </c>
      <c r="C295" s="2" t="s">
        <v>289</v>
      </c>
      <c r="D295" s="2" t="s">
        <v>238</v>
      </c>
      <c r="E295" s="3">
        <v>19.18</v>
      </c>
      <c r="F295" s="3">
        <v>65.34</v>
      </c>
      <c r="G295" s="2" t="s">
        <v>79</v>
      </c>
      <c r="H295" s="2" t="s">
        <v>80</v>
      </c>
      <c r="I295" s="3" t="s">
        <v>114</v>
      </c>
      <c r="J295" s="3">
        <v>110</v>
      </c>
      <c r="K295" s="2" t="s">
        <v>1875</v>
      </c>
      <c r="L295" s="4">
        <v>46103</v>
      </c>
      <c r="M295" s="4">
        <v>46102</v>
      </c>
      <c r="N295" s="2" t="s">
        <v>180</v>
      </c>
      <c r="O295" s="2" t="s">
        <v>181</v>
      </c>
      <c r="P295" s="2" t="s">
        <v>260</v>
      </c>
      <c r="Q295" s="2" t="s">
        <v>86</v>
      </c>
      <c r="R295" s="2" t="s">
        <v>292</v>
      </c>
      <c r="S295" s="4">
        <v>46017</v>
      </c>
      <c r="T295" s="2" t="s">
        <v>1804</v>
      </c>
      <c r="U295" s="2" t="s">
        <v>1805</v>
      </c>
      <c r="V295" s="2" t="s">
        <v>1868</v>
      </c>
      <c r="W295" s="2" t="s">
        <v>1806</v>
      </c>
      <c r="X295" s="2" t="s">
        <v>117</v>
      </c>
      <c r="Y295" s="3" t="s">
        <v>118</v>
      </c>
      <c r="Z295" s="3">
        <v>84.52</v>
      </c>
      <c r="AA295" s="2" t="s">
        <v>90</v>
      </c>
      <c r="AB295" s="2" t="s">
        <v>292</v>
      </c>
      <c r="AC295" s="2" t="s">
        <v>289</v>
      </c>
      <c r="AD295" t="str" cm="1">
        <f t="array" ref="AD29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295" s="2" t="s">
        <v>139</v>
      </c>
      <c r="AF295" s="2" t="s">
        <v>92</v>
      </c>
      <c r="AG295" s="2" t="s">
        <v>119</v>
      </c>
      <c r="AH295" s="2" t="s">
        <v>120</v>
      </c>
      <c r="AJ295" s="2" t="s">
        <v>122</v>
      </c>
      <c r="AK295" s="2" t="s">
        <v>1876</v>
      </c>
      <c r="AN295" s="3">
        <v>1</v>
      </c>
      <c r="AO295" s="3">
        <v>1</v>
      </c>
      <c r="AP295" s="3">
        <v>1</v>
      </c>
      <c r="AQ295" s="3">
        <v>1</v>
      </c>
      <c r="AR295" s="3">
        <v>0</v>
      </c>
      <c r="AS295" s="3">
        <v>0</v>
      </c>
      <c r="AT295" s="3">
        <v>0</v>
      </c>
      <c r="AU295" s="3">
        <v>1</v>
      </c>
      <c r="AV295" s="3">
        <v>1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1</v>
      </c>
      <c r="BD295" s="3">
        <v>2</v>
      </c>
      <c r="BE295" s="3">
        <v>1</v>
      </c>
      <c r="BG295" s="2" t="s">
        <v>182</v>
      </c>
      <c r="BH295" s="3">
        <v>4</v>
      </c>
      <c r="BJ295" s="2" t="s">
        <v>96</v>
      </c>
      <c r="BL295" s="2" t="s">
        <v>123</v>
      </c>
      <c r="BM295" s="2" t="s">
        <v>123</v>
      </c>
      <c r="BN295" s="2" t="s">
        <v>124</v>
      </c>
      <c r="BO295" s="2" t="s">
        <v>125</v>
      </c>
      <c r="BP295" s="2" t="s">
        <v>242</v>
      </c>
      <c r="BQ295" s="2" t="s">
        <v>124</v>
      </c>
      <c r="BR295" s="2" t="s">
        <v>126</v>
      </c>
      <c r="BS295" s="2" t="s">
        <v>127</v>
      </c>
      <c r="BT295" s="2" t="s">
        <v>207</v>
      </c>
      <c r="BU295" s="2" t="s">
        <v>208</v>
      </c>
      <c r="BV295" s="2" t="s">
        <v>150</v>
      </c>
      <c r="BW295" s="2" t="s">
        <v>151</v>
      </c>
      <c r="BX295" s="2" t="s">
        <v>182</v>
      </c>
      <c r="BY29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95" s="2">
        <f>IF(AND(Cases[[#This Row],[Priority Level]]&gt;=3,Cases[[#This Row],[System Role]]&lt;&gt;"Productive"),1,0)</f>
        <v>0</v>
      </c>
      <c r="CA295" s="2">
        <f>IFERROR(IF(Cases[[#This Row],[Days at Customer]]&gt;MAX(1,Cases[[#This Row],[Days at SAP]]*2),1,0),0)</f>
        <v>1</v>
      </c>
      <c r="CB295" s="2">
        <f>IF(AND(Cases[[#This Row],[Initial Component]]&lt;&gt;"",Cases[[#This Row],[Component]]&lt;&gt;"",Cases[[#This Row],[Initial Component]]&lt;&gt;Cases[[#This Row],[Component]]),1,0)</f>
        <v>0</v>
      </c>
      <c r="CC295" s="2">
        <f>IF(OR(Cases[[#This Row],[Is Reopened]]="X",Cases[[#This Row],[No. of Reopenings]]&gt;0),1,0)</f>
        <v>1</v>
      </c>
      <c r="CD295" s="2">
        <f>IF(Cases[[#This Row],[Confirmation Type]]="Automatic",1,0)</f>
        <v>1</v>
      </c>
      <c r="CE295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96" spans="1:83" x14ac:dyDescent="0.2">
      <c r="A296" s="1" t="s">
        <v>1877</v>
      </c>
      <c r="B296" s="2" t="s">
        <v>1878</v>
      </c>
      <c r="C296" s="2" t="s">
        <v>1879</v>
      </c>
      <c r="D296" s="2" t="s">
        <v>238</v>
      </c>
      <c r="E296" s="3">
        <v>43.86</v>
      </c>
      <c r="F296" s="3">
        <v>42.78</v>
      </c>
      <c r="G296" s="2" t="s">
        <v>79</v>
      </c>
      <c r="H296" s="2" t="s">
        <v>80</v>
      </c>
      <c r="I296" s="3" t="s">
        <v>114</v>
      </c>
      <c r="J296" s="3">
        <v>112</v>
      </c>
      <c r="K296" s="2" t="s">
        <v>1880</v>
      </c>
      <c r="L296" s="4">
        <v>46103</v>
      </c>
      <c r="M296" s="4">
        <v>46101</v>
      </c>
      <c r="N296" s="2" t="s">
        <v>180</v>
      </c>
      <c r="O296" s="2" t="s">
        <v>181</v>
      </c>
      <c r="P296" s="2" t="s">
        <v>260</v>
      </c>
      <c r="Q296" s="2" t="s">
        <v>86</v>
      </c>
      <c r="R296" s="2" t="s">
        <v>1881</v>
      </c>
      <c r="S296" s="4">
        <v>46015</v>
      </c>
      <c r="T296" s="2" t="s">
        <v>1804</v>
      </c>
      <c r="U296" s="2" t="s">
        <v>1805</v>
      </c>
      <c r="V296" s="2" t="s">
        <v>1868</v>
      </c>
      <c r="W296" s="2" t="s">
        <v>1806</v>
      </c>
      <c r="X296" s="2" t="s">
        <v>117</v>
      </c>
      <c r="Y296" s="3" t="s">
        <v>118</v>
      </c>
      <c r="Z296" s="3">
        <v>86.63</v>
      </c>
      <c r="AA296" s="2" t="s">
        <v>90</v>
      </c>
      <c r="AB296" s="2" t="s">
        <v>1881</v>
      </c>
      <c r="AC296" s="2" t="s">
        <v>1879</v>
      </c>
      <c r="AD296" t="str" cm="1">
        <f t="array" ref="AD29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296" s="2" t="s">
        <v>91</v>
      </c>
      <c r="AF296" s="2" t="s">
        <v>92</v>
      </c>
      <c r="AG296" s="2" t="s">
        <v>553</v>
      </c>
      <c r="AH296" s="2" t="s">
        <v>554</v>
      </c>
      <c r="AK296" s="2" t="s">
        <v>1882</v>
      </c>
      <c r="AN296" s="3">
        <v>1</v>
      </c>
      <c r="AO296" s="3">
        <v>1</v>
      </c>
      <c r="AP296" s="3">
        <v>1</v>
      </c>
      <c r="AQ296" s="3">
        <v>1</v>
      </c>
      <c r="AR296" s="3">
        <v>1</v>
      </c>
      <c r="AS296" s="3">
        <v>0</v>
      </c>
      <c r="AT296" s="3">
        <v>0</v>
      </c>
      <c r="AU296" s="3">
        <v>0</v>
      </c>
      <c r="AV296" s="3">
        <v>1</v>
      </c>
      <c r="AW296" s="3">
        <v>0</v>
      </c>
      <c r="AX296" s="3">
        <v>1</v>
      </c>
      <c r="AY296" s="3">
        <v>0</v>
      </c>
      <c r="AZ296" s="3">
        <v>0</v>
      </c>
      <c r="BA296" s="3">
        <v>1</v>
      </c>
      <c r="BB296" s="3">
        <v>0</v>
      </c>
      <c r="BC296" s="3">
        <v>0</v>
      </c>
      <c r="BD296" s="3">
        <v>0</v>
      </c>
      <c r="BE296" s="3">
        <v>0</v>
      </c>
      <c r="BG296" s="2" t="s">
        <v>91</v>
      </c>
      <c r="BH296" s="3">
        <v>3</v>
      </c>
      <c r="BJ296" s="2" t="s">
        <v>96</v>
      </c>
      <c r="BL296" s="2" t="s">
        <v>556</v>
      </c>
      <c r="BM296" s="2" t="s">
        <v>557</v>
      </c>
      <c r="BN296" s="2" t="s">
        <v>99</v>
      </c>
      <c r="BO296" s="2" t="s">
        <v>100</v>
      </c>
      <c r="BP296" s="2" t="s">
        <v>242</v>
      </c>
      <c r="BQ296" s="2" t="s">
        <v>102</v>
      </c>
      <c r="BR296" s="2" t="s">
        <v>103</v>
      </c>
      <c r="BS296" s="2" t="s">
        <v>127</v>
      </c>
      <c r="BT296" s="2" t="s">
        <v>558</v>
      </c>
      <c r="BU296" s="2" t="s">
        <v>559</v>
      </c>
      <c r="BV296" s="2" t="s">
        <v>166</v>
      </c>
      <c r="BW296" s="2" t="s">
        <v>167</v>
      </c>
      <c r="BX296" s="2" t="s">
        <v>91</v>
      </c>
      <c r="BY29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96" s="2">
        <f>IF(AND(Cases[[#This Row],[Priority Level]]&gt;=3,Cases[[#This Row],[System Role]]&lt;&gt;"Productive"),1,0)</f>
        <v>1</v>
      </c>
      <c r="CA296" s="2">
        <f>IFERROR(IF(Cases[[#This Row],[Days at Customer]]&gt;MAX(1,Cases[[#This Row],[Days at SAP]]*2),1,0),0)</f>
        <v>0</v>
      </c>
      <c r="CB296" s="2">
        <f>IF(AND(Cases[[#This Row],[Initial Component]]&lt;&gt;"",Cases[[#This Row],[Component]]&lt;&gt;"",Cases[[#This Row],[Initial Component]]&lt;&gt;Cases[[#This Row],[Component]]),1,0)</f>
        <v>0</v>
      </c>
      <c r="CC296" s="2">
        <f>IF(OR(Cases[[#This Row],[Is Reopened]]="X",Cases[[#This Row],[No. of Reopenings]]&gt;0),1,0)</f>
        <v>0</v>
      </c>
      <c r="CD296" s="2">
        <f>IF(Cases[[#This Row],[Confirmation Type]]="Automatic",1,0)</f>
        <v>1</v>
      </c>
      <c r="CE296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297" spans="1:83" x14ac:dyDescent="0.2">
      <c r="A297" s="1" t="s">
        <v>1883</v>
      </c>
      <c r="B297" s="2" t="s">
        <v>1884</v>
      </c>
      <c r="C297" s="2" t="s">
        <v>858</v>
      </c>
      <c r="D297" s="2" t="s">
        <v>238</v>
      </c>
      <c r="E297" s="3">
        <v>8.61</v>
      </c>
      <c r="F297" s="3">
        <v>27.08</v>
      </c>
      <c r="G297" s="2" t="s">
        <v>79</v>
      </c>
      <c r="H297" s="2" t="s">
        <v>178</v>
      </c>
      <c r="I297" s="3" t="s">
        <v>114</v>
      </c>
      <c r="J297" s="3">
        <v>112</v>
      </c>
      <c r="K297" s="2" t="s">
        <v>1885</v>
      </c>
      <c r="L297" s="4">
        <v>46064</v>
      </c>
      <c r="M297" s="4">
        <v>46051</v>
      </c>
      <c r="N297" s="2" t="s">
        <v>1334</v>
      </c>
      <c r="O297" s="2" t="s">
        <v>181</v>
      </c>
      <c r="P297" s="2" t="s">
        <v>1335</v>
      </c>
      <c r="Q297" s="2" t="s">
        <v>86</v>
      </c>
      <c r="R297" s="2" t="s">
        <v>860</v>
      </c>
      <c r="S297" s="4">
        <v>46015</v>
      </c>
      <c r="T297" s="2" t="s">
        <v>1804</v>
      </c>
      <c r="U297" s="2" t="s">
        <v>1805</v>
      </c>
      <c r="V297" s="2" t="s">
        <v>1868</v>
      </c>
      <c r="W297" s="2" t="s">
        <v>1806</v>
      </c>
      <c r="X297" s="2" t="s">
        <v>117</v>
      </c>
      <c r="Y297" s="3" t="s">
        <v>118</v>
      </c>
      <c r="Z297" s="3">
        <v>35.69</v>
      </c>
      <c r="AA297" s="2" t="s">
        <v>90</v>
      </c>
      <c r="AB297" s="2" t="s">
        <v>861</v>
      </c>
      <c r="AC297" s="2" t="s">
        <v>862</v>
      </c>
      <c r="AD297" t="str" cm="1">
        <f t="array" ref="AD29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297" s="2" t="s">
        <v>139</v>
      </c>
      <c r="AF297" s="2" t="s">
        <v>92</v>
      </c>
      <c r="AG297" s="2" t="s">
        <v>527</v>
      </c>
      <c r="AH297" s="2" t="s">
        <v>528</v>
      </c>
      <c r="AJ297" s="2" t="s">
        <v>122</v>
      </c>
      <c r="AK297" s="2" t="s">
        <v>1886</v>
      </c>
      <c r="AN297" s="3">
        <v>1</v>
      </c>
      <c r="AO297" s="3">
        <v>1</v>
      </c>
      <c r="AP297" s="3">
        <v>1</v>
      </c>
      <c r="AQ297" s="3">
        <v>1</v>
      </c>
      <c r="AR297" s="3">
        <v>1</v>
      </c>
      <c r="AS297" s="3">
        <v>0</v>
      </c>
      <c r="AT297" s="3">
        <v>0</v>
      </c>
      <c r="AU297" s="3">
        <v>0</v>
      </c>
      <c r="AV297" s="3">
        <v>1</v>
      </c>
      <c r="AW297" s="3">
        <v>0</v>
      </c>
      <c r="AX297" s="3">
        <v>1</v>
      </c>
      <c r="AY297" s="3">
        <v>0</v>
      </c>
      <c r="AZ297" s="3">
        <v>0</v>
      </c>
      <c r="BA297" s="3">
        <v>0</v>
      </c>
      <c r="BB297" s="3">
        <v>0</v>
      </c>
      <c r="BC297" s="3">
        <v>1</v>
      </c>
      <c r="BD297" s="3">
        <v>1</v>
      </c>
      <c r="BE297" s="3">
        <v>0</v>
      </c>
      <c r="BG297" s="2" t="s">
        <v>91</v>
      </c>
      <c r="BH297" s="3">
        <v>3</v>
      </c>
      <c r="BJ297" s="2" t="s">
        <v>96</v>
      </c>
      <c r="BL297" s="2" t="s">
        <v>184</v>
      </c>
      <c r="BM297" s="2" t="s">
        <v>184</v>
      </c>
      <c r="BN297" s="2" t="s">
        <v>124</v>
      </c>
      <c r="BO297" s="2" t="s">
        <v>125</v>
      </c>
      <c r="BP297" s="2" t="s">
        <v>242</v>
      </c>
      <c r="BQ297" s="2" t="s">
        <v>124</v>
      </c>
      <c r="BR297" s="2" t="s">
        <v>126</v>
      </c>
      <c r="BS297" s="2" t="s">
        <v>127</v>
      </c>
      <c r="BT297" s="2" t="s">
        <v>185</v>
      </c>
      <c r="BU297" s="2" t="s">
        <v>530</v>
      </c>
      <c r="BV297" s="2" t="s">
        <v>150</v>
      </c>
      <c r="BW297" s="2" t="s">
        <v>151</v>
      </c>
      <c r="BX297" s="2" t="s">
        <v>91</v>
      </c>
      <c r="BY29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297" s="2">
        <f>IF(AND(Cases[[#This Row],[Priority Level]]&gt;=3,Cases[[#This Row],[System Role]]&lt;&gt;"Productive"),1,0)</f>
        <v>0</v>
      </c>
      <c r="CA297" s="2">
        <f>IFERROR(IF(Cases[[#This Row],[Days at Customer]]&gt;MAX(1,Cases[[#This Row],[Days at SAP]]*2),1,0),0)</f>
        <v>1</v>
      </c>
      <c r="CB297" s="2">
        <f>IF(AND(Cases[[#This Row],[Initial Component]]&lt;&gt;"",Cases[[#This Row],[Component]]&lt;&gt;"",Cases[[#This Row],[Initial Component]]&lt;&gt;Cases[[#This Row],[Component]]),1,0)</f>
        <v>1</v>
      </c>
      <c r="CC297" s="2">
        <f>IF(OR(Cases[[#This Row],[Is Reopened]]="X",Cases[[#This Row],[No. of Reopenings]]&gt;0),1,0)</f>
        <v>1</v>
      </c>
      <c r="CD297" s="2">
        <f>IF(Cases[[#This Row],[Confirmation Type]]="Automatic",1,0)</f>
        <v>1</v>
      </c>
      <c r="CE297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298" spans="1:83" x14ac:dyDescent="0.2">
      <c r="A298" s="1" t="s">
        <v>3552</v>
      </c>
      <c r="B298" s="2" t="s">
        <v>3553</v>
      </c>
      <c r="C298" s="2" t="s">
        <v>203</v>
      </c>
      <c r="D298" s="2" t="s">
        <v>238</v>
      </c>
      <c r="E298" s="3">
        <v>0</v>
      </c>
      <c r="F298" s="3">
        <v>25.56</v>
      </c>
      <c r="G298" s="2" t="s">
        <v>112</v>
      </c>
      <c r="H298" s="2" t="s">
        <v>113</v>
      </c>
      <c r="I298" s="3" t="s">
        <v>81</v>
      </c>
      <c r="J298" s="3">
        <v>216</v>
      </c>
      <c r="K298" s="2" t="s">
        <v>3554</v>
      </c>
      <c r="L298" s="4">
        <v>46040</v>
      </c>
      <c r="M298" s="4">
        <v>45946</v>
      </c>
      <c r="N298" s="2" t="s">
        <v>2727</v>
      </c>
      <c r="O298" s="2" t="s">
        <v>1805</v>
      </c>
      <c r="P298" s="2" t="s">
        <v>2936</v>
      </c>
      <c r="Q298" s="2" t="s">
        <v>1806</v>
      </c>
      <c r="R298" s="2" t="s">
        <v>205</v>
      </c>
      <c r="S298" s="4">
        <v>45911</v>
      </c>
      <c r="T298" s="2" t="s">
        <v>3264</v>
      </c>
      <c r="U298" s="2" t="s">
        <v>3265</v>
      </c>
      <c r="V298" s="2" t="s">
        <v>3540</v>
      </c>
      <c r="W298" s="2" t="s">
        <v>1806</v>
      </c>
      <c r="X298" s="2" t="s">
        <v>88</v>
      </c>
      <c r="Y298" s="3" t="s">
        <v>89</v>
      </c>
      <c r="Z298" s="3">
        <v>25.56</v>
      </c>
      <c r="AA298" s="2" t="s">
        <v>90</v>
      </c>
      <c r="AB298" s="2" t="s">
        <v>205</v>
      </c>
      <c r="AC298" s="2" t="s">
        <v>203</v>
      </c>
      <c r="AD298" t="str" cm="1">
        <f t="array" ref="AD29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298" s="2" t="s">
        <v>91</v>
      </c>
      <c r="AF298" s="2" t="s">
        <v>92</v>
      </c>
      <c r="AG298" s="2" t="s">
        <v>93</v>
      </c>
      <c r="AH298" s="2" t="s">
        <v>94</v>
      </c>
      <c r="AK298" s="2" t="s">
        <v>3555</v>
      </c>
      <c r="AN298" s="3">
        <v>1</v>
      </c>
      <c r="AO298" s="3">
        <v>0</v>
      </c>
      <c r="AP298" s="3">
        <v>1</v>
      </c>
      <c r="AQ298" s="3">
        <v>1</v>
      </c>
      <c r="AR298" s="3">
        <v>1</v>
      </c>
      <c r="AS298" s="3">
        <v>0</v>
      </c>
      <c r="AT298" s="3">
        <v>0</v>
      </c>
      <c r="AU298" s="3">
        <v>0</v>
      </c>
      <c r="AV298" s="3">
        <v>1</v>
      </c>
      <c r="AW298" s="3">
        <v>0</v>
      </c>
      <c r="AX298" s="3">
        <v>1</v>
      </c>
      <c r="AY298" s="3">
        <v>0</v>
      </c>
      <c r="AZ298" s="3">
        <v>0</v>
      </c>
      <c r="BA298" s="3">
        <v>1</v>
      </c>
      <c r="BB298" s="3">
        <v>0</v>
      </c>
      <c r="BC298" s="3">
        <v>0</v>
      </c>
      <c r="BD298" s="3">
        <v>0</v>
      </c>
      <c r="BE298" s="3">
        <v>0</v>
      </c>
      <c r="BG298" s="2" t="s">
        <v>91</v>
      </c>
      <c r="BH298" s="3">
        <v>3</v>
      </c>
      <c r="BI298" s="2" t="s">
        <v>122</v>
      </c>
      <c r="BJ298" s="2" t="s">
        <v>96</v>
      </c>
      <c r="BL298" s="2" t="s">
        <v>97</v>
      </c>
      <c r="BM298" s="2" t="s">
        <v>98</v>
      </c>
      <c r="BN298" s="2" t="s">
        <v>99</v>
      </c>
      <c r="BO298" s="2" t="s">
        <v>100</v>
      </c>
      <c r="BP298" s="2" t="s">
        <v>242</v>
      </c>
      <c r="BQ298" s="2" t="s">
        <v>102</v>
      </c>
      <c r="BR298" s="2" t="s">
        <v>103</v>
      </c>
      <c r="BS298" s="2" t="s">
        <v>104</v>
      </c>
      <c r="BT298" s="2" t="s">
        <v>105</v>
      </c>
      <c r="BU298" s="2" t="s">
        <v>2703</v>
      </c>
      <c r="BV298" s="2" t="s">
        <v>107</v>
      </c>
      <c r="BW298" s="2" t="s">
        <v>108</v>
      </c>
      <c r="BX298" s="2" t="s">
        <v>91</v>
      </c>
      <c r="BY29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98" s="2">
        <f>IF(AND(Cases[[#This Row],[Priority Level]]&gt;=3,Cases[[#This Row],[System Role]]&lt;&gt;"Productive"),1,0)</f>
        <v>1</v>
      </c>
      <c r="CA298" s="2">
        <f>IFERROR(IF(Cases[[#This Row],[Days at Customer]]&gt;MAX(1,Cases[[#This Row],[Days at SAP]]*2),1,0),0)</f>
        <v>1</v>
      </c>
      <c r="CB298" s="2">
        <f>IF(AND(Cases[[#This Row],[Initial Component]]&lt;&gt;"",Cases[[#This Row],[Component]]&lt;&gt;"",Cases[[#This Row],[Initial Component]]&lt;&gt;Cases[[#This Row],[Component]]),1,0)</f>
        <v>0</v>
      </c>
      <c r="CC298" s="2">
        <f>IF(OR(Cases[[#This Row],[Is Reopened]]="X",Cases[[#This Row],[No. of Reopenings]]&gt;0),1,0)</f>
        <v>0</v>
      </c>
      <c r="CD298" s="2">
        <f>IF(Cases[[#This Row],[Confirmation Type]]="Automatic",1,0)</f>
        <v>1</v>
      </c>
      <c r="CE298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299" spans="1:83" x14ac:dyDescent="0.2">
      <c r="A299" s="1" t="s">
        <v>3750</v>
      </c>
      <c r="B299" s="2" t="s">
        <v>3751</v>
      </c>
      <c r="C299" s="2" t="s">
        <v>1857</v>
      </c>
      <c r="D299" s="2" t="s">
        <v>238</v>
      </c>
      <c r="E299" s="3">
        <v>15.61</v>
      </c>
      <c r="F299" s="3">
        <v>41.16</v>
      </c>
      <c r="G299" s="2" t="s">
        <v>79</v>
      </c>
      <c r="H299" s="2" t="s">
        <v>80</v>
      </c>
      <c r="I299" s="3" t="s">
        <v>114</v>
      </c>
      <c r="J299" s="3">
        <v>240</v>
      </c>
      <c r="K299" s="2" t="s">
        <v>3752</v>
      </c>
      <c r="L299" s="4">
        <v>46040</v>
      </c>
      <c r="M299" s="4">
        <v>45943</v>
      </c>
      <c r="N299" s="2" t="s">
        <v>2727</v>
      </c>
      <c r="O299" s="2" t="s">
        <v>1805</v>
      </c>
      <c r="P299" s="2" t="s">
        <v>2936</v>
      </c>
      <c r="Q299" s="2" t="s">
        <v>1806</v>
      </c>
      <c r="R299" s="2" t="s">
        <v>1859</v>
      </c>
      <c r="S299" s="4">
        <v>45887</v>
      </c>
      <c r="T299" s="2" t="s">
        <v>3663</v>
      </c>
      <c r="U299" s="2" t="s">
        <v>3265</v>
      </c>
      <c r="V299" s="2" t="s">
        <v>3703</v>
      </c>
      <c r="W299" s="2" t="s">
        <v>1806</v>
      </c>
      <c r="X299" s="2" t="s">
        <v>117</v>
      </c>
      <c r="Y299" s="3" t="s">
        <v>118</v>
      </c>
      <c r="Z299" s="3">
        <v>56.78</v>
      </c>
      <c r="AA299" s="2" t="s">
        <v>90</v>
      </c>
      <c r="AB299" s="2" t="s">
        <v>1859</v>
      </c>
      <c r="AC299" s="2" t="s">
        <v>1857</v>
      </c>
      <c r="AD299" t="str" cm="1">
        <f t="array" ref="AD29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299" s="2" t="s">
        <v>91</v>
      </c>
      <c r="AF299" s="2" t="s">
        <v>92</v>
      </c>
      <c r="AG299" s="2" t="s">
        <v>119</v>
      </c>
      <c r="AH299" s="2" t="s">
        <v>120</v>
      </c>
      <c r="AK299" s="2" t="s">
        <v>3753</v>
      </c>
      <c r="AN299" s="3">
        <v>1</v>
      </c>
      <c r="AO299" s="3">
        <v>0</v>
      </c>
      <c r="AP299" s="3">
        <v>1</v>
      </c>
      <c r="AQ299" s="3">
        <v>1</v>
      </c>
      <c r="AR299" s="3">
        <v>1</v>
      </c>
      <c r="AS299" s="3">
        <v>0</v>
      </c>
      <c r="AT299" s="3">
        <v>0</v>
      </c>
      <c r="AU299" s="3">
        <v>0</v>
      </c>
      <c r="AV299" s="3">
        <v>1</v>
      </c>
      <c r="AW299" s="3">
        <v>0</v>
      </c>
      <c r="AX299" s="3">
        <v>1</v>
      </c>
      <c r="AY299" s="3">
        <v>0</v>
      </c>
      <c r="AZ299" s="3">
        <v>0</v>
      </c>
      <c r="BA299" s="3">
        <v>1</v>
      </c>
      <c r="BB299" s="3">
        <v>0</v>
      </c>
      <c r="BC299" s="3">
        <v>0</v>
      </c>
      <c r="BD299" s="3">
        <v>0</v>
      </c>
      <c r="BE299" s="3">
        <v>0</v>
      </c>
      <c r="BG299" s="2" t="s">
        <v>91</v>
      </c>
      <c r="BH299" s="3">
        <v>3</v>
      </c>
      <c r="BJ299" s="2" t="s">
        <v>96</v>
      </c>
      <c r="BL299" s="2" t="s">
        <v>123</v>
      </c>
      <c r="BM299" s="2" t="s">
        <v>123</v>
      </c>
      <c r="BN299" s="2" t="s">
        <v>124</v>
      </c>
      <c r="BO299" s="2" t="s">
        <v>125</v>
      </c>
      <c r="BP299" s="2" t="s">
        <v>242</v>
      </c>
      <c r="BQ299" s="2" t="s">
        <v>124</v>
      </c>
      <c r="BR299" s="2" t="s">
        <v>126</v>
      </c>
      <c r="BS299" s="2" t="s">
        <v>127</v>
      </c>
      <c r="BT299" s="2" t="s">
        <v>128</v>
      </c>
      <c r="BU299" s="2" t="s">
        <v>129</v>
      </c>
      <c r="BV299" s="2" t="s">
        <v>107</v>
      </c>
      <c r="BW299" s="2" t="s">
        <v>108</v>
      </c>
      <c r="BX299" s="2" t="s">
        <v>91</v>
      </c>
      <c r="BY29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299" s="2">
        <f>IF(AND(Cases[[#This Row],[Priority Level]]&gt;=3,Cases[[#This Row],[System Role]]&lt;&gt;"Productive"),1,0)</f>
        <v>1</v>
      </c>
      <c r="CA299" s="2">
        <f>IFERROR(IF(Cases[[#This Row],[Days at Customer]]&gt;MAX(1,Cases[[#This Row],[Days at SAP]]*2),1,0),0)</f>
        <v>1</v>
      </c>
      <c r="CB299" s="2">
        <f>IF(AND(Cases[[#This Row],[Initial Component]]&lt;&gt;"",Cases[[#This Row],[Component]]&lt;&gt;"",Cases[[#This Row],[Initial Component]]&lt;&gt;Cases[[#This Row],[Component]]),1,0)</f>
        <v>0</v>
      </c>
      <c r="CC299" s="2">
        <f>IF(OR(Cases[[#This Row],[Is Reopened]]="X",Cases[[#This Row],[No. of Reopenings]]&gt;0),1,0)</f>
        <v>0</v>
      </c>
      <c r="CD299" s="2">
        <f>IF(Cases[[#This Row],[Confirmation Type]]="Automatic",1,0)</f>
        <v>1</v>
      </c>
      <c r="CE299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00" spans="1:83" x14ac:dyDescent="0.2">
      <c r="A300" s="1" t="s">
        <v>1897</v>
      </c>
      <c r="B300" s="2" t="s">
        <v>1898</v>
      </c>
      <c r="C300" s="2" t="s">
        <v>1853</v>
      </c>
      <c r="D300" s="2" t="s">
        <v>238</v>
      </c>
      <c r="E300" s="3">
        <v>6.33</v>
      </c>
      <c r="F300" s="3">
        <v>30.15</v>
      </c>
      <c r="G300" s="2" t="s">
        <v>79</v>
      </c>
      <c r="H300" s="2" t="s">
        <v>178</v>
      </c>
      <c r="I300" s="3" t="s">
        <v>114</v>
      </c>
      <c r="J300" s="3">
        <v>112</v>
      </c>
      <c r="K300" s="2" t="s">
        <v>1899</v>
      </c>
      <c r="L300" s="4">
        <v>46054</v>
      </c>
      <c r="M300" s="4">
        <v>46052</v>
      </c>
      <c r="N300" s="2" t="s">
        <v>1334</v>
      </c>
      <c r="O300" s="2" t="s">
        <v>181</v>
      </c>
      <c r="P300" s="2" t="s">
        <v>1335</v>
      </c>
      <c r="Q300" s="2" t="s">
        <v>86</v>
      </c>
      <c r="R300" s="2" t="s">
        <v>1852</v>
      </c>
      <c r="S300" s="4">
        <v>46015</v>
      </c>
      <c r="T300" s="2" t="s">
        <v>1804</v>
      </c>
      <c r="U300" s="2" t="s">
        <v>1805</v>
      </c>
      <c r="V300" s="2" t="s">
        <v>1868</v>
      </c>
      <c r="W300" s="2" t="s">
        <v>1806</v>
      </c>
      <c r="X300" s="2" t="s">
        <v>117</v>
      </c>
      <c r="Y300" s="3" t="s">
        <v>118</v>
      </c>
      <c r="Z300" s="3">
        <v>36.479999999999997</v>
      </c>
      <c r="AA300" s="2" t="s">
        <v>90</v>
      </c>
      <c r="AB300" s="2" t="s">
        <v>1852</v>
      </c>
      <c r="AC300" s="2" t="s">
        <v>1853</v>
      </c>
      <c r="AD300" t="str" cm="1">
        <f t="array" ref="AD30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300" s="2" t="s">
        <v>139</v>
      </c>
      <c r="AF300" s="2" t="s">
        <v>92</v>
      </c>
      <c r="AG300" s="2" t="s">
        <v>119</v>
      </c>
      <c r="AH300" s="2" t="s">
        <v>120</v>
      </c>
      <c r="AK300" s="2" t="s">
        <v>1900</v>
      </c>
      <c r="AN300" s="3">
        <v>1</v>
      </c>
      <c r="AO300" s="3">
        <v>1</v>
      </c>
      <c r="AP300" s="3">
        <v>1</v>
      </c>
      <c r="AQ300" s="3">
        <v>1</v>
      </c>
      <c r="AR300" s="3">
        <v>0</v>
      </c>
      <c r="AS300" s="3">
        <v>0</v>
      </c>
      <c r="AT300" s="3">
        <v>1</v>
      </c>
      <c r="AU300" s="3">
        <v>0</v>
      </c>
      <c r="AV300" s="3">
        <v>1</v>
      </c>
      <c r="AW300" s="3">
        <v>0</v>
      </c>
      <c r="AX300" s="3">
        <v>0</v>
      </c>
      <c r="AY300" s="3">
        <v>0</v>
      </c>
      <c r="AZ300" s="3">
        <v>1</v>
      </c>
      <c r="BA300" s="3">
        <v>0</v>
      </c>
      <c r="BB300" s="3">
        <v>0</v>
      </c>
      <c r="BC300" s="3">
        <v>1</v>
      </c>
      <c r="BD300" s="3">
        <v>0</v>
      </c>
      <c r="BE300" s="3">
        <v>0</v>
      </c>
      <c r="BG300" s="2" t="s">
        <v>139</v>
      </c>
      <c r="BH300" s="3">
        <v>2</v>
      </c>
      <c r="BJ300" s="2" t="s">
        <v>96</v>
      </c>
      <c r="BL300" s="2" t="s">
        <v>382</v>
      </c>
      <c r="BM300" s="2" t="s">
        <v>382</v>
      </c>
      <c r="BN300" s="2" t="s">
        <v>99</v>
      </c>
      <c r="BO300" s="2" t="s">
        <v>100</v>
      </c>
      <c r="BP300" s="2" t="s">
        <v>242</v>
      </c>
      <c r="BQ300" s="2" t="s">
        <v>383</v>
      </c>
      <c r="BR300" s="2" t="s">
        <v>384</v>
      </c>
      <c r="BS300" s="2" t="s">
        <v>127</v>
      </c>
      <c r="BT300" s="2" t="s">
        <v>1000</v>
      </c>
      <c r="BU300" s="2" t="s">
        <v>1001</v>
      </c>
      <c r="BV300" s="2" t="s">
        <v>150</v>
      </c>
      <c r="BW300" s="2" t="s">
        <v>151</v>
      </c>
      <c r="BX300" s="2" t="s">
        <v>139</v>
      </c>
      <c r="BY30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00" s="2">
        <f>IF(AND(Cases[[#This Row],[Priority Level]]&gt;=3,Cases[[#This Row],[System Role]]&lt;&gt;"Productive"),1,0)</f>
        <v>0</v>
      </c>
      <c r="CA300" s="2">
        <f>IFERROR(IF(Cases[[#This Row],[Days at Customer]]&gt;MAX(1,Cases[[#This Row],[Days at SAP]]*2),1,0),0)</f>
        <v>1</v>
      </c>
      <c r="CB300" s="2">
        <f>IF(AND(Cases[[#This Row],[Initial Component]]&lt;&gt;"",Cases[[#This Row],[Component]]&lt;&gt;"",Cases[[#This Row],[Initial Component]]&lt;&gt;Cases[[#This Row],[Component]]),1,0)</f>
        <v>0</v>
      </c>
      <c r="CC300" s="2">
        <f>IF(OR(Cases[[#This Row],[Is Reopened]]="X",Cases[[#This Row],[No. of Reopenings]]&gt;0),1,0)</f>
        <v>0</v>
      </c>
      <c r="CD300" s="2">
        <f>IF(Cases[[#This Row],[Confirmation Type]]="Automatic",1,0)</f>
        <v>1</v>
      </c>
      <c r="CE30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01" spans="1:83" x14ac:dyDescent="0.2">
      <c r="A301" s="1" t="s">
        <v>1901</v>
      </c>
      <c r="B301" s="2" t="s">
        <v>1902</v>
      </c>
      <c r="C301" s="2" t="s">
        <v>1903</v>
      </c>
      <c r="D301" s="2" t="s">
        <v>238</v>
      </c>
      <c r="E301" s="3">
        <v>0.01</v>
      </c>
      <c r="F301" s="3">
        <v>21.71</v>
      </c>
      <c r="G301" s="2" t="s">
        <v>133</v>
      </c>
      <c r="H301" s="2" t="s">
        <v>324</v>
      </c>
      <c r="I301" s="3" t="s">
        <v>114</v>
      </c>
      <c r="J301" s="3">
        <v>113</v>
      </c>
      <c r="K301" s="2" t="s">
        <v>1904</v>
      </c>
      <c r="L301" s="4">
        <v>46040</v>
      </c>
      <c r="M301" s="4">
        <v>46036</v>
      </c>
      <c r="N301" s="2" t="s">
        <v>1334</v>
      </c>
      <c r="O301" s="2" t="s">
        <v>181</v>
      </c>
      <c r="P301" s="2" t="s">
        <v>180</v>
      </c>
      <c r="Q301" s="2" t="s">
        <v>86</v>
      </c>
      <c r="R301" s="2" t="s">
        <v>1905</v>
      </c>
      <c r="S301" s="4">
        <v>46014</v>
      </c>
      <c r="T301" s="2" t="s">
        <v>1804</v>
      </c>
      <c r="U301" s="2" t="s">
        <v>1805</v>
      </c>
      <c r="V301" s="2" t="s">
        <v>1868</v>
      </c>
      <c r="W301" s="2" t="s">
        <v>1806</v>
      </c>
      <c r="X301" s="2" t="s">
        <v>117</v>
      </c>
      <c r="Y301" s="3" t="s">
        <v>118</v>
      </c>
      <c r="Z301" s="3">
        <v>21.72</v>
      </c>
      <c r="AA301" s="2" t="s">
        <v>90</v>
      </c>
      <c r="AB301" s="2" t="s">
        <v>1440</v>
      </c>
      <c r="AC301" s="2" t="s">
        <v>1441</v>
      </c>
      <c r="AD301" t="str" cm="1">
        <f t="array" ref="AD30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301" s="2" t="s">
        <v>158</v>
      </c>
      <c r="AF301" s="2" t="s">
        <v>1638</v>
      </c>
      <c r="AG301" s="2" t="s">
        <v>119</v>
      </c>
      <c r="AH301" s="2" t="s">
        <v>120</v>
      </c>
      <c r="AK301" s="2" t="s">
        <v>1906</v>
      </c>
      <c r="AN301" s="3">
        <v>1</v>
      </c>
      <c r="AO301" s="3">
        <v>1</v>
      </c>
      <c r="AP301" s="3">
        <v>1</v>
      </c>
      <c r="AQ301" s="3">
        <v>1</v>
      </c>
      <c r="AR301" s="3">
        <v>1</v>
      </c>
      <c r="AS301" s="3">
        <v>0</v>
      </c>
      <c r="AT301" s="3">
        <v>0</v>
      </c>
      <c r="AU301" s="3">
        <v>0</v>
      </c>
      <c r="AV301" s="3">
        <v>1</v>
      </c>
      <c r="AW301" s="3">
        <v>0</v>
      </c>
      <c r="AX301" s="3">
        <v>1</v>
      </c>
      <c r="AY301" s="3">
        <v>0</v>
      </c>
      <c r="AZ301" s="3">
        <v>0</v>
      </c>
      <c r="BA301" s="3">
        <v>0</v>
      </c>
      <c r="BB301" s="3">
        <v>0</v>
      </c>
      <c r="BC301" s="3">
        <v>1</v>
      </c>
      <c r="BD301" s="3">
        <v>0</v>
      </c>
      <c r="BE301" s="3">
        <v>0</v>
      </c>
      <c r="BG301" s="2" t="s">
        <v>91</v>
      </c>
      <c r="BH301" s="3">
        <v>3</v>
      </c>
      <c r="BJ301" s="2" t="s">
        <v>96</v>
      </c>
      <c r="BL301" s="2" t="s">
        <v>123</v>
      </c>
      <c r="BM301" s="2" t="s">
        <v>123</v>
      </c>
      <c r="BN301" s="2" t="s">
        <v>124</v>
      </c>
      <c r="BO301" s="2" t="s">
        <v>125</v>
      </c>
      <c r="BP301" s="2" t="s">
        <v>242</v>
      </c>
      <c r="BQ301" s="2" t="s">
        <v>124</v>
      </c>
      <c r="BR301" s="2" t="s">
        <v>126</v>
      </c>
      <c r="BS301" s="2" t="s">
        <v>127</v>
      </c>
      <c r="BT301" s="2" t="s">
        <v>207</v>
      </c>
      <c r="BU301" s="2" t="s">
        <v>208</v>
      </c>
      <c r="BV301" s="2" t="s">
        <v>150</v>
      </c>
      <c r="BW301" s="2" t="s">
        <v>151</v>
      </c>
      <c r="BX301" s="2" t="s">
        <v>91</v>
      </c>
      <c r="BY30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01" s="2">
        <f>IF(AND(Cases[[#This Row],[Priority Level]]&gt;=3,Cases[[#This Row],[System Role]]&lt;&gt;"Productive"),1,0)</f>
        <v>0</v>
      </c>
      <c r="CA301" s="2">
        <f>IFERROR(IF(Cases[[#This Row],[Days at Customer]]&gt;MAX(1,Cases[[#This Row],[Days at SAP]]*2),1,0),0)</f>
        <v>1</v>
      </c>
      <c r="CB301" s="2">
        <f>IF(AND(Cases[[#This Row],[Initial Component]]&lt;&gt;"",Cases[[#This Row],[Component]]&lt;&gt;"",Cases[[#This Row],[Initial Component]]&lt;&gt;Cases[[#This Row],[Component]]),1,0)</f>
        <v>1</v>
      </c>
      <c r="CC301" s="2">
        <f>IF(OR(Cases[[#This Row],[Is Reopened]]="X",Cases[[#This Row],[No. of Reopenings]]&gt;0),1,0)</f>
        <v>0</v>
      </c>
      <c r="CD301" s="2">
        <f>IF(Cases[[#This Row],[Confirmation Type]]="Automatic",1,0)</f>
        <v>1</v>
      </c>
      <c r="CE301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02" spans="1:83" x14ac:dyDescent="0.2">
      <c r="A302" s="1" t="s">
        <v>1907</v>
      </c>
      <c r="B302" s="2" t="s">
        <v>1908</v>
      </c>
      <c r="C302" s="2" t="s">
        <v>655</v>
      </c>
      <c r="D302" s="2" t="s">
        <v>238</v>
      </c>
      <c r="E302" s="3">
        <v>0.54</v>
      </c>
      <c r="F302" s="3">
        <v>21.2</v>
      </c>
      <c r="G302" s="2" t="s">
        <v>190</v>
      </c>
      <c r="H302" s="2" t="s">
        <v>308</v>
      </c>
      <c r="I302" s="3" t="s">
        <v>114</v>
      </c>
      <c r="J302" s="3">
        <v>113</v>
      </c>
      <c r="K302" s="2" t="s">
        <v>1909</v>
      </c>
      <c r="L302" s="4">
        <v>46040</v>
      </c>
      <c r="M302" s="4">
        <v>46035</v>
      </c>
      <c r="N302" s="2" t="s">
        <v>1334</v>
      </c>
      <c r="O302" s="2" t="s">
        <v>181</v>
      </c>
      <c r="P302" s="2" t="s">
        <v>180</v>
      </c>
      <c r="Q302" s="2" t="s">
        <v>86</v>
      </c>
      <c r="R302" s="2" t="s">
        <v>657</v>
      </c>
      <c r="S302" s="4">
        <v>46014</v>
      </c>
      <c r="T302" s="2" t="s">
        <v>1804</v>
      </c>
      <c r="U302" s="2" t="s">
        <v>1805</v>
      </c>
      <c r="V302" s="2" t="s">
        <v>1868</v>
      </c>
      <c r="W302" s="2" t="s">
        <v>1806</v>
      </c>
      <c r="X302" s="2" t="s">
        <v>117</v>
      </c>
      <c r="Y302" s="3" t="s">
        <v>118</v>
      </c>
      <c r="Z302" s="3">
        <v>21.75</v>
      </c>
      <c r="AA302" s="2" t="s">
        <v>90</v>
      </c>
      <c r="AB302" s="2" t="s">
        <v>233</v>
      </c>
      <c r="AC302" s="2" t="s">
        <v>231</v>
      </c>
      <c r="AD302" t="str" cm="1">
        <f t="array" ref="AD30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302" s="2" t="s">
        <v>182</v>
      </c>
      <c r="AF302" s="2" t="s">
        <v>92</v>
      </c>
      <c r="AG302" s="2" t="s">
        <v>119</v>
      </c>
      <c r="AH302" s="2" t="s">
        <v>120</v>
      </c>
      <c r="AK302" s="2" t="s">
        <v>1910</v>
      </c>
      <c r="AN302" s="3">
        <v>1</v>
      </c>
      <c r="AO302" s="3">
        <v>1</v>
      </c>
      <c r="AP302" s="3">
        <v>1</v>
      </c>
      <c r="AQ302" s="3">
        <v>1</v>
      </c>
      <c r="AR302" s="3">
        <v>1</v>
      </c>
      <c r="AS302" s="3">
        <v>0</v>
      </c>
      <c r="AT302" s="3">
        <v>0</v>
      </c>
      <c r="AU302" s="3">
        <v>0</v>
      </c>
      <c r="AV302" s="3">
        <v>1</v>
      </c>
      <c r="AW302" s="3">
        <v>0</v>
      </c>
      <c r="AX302" s="3">
        <v>1</v>
      </c>
      <c r="AY302" s="3">
        <v>0</v>
      </c>
      <c r="AZ302" s="3">
        <v>0</v>
      </c>
      <c r="BA302" s="3">
        <v>0</v>
      </c>
      <c r="BB302" s="3">
        <v>0</v>
      </c>
      <c r="BC302" s="3">
        <v>1</v>
      </c>
      <c r="BD302" s="3">
        <v>0</v>
      </c>
      <c r="BE302" s="3">
        <v>0</v>
      </c>
      <c r="BG302" s="2" t="s">
        <v>91</v>
      </c>
      <c r="BH302" s="3">
        <v>3</v>
      </c>
      <c r="BJ302" s="2" t="s">
        <v>96</v>
      </c>
      <c r="BL302" s="2" t="s">
        <v>123</v>
      </c>
      <c r="BM302" s="2" t="s">
        <v>123</v>
      </c>
      <c r="BN302" s="2" t="s">
        <v>124</v>
      </c>
      <c r="BO302" s="2" t="s">
        <v>125</v>
      </c>
      <c r="BP302" s="2" t="s">
        <v>242</v>
      </c>
      <c r="BQ302" s="2" t="s">
        <v>124</v>
      </c>
      <c r="BR302" s="2" t="s">
        <v>126</v>
      </c>
      <c r="BS302" s="2" t="s">
        <v>127</v>
      </c>
      <c r="BT302" s="2" t="s">
        <v>207</v>
      </c>
      <c r="BU302" s="2" t="s">
        <v>208</v>
      </c>
      <c r="BV302" s="2" t="s">
        <v>150</v>
      </c>
      <c r="BW302" s="2" t="s">
        <v>151</v>
      </c>
      <c r="BX302" s="2" t="s">
        <v>182</v>
      </c>
      <c r="BY30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02" s="2">
        <f>IF(AND(Cases[[#This Row],[Priority Level]]&gt;=3,Cases[[#This Row],[System Role]]&lt;&gt;"Productive"),1,0)</f>
        <v>0</v>
      </c>
      <c r="CA302" s="2">
        <f>IFERROR(IF(Cases[[#This Row],[Days at Customer]]&gt;MAX(1,Cases[[#This Row],[Days at SAP]]*2),1,0),0)</f>
        <v>1</v>
      </c>
      <c r="CB302" s="2">
        <f>IF(AND(Cases[[#This Row],[Initial Component]]&lt;&gt;"",Cases[[#This Row],[Component]]&lt;&gt;"",Cases[[#This Row],[Initial Component]]&lt;&gt;Cases[[#This Row],[Component]]),1,0)</f>
        <v>1</v>
      </c>
      <c r="CC302" s="2">
        <f>IF(OR(Cases[[#This Row],[Is Reopened]]="X",Cases[[#This Row],[No. of Reopenings]]&gt;0),1,0)</f>
        <v>0</v>
      </c>
      <c r="CD302" s="2">
        <f>IF(Cases[[#This Row],[Confirmation Type]]="Automatic",1,0)</f>
        <v>1</v>
      </c>
      <c r="CE302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03" spans="1:83" x14ac:dyDescent="0.2">
      <c r="A303" s="1" t="s">
        <v>1911</v>
      </c>
      <c r="B303" s="2" t="s">
        <v>1912</v>
      </c>
      <c r="C303" s="2" t="s">
        <v>77</v>
      </c>
      <c r="D303" s="2" t="s">
        <v>78</v>
      </c>
      <c r="E303" s="3">
        <v>7.11</v>
      </c>
      <c r="F303" s="3">
        <v>2.69</v>
      </c>
      <c r="G303" s="2" t="s">
        <v>79</v>
      </c>
      <c r="H303" s="2" t="s">
        <v>80</v>
      </c>
      <c r="I303" s="3" t="s">
        <v>114</v>
      </c>
      <c r="J303" s="3">
        <v>113</v>
      </c>
      <c r="K303" s="2" t="s">
        <v>1913</v>
      </c>
      <c r="L303" s="4">
        <v>46026</v>
      </c>
      <c r="M303" s="4">
        <v>46024</v>
      </c>
      <c r="N303" s="2" t="s">
        <v>1334</v>
      </c>
      <c r="O303" s="2" t="s">
        <v>181</v>
      </c>
      <c r="P303" s="2" t="s">
        <v>1334</v>
      </c>
      <c r="Q303" s="2" t="s">
        <v>86</v>
      </c>
      <c r="R303" s="2" t="s">
        <v>87</v>
      </c>
      <c r="S303" s="4">
        <v>46014</v>
      </c>
      <c r="T303" s="2" t="s">
        <v>1804</v>
      </c>
      <c r="U303" s="2" t="s">
        <v>1805</v>
      </c>
      <c r="V303" s="2" t="s">
        <v>1868</v>
      </c>
      <c r="W303" s="2" t="s">
        <v>1806</v>
      </c>
      <c r="X303" s="2" t="s">
        <v>117</v>
      </c>
      <c r="Y303" s="3" t="s">
        <v>118</v>
      </c>
      <c r="Z303" s="3">
        <v>9.8000000000000007</v>
      </c>
      <c r="AA303" s="2" t="s">
        <v>90</v>
      </c>
      <c r="AB303" s="2" t="s">
        <v>87</v>
      </c>
      <c r="AC303" s="2" t="s">
        <v>77</v>
      </c>
      <c r="AD303" t="str" cm="1">
        <f t="array" ref="AD30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303" s="2" t="s">
        <v>91</v>
      </c>
      <c r="AF303" s="2" t="s">
        <v>92</v>
      </c>
      <c r="AG303" s="2" t="s">
        <v>527</v>
      </c>
      <c r="AH303" s="2" t="s">
        <v>528</v>
      </c>
      <c r="AK303" s="2" t="s">
        <v>1914</v>
      </c>
      <c r="AN303" s="3">
        <v>1</v>
      </c>
      <c r="AO303" s="3">
        <v>1</v>
      </c>
      <c r="AP303" s="3">
        <v>1</v>
      </c>
      <c r="AQ303" s="3">
        <v>1</v>
      </c>
      <c r="AR303" s="3">
        <v>1</v>
      </c>
      <c r="AS303" s="3">
        <v>0</v>
      </c>
      <c r="AT303" s="3">
        <v>0</v>
      </c>
      <c r="AU303" s="3">
        <v>0</v>
      </c>
      <c r="AV303" s="3">
        <v>0</v>
      </c>
      <c r="AW303" s="3">
        <v>1</v>
      </c>
      <c r="AX303" s="3">
        <v>1</v>
      </c>
      <c r="AY303" s="3">
        <v>0</v>
      </c>
      <c r="AZ303" s="3">
        <v>0</v>
      </c>
      <c r="BA303" s="3">
        <v>1</v>
      </c>
      <c r="BB303" s="3">
        <v>0</v>
      </c>
      <c r="BC303" s="3">
        <v>0</v>
      </c>
      <c r="BD303" s="3">
        <v>0</v>
      </c>
      <c r="BE303" s="3">
        <v>0</v>
      </c>
      <c r="BG303" s="2" t="s">
        <v>91</v>
      </c>
      <c r="BH303" s="3">
        <v>3</v>
      </c>
      <c r="BJ303" s="2" t="s">
        <v>96</v>
      </c>
      <c r="BL303" s="2" t="s">
        <v>184</v>
      </c>
      <c r="BM303" s="2" t="s">
        <v>184</v>
      </c>
      <c r="BN303" s="2" t="s">
        <v>124</v>
      </c>
      <c r="BO303" s="2" t="s">
        <v>125</v>
      </c>
      <c r="BP303" s="2" t="s">
        <v>101</v>
      </c>
      <c r="BQ303" s="2" t="s">
        <v>124</v>
      </c>
      <c r="BR303" s="2" t="s">
        <v>126</v>
      </c>
      <c r="BS303" s="2" t="s">
        <v>713</v>
      </c>
      <c r="BT303" s="2" t="s">
        <v>343</v>
      </c>
      <c r="BU303" s="2" t="s">
        <v>714</v>
      </c>
      <c r="BV303" s="2" t="s">
        <v>166</v>
      </c>
      <c r="BW303" s="2" t="s">
        <v>167</v>
      </c>
      <c r="BX303" s="2" t="s">
        <v>91</v>
      </c>
      <c r="BY30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03" s="2">
        <f>IF(AND(Cases[[#This Row],[Priority Level]]&gt;=3,Cases[[#This Row],[System Role]]&lt;&gt;"Productive"),1,0)</f>
        <v>1</v>
      </c>
      <c r="CA303" s="2">
        <f>IFERROR(IF(Cases[[#This Row],[Days at Customer]]&gt;MAX(1,Cases[[#This Row],[Days at SAP]]*2),1,0),0)</f>
        <v>0</v>
      </c>
      <c r="CB303" s="2">
        <f>IF(AND(Cases[[#This Row],[Initial Component]]&lt;&gt;"",Cases[[#This Row],[Component]]&lt;&gt;"",Cases[[#This Row],[Initial Component]]&lt;&gt;Cases[[#This Row],[Component]]),1,0)</f>
        <v>0</v>
      </c>
      <c r="CC303" s="2">
        <f>IF(OR(Cases[[#This Row],[Is Reopened]]="X",Cases[[#This Row],[No. of Reopenings]]&gt;0),1,0)</f>
        <v>0</v>
      </c>
      <c r="CD303" s="2">
        <f>IF(Cases[[#This Row],[Confirmation Type]]="Automatic",1,0)</f>
        <v>0</v>
      </c>
      <c r="CE303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04" spans="1:83" x14ac:dyDescent="0.2">
      <c r="A304" s="1" t="s">
        <v>1915</v>
      </c>
      <c r="B304" s="2" t="s">
        <v>1916</v>
      </c>
      <c r="C304" s="2" t="s">
        <v>77</v>
      </c>
      <c r="D304" s="2" t="s">
        <v>78</v>
      </c>
      <c r="E304" s="3">
        <v>4.9800000000000004</v>
      </c>
      <c r="F304" s="3">
        <v>1.92</v>
      </c>
      <c r="G304" s="2" t="s">
        <v>725</v>
      </c>
      <c r="H304" s="2" t="s">
        <v>726</v>
      </c>
      <c r="I304" s="3" t="s">
        <v>114</v>
      </c>
      <c r="J304" s="3">
        <v>113</v>
      </c>
      <c r="K304" s="2" t="s">
        <v>1917</v>
      </c>
      <c r="L304" s="4">
        <v>46026</v>
      </c>
      <c r="M304" s="4">
        <v>46021</v>
      </c>
      <c r="N304" s="2" t="s">
        <v>1804</v>
      </c>
      <c r="O304" s="2" t="s">
        <v>1805</v>
      </c>
      <c r="P304" s="2" t="s">
        <v>1334</v>
      </c>
      <c r="Q304" s="2" t="s">
        <v>1806</v>
      </c>
      <c r="R304" s="2" t="s">
        <v>87</v>
      </c>
      <c r="S304" s="4">
        <v>46014</v>
      </c>
      <c r="T304" s="2" t="s">
        <v>1804</v>
      </c>
      <c r="U304" s="2" t="s">
        <v>1805</v>
      </c>
      <c r="V304" s="2" t="s">
        <v>1868</v>
      </c>
      <c r="W304" s="2" t="s">
        <v>1806</v>
      </c>
      <c r="X304" s="2" t="s">
        <v>117</v>
      </c>
      <c r="Y304" s="3" t="s">
        <v>118</v>
      </c>
      <c r="Z304" s="3">
        <v>6.9</v>
      </c>
      <c r="AA304" s="2" t="s">
        <v>90</v>
      </c>
      <c r="AB304" s="2" t="s">
        <v>87</v>
      </c>
      <c r="AC304" s="2" t="s">
        <v>77</v>
      </c>
      <c r="AD304" t="str" cm="1">
        <f t="array" ref="AD30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304" s="2" t="s">
        <v>91</v>
      </c>
      <c r="AF304" s="2" t="s">
        <v>92</v>
      </c>
      <c r="AG304" s="2" t="s">
        <v>527</v>
      </c>
      <c r="AH304" s="2" t="s">
        <v>528</v>
      </c>
      <c r="AJ304" s="2" t="s">
        <v>122</v>
      </c>
      <c r="AK304" s="2" t="s">
        <v>1918</v>
      </c>
      <c r="AN304" s="3">
        <v>1</v>
      </c>
      <c r="AO304" s="3">
        <v>1</v>
      </c>
      <c r="AP304" s="3">
        <v>1</v>
      </c>
      <c r="AQ304" s="3">
        <v>1</v>
      </c>
      <c r="AR304" s="3">
        <v>1</v>
      </c>
      <c r="AS304" s="3">
        <v>0</v>
      </c>
      <c r="AT304" s="3">
        <v>0</v>
      </c>
      <c r="AU304" s="3">
        <v>0</v>
      </c>
      <c r="AV304" s="3">
        <v>0</v>
      </c>
      <c r="AW304" s="3">
        <v>1</v>
      </c>
      <c r="AX304" s="3">
        <v>1</v>
      </c>
      <c r="AY304" s="3">
        <v>0</v>
      </c>
      <c r="AZ304" s="3">
        <v>0</v>
      </c>
      <c r="BA304" s="3">
        <v>1</v>
      </c>
      <c r="BB304" s="3">
        <v>0</v>
      </c>
      <c r="BC304" s="3">
        <v>0</v>
      </c>
      <c r="BD304" s="3">
        <v>1</v>
      </c>
      <c r="BE304" s="3">
        <v>0</v>
      </c>
      <c r="BG304" s="2" t="s">
        <v>91</v>
      </c>
      <c r="BH304" s="3">
        <v>3</v>
      </c>
      <c r="BJ304" s="2" t="s">
        <v>96</v>
      </c>
      <c r="BL304" s="2" t="s">
        <v>184</v>
      </c>
      <c r="BM304" s="2" t="s">
        <v>184</v>
      </c>
      <c r="BN304" s="2" t="s">
        <v>124</v>
      </c>
      <c r="BO304" s="2" t="s">
        <v>125</v>
      </c>
      <c r="BP304" s="2" t="s">
        <v>101</v>
      </c>
      <c r="BQ304" s="2" t="s">
        <v>124</v>
      </c>
      <c r="BR304" s="2" t="s">
        <v>126</v>
      </c>
      <c r="BS304" s="2" t="s">
        <v>713</v>
      </c>
      <c r="BT304" s="2" t="s">
        <v>343</v>
      </c>
      <c r="BU304" s="2" t="s">
        <v>714</v>
      </c>
      <c r="BV304" s="2" t="s">
        <v>166</v>
      </c>
      <c r="BW304" s="2" t="s">
        <v>167</v>
      </c>
      <c r="BX304" s="2" t="s">
        <v>91</v>
      </c>
      <c r="BY30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04" s="2">
        <f>IF(AND(Cases[[#This Row],[Priority Level]]&gt;=3,Cases[[#This Row],[System Role]]&lt;&gt;"Productive"),1,0)</f>
        <v>1</v>
      </c>
      <c r="CA304" s="2">
        <f>IFERROR(IF(Cases[[#This Row],[Days at Customer]]&gt;MAX(1,Cases[[#This Row],[Days at SAP]]*2),1,0),0)</f>
        <v>0</v>
      </c>
      <c r="CB304" s="2">
        <f>IF(AND(Cases[[#This Row],[Initial Component]]&lt;&gt;"",Cases[[#This Row],[Component]]&lt;&gt;"",Cases[[#This Row],[Initial Component]]&lt;&gt;Cases[[#This Row],[Component]]),1,0)</f>
        <v>0</v>
      </c>
      <c r="CC304" s="2">
        <f>IF(OR(Cases[[#This Row],[Is Reopened]]="X",Cases[[#This Row],[No. of Reopenings]]&gt;0),1,0)</f>
        <v>1</v>
      </c>
      <c r="CD304" s="2">
        <f>IF(Cases[[#This Row],[Confirmation Type]]="Automatic",1,0)</f>
        <v>0</v>
      </c>
      <c r="CE304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05" spans="1:83" x14ac:dyDescent="0.2">
      <c r="A305" s="1" t="s">
        <v>3769</v>
      </c>
      <c r="B305" s="2" t="s">
        <v>3770</v>
      </c>
      <c r="C305" s="2" t="s">
        <v>203</v>
      </c>
      <c r="D305" s="2" t="s">
        <v>238</v>
      </c>
      <c r="E305" s="3">
        <v>0</v>
      </c>
      <c r="F305" s="3">
        <v>40.03</v>
      </c>
      <c r="G305" s="2" t="s">
        <v>112</v>
      </c>
      <c r="H305" s="2" t="s">
        <v>113</v>
      </c>
      <c r="I305" s="3" t="s">
        <v>114</v>
      </c>
      <c r="J305" s="3">
        <v>253</v>
      </c>
      <c r="K305" s="2" t="s">
        <v>3771</v>
      </c>
      <c r="L305" s="4">
        <v>46040</v>
      </c>
      <c r="M305" s="4">
        <v>45947</v>
      </c>
      <c r="N305" s="2" t="s">
        <v>2727</v>
      </c>
      <c r="O305" s="2" t="s">
        <v>1805</v>
      </c>
      <c r="P305" s="2" t="s">
        <v>2936</v>
      </c>
      <c r="Q305" s="2" t="s">
        <v>1806</v>
      </c>
      <c r="R305" s="2" t="s">
        <v>205</v>
      </c>
      <c r="S305" s="4">
        <v>45874</v>
      </c>
      <c r="T305" s="2" t="s">
        <v>3663</v>
      </c>
      <c r="U305" s="2" t="s">
        <v>3265</v>
      </c>
      <c r="V305" s="2" t="s">
        <v>3772</v>
      </c>
      <c r="W305" s="2" t="s">
        <v>1806</v>
      </c>
      <c r="X305" s="2" t="s">
        <v>117</v>
      </c>
      <c r="Y305" s="3" t="s">
        <v>118</v>
      </c>
      <c r="Z305" s="3">
        <v>40.03</v>
      </c>
      <c r="AA305" s="2" t="s">
        <v>90</v>
      </c>
      <c r="AB305" s="2" t="s">
        <v>205</v>
      </c>
      <c r="AC305" s="2" t="s">
        <v>203</v>
      </c>
      <c r="AD305" t="str" cm="1">
        <f t="array" ref="AD30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305" s="2" t="s">
        <v>91</v>
      </c>
      <c r="AF305" s="2" t="s">
        <v>92</v>
      </c>
      <c r="AG305" s="2" t="s">
        <v>119</v>
      </c>
      <c r="AH305" s="2" t="s">
        <v>120</v>
      </c>
      <c r="AK305" s="2" t="s">
        <v>3773</v>
      </c>
      <c r="AN305" s="3">
        <v>1</v>
      </c>
      <c r="AO305" s="3">
        <v>0</v>
      </c>
      <c r="AP305" s="3">
        <v>1</v>
      </c>
      <c r="AQ305" s="3">
        <v>1</v>
      </c>
      <c r="AR305" s="3">
        <v>1</v>
      </c>
      <c r="AS305" s="3">
        <v>0</v>
      </c>
      <c r="AT305" s="3">
        <v>0</v>
      </c>
      <c r="AU305" s="3">
        <v>0</v>
      </c>
      <c r="AV305" s="3">
        <v>1</v>
      </c>
      <c r="AW305" s="3">
        <v>0</v>
      </c>
      <c r="AX305" s="3">
        <v>1</v>
      </c>
      <c r="AY305" s="3">
        <v>0</v>
      </c>
      <c r="AZ305" s="3">
        <v>0</v>
      </c>
      <c r="BA305" s="3">
        <v>0</v>
      </c>
      <c r="BB305" s="3">
        <v>0</v>
      </c>
      <c r="BC305" s="3">
        <v>1</v>
      </c>
      <c r="BD305" s="3">
        <v>0</v>
      </c>
      <c r="BE305" s="3">
        <v>0</v>
      </c>
      <c r="BG305" s="2" t="s">
        <v>91</v>
      </c>
      <c r="BH305" s="3">
        <v>3</v>
      </c>
      <c r="BI305" s="2" t="s">
        <v>122</v>
      </c>
      <c r="BJ305" s="2" t="s">
        <v>96</v>
      </c>
      <c r="BL305" s="2" t="s">
        <v>123</v>
      </c>
      <c r="BM305" s="2" t="s">
        <v>123</v>
      </c>
      <c r="BN305" s="2" t="s">
        <v>124</v>
      </c>
      <c r="BO305" s="2" t="s">
        <v>125</v>
      </c>
      <c r="BP305" s="2" t="s">
        <v>242</v>
      </c>
      <c r="BQ305" s="2" t="s">
        <v>124</v>
      </c>
      <c r="BR305" s="2" t="s">
        <v>126</v>
      </c>
      <c r="BS305" s="2" t="s">
        <v>127</v>
      </c>
      <c r="BT305" s="2" t="s">
        <v>207</v>
      </c>
      <c r="BU305" s="2" t="s">
        <v>208</v>
      </c>
      <c r="BV305" s="2" t="s">
        <v>150</v>
      </c>
      <c r="BW305" s="2" t="s">
        <v>151</v>
      </c>
      <c r="BX305" s="2" t="s">
        <v>91</v>
      </c>
      <c r="BY30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05" s="2">
        <f>IF(AND(Cases[[#This Row],[Priority Level]]&gt;=3,Cases[[#This Row],[System Role]]&lt;&gt;"Productive"),1,0)</f>
        <v>0</v>
      </c>
      <c r="CA305" s="2">
        <f>IFERROR(IF(Cases[[#This Row],[Days at Customer]]&gt;MAX(1,Cases[[#This Row],[Days at SAP]]*2),1,0),0)</f>
        <v>1</v>
      </c>
      <c r="CB305" s="2">
        <f>IF(AND(Cases[[#This Row],[Initial Component]]&lt;&gt;"",Cases[[#This Row],[Component]]&lt;&gt;"",Cases[[#This Row],[Initial Component]]&lt;&gt;Cases[[#This Row],[Component]]),1,0)</f>
        <v>0</v>
      </c>
      <c r="CC305" s="2">
        <f>IF(OR(Cases[[#This Row],[Is Reopened]]="X",Cases[[#This Row],[No. of Reopenings]]&gt;0),1,0)</f>
        <v>0</v>
      </c>
      <c r="CD305" s="2">
        <f>IF(Cases[[#This Row],[Confirmation Type]]="Automatic",1,0)</f>
        <v>1</v>
      </c>
      <c r="CE305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06" spans="1:83" x14ac:dyDescent="0.2">
      <c r="A306" s="1" t="s">
        <v>1564</v>
      </c>
      <c r="B306" s="2" t="s">
        <v>1565</v>
      </c>
      <c r="C306" s="2" t="s">
        <v>203</v>
      </c>
      <c r="D306" s="2" t="s">
        <v>78</v>
      </c>
      <c r="E306" s="3">
        <v>0</v>
      </c>
      <c r="F306" s="3">
        <v>2.87</v>
      </c>
      <c r="G306" s="2" t="s">
        <v>112</v>
      </c>
      <c r="H306" s="2" t="s">
        <v>113</v>
      </c>
      <c r="I306" s="3" t="s">
        <v>114</v>
      </c>
      <c r="J306" s="3">
        <v>89</v>
      </c>
      <c r="K306" s="2" t="s">
        <v>1566</v>
      </c>
      <c r="L306" s="4">
        <v>46047</v>
      </c>
      <c r="M306" s="4">
        <v>46041</v>
      </c>
      <c r="N306" s="2" t="s">
        <v>1334</v>
      </c>
      <c r="O306" s="2" t="s">
        <v>181</v>
      </c>
      <c r="P306" s="2" t="s">
        <v>83</v>
      </c>
      <c r="Q306" s="2" t="s">
        <v>86</v>
      </c>
      <c r="R306" s="2" t="s">
        <v>205</v>
      </c>
      <c r="S306" s="4">
        <v>46038</v>
      </c>
      <c r="T306" s="2" t="s">
        <v>1334</v>
      </c>
      <c r="U306" s="2" t="s">
        <v>181</v>
      </c>
      <c r="V306" s="2" t="s">
        <v>180</v>
      </c>
      <c r="W306" s="2" t="s">
        <v>86</v>
      </c>
      <c r="X306" s="2" t="s">
        <v>117</v>
      </c>
      <c r="Y306" s="3" t="s">
        <v>118</v>
      </c>
      <c r="Z306" s="3">
        <v>2.87</v>
      </c>
      <c r="AA306" s="2" t="s">
        <v>90</v>
      </c>
      <c r="AB306" s="2" t="s">
        <v>205</v>
      </c>
      <c r="AC306" s="2" t="s">
        <v>203</v>
      </c>
      <c r="AD306" t="str" cm="1">
        <f t="array" ref="AD30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306" s="2" t="s">
        <v>91</v>
      </c>
      <c r="AF306" s="2" t="s">
        <v>92</v>
      </c>
      <c r="AG306" s="2" t="s">
        <v>119</v>
      </c>
      <c r="AH306" s="2" t="s">
        <v>120</v>
      </c>
      <c r="AK306" s="2" t="s">
        <v>1567</v>
      </c>
      <c r="AN306" s="3">
        <v>1</v>
      </c>
      <c r="AO306" s="3">
        <v>1</v>
      </c>
      <c r="AP306" s="3">
        <v>1</v>
      </c>
      <c r="AQ306" s="3">
        <v>1</v>
      </c>
      <c r="AR306" s="3">
        <v>1</v>
      </c>
      <c r="AS306" s="3">
        <v>0</v>
      </c>
      <c r="AT306" s="3">
        <v>0</v>
      </c>
      <c r="AU306" s="3">
        <v>0</v>
      </c>
      <c r="AV306" s="3">
        <v>0</v>
      </c>
      <c r="AW306" s="3">
        <v>1</v>
      </c>
      <c r="AX306" s="3">
        <v>1</v>
      </c>
      <c r="AY306" s="3">
        <v>0</v>
      </c>
      <c r="AZ306" s="3">
        <v>0</v>
      </c>
      <c r="BA306" s="3">
        <v>0</v>
      </c>
      <c r="BB306" s="3">
        <v>0</v>
      </c>
      <c r="BC306" s="3">
        <v>1</v>
      </c>
      <c r="BD306" s="3">
        <v>0</v>
      </c>
      <c r="BE306" s="3">
        <v>0</v>
      </c>
      <c r="BG306" s="2" t="s">
        <v>91</v>
      </c>
      <c r="BH306" s="3">
        <v>3</v>
      </c>
      <c r="BI306" s="2" t="s">
        <v>122</v>
      </c>
      <c r="BJ306" s="2" t="s">
        <v>96</v>
      </c>
      <c r="BL306" s="2" t="s">
        <v>123</v>
      </c>
      <c r="BM306" s="2" t="s">
        <v>123</v>
      </c>
      <c r="BN306" s="2" t="s">
        <v>124</v>
      </c>
      <c r="BO306" s="2" t="s">
        <v>125</v>
      </c>
      <c r="BP306" s="2" t="s">
        <v>101</v>
      </c>
      <c r="BQ306" s="2" t="s">
        <v>124</v>
      </c>
      <c r="BR306" s="2" t="s">
        <v>126</v>
      </c>
      <c r="BS306" s="2" t="s">
        <v>127</v>
      </c>
      <c r="BT306" s="2" t="s">
        <v>207</v>
      </c>
      <c r="BU306" s="2" t="s">
        <v>208</v>
      </c>
      <c r="BV306" s="2" t="s">
        <v>150</v>
      </c>
      <c r="BW306" s="2" t="s">
        <v>151</v>
      </c>
      <c r="BX306" s="2" t="s">
        <v>91</v>
      </c>
      <c r="BY30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06" s="2">
        <f>IF(AND(Cases[[#This Row],[Priority Level]]&gt;=3,Cases[[#This Row],[System Role]]&lt;&gt;"Productive"),1,0)</f>
        <v>0</v>
      </c>
      <c r="CA306" s="2">
        <f>IFERROR(IF(Cases[[#This Row],[Days at Customer]]&gt;MAX(1,Cases[[#This Row],[Days at SAP]]*2),1,0),0)</f>
        <v>1</v>
      </c>
      <c r="CB306" s="2">
        <f>IF(AND(Cases[[#This Row],[Initial Component]]&lt;&gt;"",Cases[[#This Row],[Component]]&lt;&gt;"",Cases[[#This Row],[Initial Component]]&lt;&gt;Cases[[#This Row],[Component]]),1,0)</f>
        <v>0</v>
      </c>
      <c r="CC306" s="2">
        <f>IF(OR(Cases[[#This Row],[Is Reopened]]="X",Cases[[#This Row],[No. of Reopenings]]&gt;0),1,0)</f>
        <v>0</v>
      </c>
      <c r="CD306" s="2">
        <f>IF(Cases[[#This Row],[Confirmation Type]]="Automatic",1,0)</f>
        <v>0</v>
      </c>
      <c r="CE306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07" spans="1:83" x14ac:dyDescent="0.2">
      <c r="A307" s="1" t="s">
        <v>1927</v>
      </c>
      <c r="B307" s="2" t="s">
        <v>1928</v>
      </c>
      <c r="C307" s="2" t="s">
        <v>231</v>
      </c>
      <c r="D307" s="2" t="s">
        <v>78</v>
      </c>
      <c r="E307" s="3">
        <v>2.4500000000000002</v>
      </c>
      <c r="F307" s="3">
        <v>0.21</v>
      </c>
      <c r="G307" s="2" t="s">
        <v>190</v>
      </c>
      <c r="H307" s="2" t="s">
        <v>308</v>
      </c>
      <c r="I307" s="3" t="s">
        <v>114</v>
      </c>
      <c r="J307" s="3">
        <v>116</v>
      </c>
      <c r="K307" s="2" t="s">
        <v>1929</v>
      </c>
      <c r="L307" s="4">
        <v>46019</v>
      </c>
      <c r="M307" s="4">
        <v>46014</v>
      </c>
      <c r="N307" s="2" t="s">
        <v>1804</v>
      </c>
      <c r="O307" s="2" t="s">
        <v>1805</v>
      </c>
      <c r="P307" s="2" t="s">
        <v>1868</v>
      </c>
      <c r="Q307" s="2" t="s">
        <v>1806</v>
      </c>
      <c r="R307" s="2" t="s">
        <v>233</v>
      </c>
      <c r="S307" s="4">
        <v>46011</v>
      </c>
      <c r="T307" s="2" t="s">
        <v>1804</v>
      </c>
      <c r="U307" s="2" t="s">
        <v>1805</v>
      </c>
      <c r="V307" s="2" t="s">
        <v>1930</v>
      </c>
      <c r="W307" s="2" t="s">
        <v>1806</v>
      </c>
      <c r="X307" s="2" t="s">
        <v>117</v>
      </c>
      <c r="Y307" s="3" t="s">
        <v>118</v>
      </c>
      <c r="Z307" s="3">
        <v>2.66</v>
      </c>
      <c r="AA307" s="2" t="s">
        <v>90</v>
      </c>
      <c r="AB307" s="2" t="s">
        <v>233</v>
      </c>
      <c r="AC307" s="2" t="s">
        <v>231</v>
      </c>
      <c r="AD307" t="str" cm="1">
        <f t="array" ref="AD30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307" s="2" t="s">
        <v>91</v>
      </c>
      <c r="AF307" s="2" t="s">
        <v>92</v>
      </c>
      <c r="AG307" s="2" t="s">
        <v>119</v>
      </c>
      <c r="AH307" s="2" t="s">
        <v>120</v>
      </c>
      <c r="AK307" s="2" t="s">
        <v>1931</v>
      </c>
      <c r="AN307" s="3">
        <v>1</v>
      </c>
      <c r="AO307" s="3">
        <v>1</v>
      </c>
      <c r="AP307" s="3">
        <v>1</v>
      </c>
      <c r="AQ307" s="3">
        <v>1</v>
      </c>
      <c r="AR307" s="3">
        <v>1</v>
      </c>
      <c r="AS307" s="3">
        <v>0</v>
      </c>
      <c r="AT307" s="3">
        <v>0</v>
      </c>
      <c r="AU307" s="3">
        <v>0</v>
      </c>
      <c r="AV307" s="3">
        <v>0</v>
      </c>
      <c r="AW307" s="3">
        <v>1</v>
      </c>
      <c r="AX307" s="3">
        <v>1</v>
      </c>
      <c r="AY307" s="3">
        <v>0</v>
      </c>
      <c r="AZ307" s="3">
        <v>0</v>
      </c>
      <c r="BA307" s="3">
        <v>0</v>
      </c>
      <c r="BB307" s="3">
        <v>0</v>
      </c>
      <c r="BC307" s="3">
        <v>1</v>
      </c>
      <c r="BD307" s="3">
        <v>0</v>
      </c>
      <c r="BE307" s="3">
        <v>0</v>
      </c>
      <c r="BG307" s="2" t="s">
        <v>91</v>
      </c>
      <c r="BH307" s="3">
        <v>3</v>
      </c>
      <c r="BJ307" s="2" t="s">
        <v>96</v>
      </c>
      <c r="BL307" s="2" t="s">
        <v>123</v>
      </c>
      <c r="BM307" s="2" t="s">
        <v>123</v>
      </c>
      <c r="BN307" s="2" t="s">
        <v>124</v>
      </c>
      <c r="BO307" s="2" t="s">
        <v>125</v>
      </c>
      <c r="BP307" s="2" t="s">
        <v>101</v>
      </c>
      <c r="BQ307" s="2" t="s">
        <v>124</v>
      </c>
      <c r="BR307" s="2" t="s">
        <v>126</v>
      </c>
      <c r="BS307" s="2" t="s">
        <v>127</v>
      </c>
      <c r="BT307" s="2" t="s">
        <v>207</v>
      </c>
      <c r="BU307" s="2" t="s">
        <v>208</v>
      </c>
      <c r="BV307" s="2" t="s">
        <v>150</v>
      </c>
      <c r="BW307" s="2" t="s">
        <v>151</v>
      </c>
      <c r="BX307" s="2" t="s">
        <v>91</v>
      </c>
      <c r="BY30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07" s="2">
        <f>IF(AND(Cases[[#This Row],[Priority Level]]&gt;=3,Cases[[#This Row],[System Role]]&lt;&gt;"Productive"),1,0)</f>
        <v>0</v>
      </c>
      <c r="CA307" s="2">
        <f>IFERROR(IF(Cases[[#This Row],[Days at Customer]]&gt;MAX(1,Cases[[#This Row],[Days at SAP]]*2),1,0),0)</f>
        <v>0</v>
      </c>
      <c r="CB307" s="2">
        <f>IF(AND(Cases[[#This Row],[Initial Component]]&lt;&gt;"",Cases[[#This Row],[Component]]&lt;&gt;"",Cases[[#This Row],[Initial Component]]&lt;&gt;Cases[[#This Row],[Component]]),1,0)</f>
        <v>0</v>
      </c>
      <c r="CC307" s="2">
        <f>IF(OR(Cases[[#This Row],[Is Reopened]]="X",Cases[[#This Row],[No. of Reopenings]]&gt;0),1,0)</f>
        <v>0</v>
      </c>
      <c r="CD307" s="2">
        <f>IF(Cases[[#This Row],[Confirmation Type]]="Automatic",1,0)</f>
        <v>0</v>
      </c>
      <c r="CE307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308" spans="1:83" x14ac:dyDescent="0.2">
      <c r="A308" s="1" t="s">
        <v>1720</v>
      </c>
      <c r="B308" s="2" t="s">
        <v>1721</v>
      </c>
      <c r="C308" s="2" t="s">
        <v>203</v>
      </c>
      <c r="D308" s="2" t="s">
        <v>78</v>
      </c>
      <c r="E308" s="3">
        <v>0</v>
      </c>
      <c r="F308" s="3">
        <v>0.74</v>
      </c>
      <c r="G308" s="2" t="s">
        <v>112</v>
      </c>
      <c r="H308" s="2" t="s">
        <v>113</v>
      </c>
      <c r="I308" s="3" t="s">
        <v>114</v>
      </c>
      <c r="J308" s="3">
        <v>98</v>
      </c>
      <c r="K308" s="2" t="s">
        <v>1722</v>
      </c>
      <c r="L308" s="4">
        <v>46047</v>
      </c>
      <c r="M308" s="4">
        <v>46042</v>
      </c>
      <c r="N308" s="2" t="s">
        <v>1334</v>
      </c>
      <c r="O308" s="2" t="s">
        <v>181</v>
      </c>
      <c r="P308" s="2" t="s">
        <v>83</v>
      </c>
      <c r="Q308" s="2" t="s">
        <v>86</v>
      </c>
      <c r="R308" s="2" t="s">
        <v>205</v>
      </c>
      <c r="S308" s="4">
        <v>46029</v>
      </c>
      <c r="T308" s="2" t="s">
        <v>1334</v>
      </c>
      <c r="U308" s="2" t="s">
        <v>181</v>
      </c>
      <c r="V308" s="2" t="s">
        <v>677</v>
      </c>
      <c r="W308" s="2" t="s">
        <v>86</v>
      </c>
      <c r="X308" s="2" t="s">
        <v>117</v>
      </c>
      <c r="Y308" s="3" t="s">
        <v>118</v>
      </c>
      <c r="Z308" s="3">
        <v>0.74</v>
      </c>
      <c r="AA308" s="2" t="s">
        <v>90</v>
      </c>
      <c r="AB308" s="2" t="s">
        <v>205</v>
      </c>
      <c r="AC308" s="2" t="s">
        <v>203</v>
      </c>
      <c r="AD308" t="str" cm="1">
        <f t="array" ref="AD30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308" s="2" t="s">
        <v>91</v>
      </c>
      <c r="AF308" s="2" t="s">
        <v>92</v>
      </c>
      <c r="AG308" s="2" t="s">
        <v>119</v>
      </c>
      <c r="AH308" s="2" t="s">
        <v>120</v>
      </c>
      <c r="AK308" s="2" t="s">
        <v>1723</v>
      </c>
      <c r="AN308" s="3">
        <v>1</v>
      </c>
      <c r="AO308" s="3">
        <v>1</v>
      </c>
      <c r="AP308" s="3">
        <v>1</v>
      </c>
      <c r="AQ308" s="3">
        <v>1</v>
      </c>
      <c r="AR308" s="3">
        <v>1</v>
      </c>
      <c r="AS308" s="3">
        <v>0</v>
      </c>
      <c r="AT308" s="3">
        <v>0</v>
      </c>
      <c r="AU308" s="3">
        <v>0</v>
      </c>
      <c r="AV308" s="3">
        <v>0</v>
      </c>
      <c r="AW308" s="3">
        <v>1</v>
      </c>
      <c r="AX308" s="3">
        <v>1</v>
      </c>
      <c r="AY308" s="3">
        <v>0</v>
      </c>
      <c r="AZ308" s="3">
        <v>0</v>
      </c>
      <c r="BA308" s="3">
        <v>0</v>
      </c>
      <c r="BB308" s="3">
        <v>0</v>
      </c>
      <c r="BC308" s="3">
        <v>1</v>
      </c>
      <c r="BD308" s="3">
        <v>0</v>
      </c>
      <c r="BE308" s="3">
        <v>0</v>
      </c>
      <c r="BG308" s="2" t="s">
        <v>91</v>
      </c>
      <c r="BH308" s="3">
        <v>3</v>
      </c>
      <c r="BI308" s="2" t="s">
        <v>122</v>
      </c>
      <c r="BJ308" s="2" t="s">
        <v>96</v>
      </c>
      <c r="BL308" s="2" t="s">
        <v>123</v>
      </c>
      <c r="BM308" s="2" t="s">
        <v>123</v>
      </c>
      <c r="BN308" s="2" t="s">
        <v>124</v>
      </c>
      <c r="BO308" s="2" t="s">
        <v>125</v>
      </c>
      <c r="BP308" s="2" t="s">
        <v>101</v>
      </c>
      <c r="BQ308" s="2" t="s">
        <v>124</v>
      </c>
      <c r="BR308" s="2" t="s">
        <v>126</v>
      </c>
      <c r="BS308" s="2" t="s">
        <v>127</v>
      </c>
      <c r="BT308" s="2" t="s">
        <v>207</v>
      </c>
      <c r="BU308" s="2" t="s">
        <v>208</v>
      </c>
      <c r="BV308" s="2" t="s">
        <v>150</v>
      </c>
      <c r="BW308" s="2" t="s">
        <v>151</v>
      </c>
      <c r="BX308" s="2" t="s">
        <v>91</v>
      </c>
      <c r="BY30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08" s="2">
        <f>IF(AND(Cases[[#This Row],[Priority Level]]&gt;=3,Cases[[#This Row],[System Role]]&lt;&gt;"Productive"),1,0)</f>
        <v>0</v>
      </c>
      <c r="CA308" s="2">
        <f>IFERROR(IF(Cases[[#This Row],[Days at Customer]]&gt;MAX(1,Cases[[#This Row],[Days at SAP]]*2),1,0),0)</f>
        <v>0</v>
      </c>
      <c r="CB308" s="2">
        <f>IF(AND(Cases[[#This Row],[Initial Component]]&lt;&gt;"",Cases[[#This Row],[Component]]&lt;&gt;"",Cases[[#This Row],[Initial Component]]&lt;&gt;Cases[[#This Row],[Component]]),1,0)</f>
        <v>0</v>
      </c>
      <c r="CC308" s="2">
        <f>IF(OR(Cases[[#This Row],[Is Reopened]]="X",Cases[[#This Row],[No. of Reopenings]]&gt;0),1,0)</f>
        <v>0</v>
      </c>
      <c r="CD308" s="2">
        <f>IF(Cases[[#This Row],[Confirmation Type]]="Automatic",1,0)</f>
        <v>0</v>
      </c>
      <c r="CE308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309" spans="1:83" x14ac:dyDescent="0.2">
      <c r="A309" s="1" t="s">
        <v>1891</v>
      </c>
      <c r="B309" s="2" t="s">
        <v>1892</v>
      </c>
      <c r="C309" s="2" t="s">
        <v>1893</v>
      </c>
      <c r="D309" s="2" t="s">
        <v>238</v>
      </c>
      <c r="E309" s="3">
        <v>1.76</v>
      </c>
      <c r="F309" s="3">
        <v>21.62</v>
      </c>
      <c r="G309" s="2" t="s">
        <v>133</v>
      </c>
      <c r="H309" s="2" t="s">
        <v>324</v>
      </c>
      <c r="I309" s="3" t="s">
        <v>114</v>
      </c>
      <c r="J309" s="3">
        <v>112</v>
      </c>
      <c r="K309" s="2" t="s">
        <v>1894</v>
      </c>
      <c r="L309" s="4">
        <v>46047</v>
      </c>
      <c r="M309" s="4">
        <v>46038</v>
      </c>
      <c r="N309" s="2" t="s">
        <v>1334</v>
      </c>
      <c r="O309" s="2" t="s">
        <v>181</v>
      </c>
      <c r="P309" s="2" t="s">
        <v>180</v>
      </c>
      <c r="Q309" s="2" t="s">
        <v>86</v>
      </c>
      <c r="R309" s="2" t="s">
        <v>1895</v>
      </c>
      <c r="S309" s="4">
        <v>46015</v>
      </c>
      <c r="T309" s="2" t="s">
        <v>1804</v>
      </c>
      <c r="U309" s="2" t="s">
        <v>1805</v>
      </c>
      <c r="V309" s="2" t="s">
        <v>1868</v>
      </c>
      <c r="W309" s="2" t="s">
        <v>1806</v>
      </c>
      <c r="X309" s="2" t="s">
        <v>117</v>
      </c>
      <c r="Y309" s="3" t="s">
        <v>118</v>
      </c>
      <c r="Z309" s="3">
        <v>23.38</v>
      </c>
      <c r="AA309" s="2" t="s">
        <v>90</v>
      </c>
      <c r="AB309" s="2" t="s">
        <v>1895</v>
      </c>
      <c r="AC309" s="2" t="s">
        <v>1893</v>
      </c>
      <c r="AD309" t="str" cm="1">
        <f t="array" ref="AD30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309" s="2" t="s">
        <v>139</v>
      </c>
      <c r="AF309" s="2" t="s">
        <v>92</v>
      </c>
      <c r="AG309" s="2" t="s">
        <v>119</v>
      </c>
      <c r="AH309" s="2" t="s">
        <v>120</v>
      </c>
      <c r="AK309" s="2" t="s">
        <v>1896</v>
      </c>
      <c r="AN309" s="3">
        <v>1</v>
      </c>
      <c r="AO309" s="3">
        <v>1</v>
      </c>
      <c r="AP309" s="3">
        <v>1</v>
      </c>
      <c r="AQ309" s="3">
        <v>1</v>
      </c>
      <c r="AR309" s="3">
        <v>0</v>
      </c>
      <c r="AS309" s="3">
        <v>0</v>
      </c>
      <c r="AT309" s="3">
        <v>1</v>
      </c>
      <c r="AU309" s="3">
        <v>0</v>
      </c>
      <c r="AV309" s="3">
        <v>1</v>
      </c>
      <c r="AW309" s="3">
        <v>0</v>
      </c>
      <c r="AX309" s="3">
        <v>0</v>
      </c>
      <c r="AY309" s="3">
        <v>0</v>
      </c>
      <c r="AZ309" s="3">
        <v>1</v>
      </c>
      <c r="BA309" s="3">
        <v>0</v>
      </c>
      <c r="BB309" s="3">
        <v>0</v>
      </c>
      <c r="BC309" s="3">
        <v>1</v>
      </c>
      <c r="BD309" s="3">
        <v>0</v>
      </c>
      <c r="BE309" s="3">
        <v>0</v>
      </c>
      <c r="BG309" s="2" t="s">
        <v>139</v>
      </c>
      <c r="BH309" s="3">
        <v>2</v>
      </c>
      <c r="BJ309" s="2" t="s">
        <v>96</v>
      </c>
      <c r="BL309" s="2" t="s">
        <v>123</v>
      </c>
      <c r="BM309" s="2" t="s">
        <v>123</v>
      </c>
      <c r="BN309" s="2" t="s">
        <v>124</v>
      </c>
      <c r="BO309" s="2" t="s">
        <v>125</v>
      </c>
      <c r="BP309" s="2" t="s">
        <v>242</v>
      </c>
      <c r="BQ309" s="2" t="s">
        <v>124</v>
      </c>
      <c r="BR309" s="2" t="s">
        <v>126</v>
      </c>
      <c r="BS309" s="2" t="s">
        <v>127</v>
      </c>
      <c r="BT309" s="2" t="s">
        <v>207</v>
      </c>
      <c r="BU309" s="2" t="s">
        <v>208</v>
      </c>
      <c r="BV309" s="2" t="s">
        <v>150</v>
      </c>
      <c r="BW309" s="2" t="s">
        <v>151</v>
      </c>
      <c r="BX309" s="2" t="s">
        <v>139</v>
      </c>
      <c r="BY30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09" s="2">
        <f>IF(AND(Cases[[#This Row],[Priority Level]]&gt;=3,Cases[[#This Row],[System Role]]&lt;&gt;"Productive"),1,0)</f>
        <v>0</v>
      </c>
      <c r="CA309" s="2">
        <f>IFERROR(IF(Cases[[#This Row],[Days at Customer]]&gt;MAX(1,Cases[[#This Row],[Days at SAP]]*2),1,0),0)</f>
        <v>1</v>
      </c>
      <c r="CB309" s="2">
        <f>IF(AND(Cases[[#This Row],[Initial Component]]&lt;&gt;"",Cases[[#This Row],[Component]]&lt;&gt;"",Cases[[#This Row],[Initial Component]]&lt;&gt;Cases[[#This Row],[Component]]),1,0)</f>
        <v>0</v>
      </c>
      <c r="CC309" s="2">
        <f>IF(OR(Cases[[#This Row],[Is Reopened]]="X",Cases[[#This Row],[No. of Reopenings]]&gt;0),1,0)</f>
        <v>0</v>
      </c>
      <c r="CD309" s="2">
        <f>IF(Cases[[#This Row],[Confirmation Type]]="Automatic",1,0)</f>
        <v>1</v>
      </c>
      <c r="CE309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10" spans="1:83" x14ac:dyDescent="0.2">
      <c r="A310" s="1" t="s">
        <v>1940</v>
      </c>
      <c r="B310" s="2" t="s">
        <v>1941</v>
      </c>
      <c r="C310" s="2" t="s">
        <v>1018</v>
      </c>
      <c r="D310" s="2" t="s">
        <v>238</v>
      </c>
      <c r="E310" s="3">
        <v>0.85</v>
      </c>
      <c r="F310" s="3">
        <v>24.78</v>
      </c>
      <c r="G310" s="2" t="s">
        <v>79</v>
      </c>
      <c r="H310" s="2" t="s">
        <v>178</v>
      </c>
      <c r="I310" s="3" t="s">
        <v>114</v>
      </c>
      <c r="J310" s="3">
        <v>117</v>
      </c>
      <c r="K310" s="2" t="s">
        <v>1942</v>
      </c>
      <c r="L310" s="4">
        <v>46047</v>
      </c>
      <c r="M310" s="4">
        <v>46035</v>
      </c>
      <c r="N310" s="2" t="s">
        <v>1334</v>
      </c>
      <c r="O310" s="2" t="s">
        <v>181</v>
      </c>
      <c r="P310" s="2" t="s">
        <v>180</v>
      </c>
      <c r="Q310" s="2" t="s">
        <v>86</v>
      </c>
      <c r="R310" s="2" t="s">
        <v>1020</v>
      </c>
      <c r="S310" s="4">
        <v>46010</v>
      </c>
      <c r="T310" s="2" t="s">
        <v>1804</v>
      </c>
      <c r="U310" s="2" t="s">
        <v>1805</v>
      </c>
      <c r="V310" s="2" t="s">
        <v>1930</v>
      </c>
      <c r="W310" s="2" t="s">
        <v>1806</v>
      </c>
      <c r="X310" s="2" t="s">
        <v>117</v>
      </c>
      <c r="Y310" s="3" t="s">
        <v>118</v>
      </c>
      <c r="Z310" s="3">
        <v>25.63</v>
      </c>
      <c r="AA310" s="2" t="s">
        <v>90</v>
      </c>
      <c r="AB310" s="2" t="s">
        <v>1020</v>
      </c>
      <c r="AC310" s="2" t="s">
        <v>1018</v>
      </c>
      <c r="AD310" t="str" cm="1">
        <f t="array" ref="AD31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310" s="2" t="s">
        <v>91</v>
      </c>
      <c r="AF310" s="2" t="s">
        <v>92</v>
      </c>
      <c r="AG310" s="2" t="s">
        <v>527</v>
      </c>
      <c r="AH310" s="2" t="s">
        <v>528</v>
      </c>
      <c r="AK310" s="2" t="s">
        <v>1943</v>
      </c>
      <c r="AN310" s="3">
        <v>1</v>
      </c>
      <c r="AO310" s="3">
        <v>1</v>
      </c>
      <c r="AP310" s="3">
        <v>1</v>
      </c>
      <c r="AQ310" s="3">
        <v>1</v>
      </c>
      <c r="AR310" s="3">
        <v>1</v>
      </c>
      <c r="AS310" s="3">
        <v>0</v>
      </c>
      <c r="AT310" s="3">
        <v>0</v>
      </c>
      <c r="AU310" s="3">
        <v>0</v>
      </c>
      <c r="AV310" s="3">
        <v>1</v>
      </c>
      <c r="AW310" s="3">
        <v>0</v>
      </c>
      <c r="AX310" s="3">
        <v>1</v>
      </c>
      <c r="AY310" s="3">
        <v>0</v>
      </c>
      <c r="AZ310" s="3">
        <v>0</v>
      </c>
      <c r="BA310" s="3">
        <v>0</v>
      </c>
      <c r="BB310" s="3">
        <v>0</v>
      </c>
      <c r="BC310" s="3">
        <v>1</v>
      </c>
      <c r="BD310" s="3">
        <v>0</v>
      </c>
      <c r="BE310" s="3">
        <v>0</v>
      </c>
      <c r="BG310" s="2" t="s">
        <v>91</v>
      </c>
      <c r="BH310" s="3">
        <v>3</v>
      </c>
      <c r="BJ310" s="2" t="s">
        <v>96</v>
      </c>
      <c r="BL310" s="2" t="s">
        <v>184</v>
      </c>
      <c r="BM310" s="2" t="s">
        <v>184</v>
      </c>
      <c r="BN310" s="2" t="s">
        <v>124</v>
      </c>
      <c r="BO310" s="2" t="s">
        <v>125</v>
      </c>
      <c r="BP310" s="2" t="s">
        <v>242</v>
      </c>
      <c r="BQ310" s="2" t="s">
        <v>124</v>
      </c>
      <c r="BR310" s="2" t="s">
        <v>126</v>
      </c>
      <c r="BS310" s="2" t="s">
        <v>127</v>
      </c>
      <c r="BT310" s="2" t="s">
        <v>185</v>
      </c>
      <c r="BU310" s="2" t="s">
        <v>530</v>
      </c>
      <c r="BV310" s="2" t="s">
        <v>150</v>
      </c>
      <c r="BW310" s="2" t="s">
        <v>151</v>
      </c>
      <c r="BX310" s="2" t="s">
        <v>91</v>
      </c>
      <c r="BY31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10" s="2">
        <f>IF(AND(Cases[[#This Row],[Priority Level]]&gt;=3,Cases[[#This Row],[System Role]]&lt;&gt;"Productive"),1,0)</f>
        <v>0</v>
      </c>
      <c r="CA310" s="2">
        <f>IFERROR(IF(Cases[[#This Row],[Days at Customer]]&gt;MAX(1,Cases[[#This Row],[Days at SAP]]*2),1,0),0)</f>
        <v>1</v>
      </c>
      <c r="CB310" s="2">
        <f>IF(AND(Cases[[#This Row],[Initial Component]]&lt;&gt;"",Cases[[#This Row],[Component]]&lt;&gt;"",Cases[[#This Row],[Initial Component]]&lt;&gt;Cases[[#This Row],[Component]]),1,0)</f>
        <v>0</v>
      </c>
      <c r="CC310" s="2">
        <f>IF(OR(Cases[[#This Row],[Is Reopened]]="X",Cases[[#This Row],[No. of Reopenings]]&gt;0),1,0)</f>
        <v>0</v>
      </c>
      <c r="CD310" s="2">
        <f>IF(Cases[[#This Row],[Confirmation Type]]="Automatic",1,0)</f>
        <v>1</v>
      </c>
      <c r="CE31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11" spans="1:83" x14ac:dyDescent="0.2">
      <c r="A311" s="1" t="s">
        <v>1944</v>
      </c>
      <c r="B311" s="2" t="s">
        <v>1945</v>
      </c>
      <c r="C311" s="2" t="s">
        <v>731</v>
      </c>
      <c r="D311" s="2" t="s">
        <v>238</v>
      </c>
      <c r="E311" s="3">
        <v>2.94</v>
      </c>
      <c r="F311" s="3">
        <v>21.65</v>
      </c>
      <c r="G311" s="2" t="s">
        <v>79</v>
      </c>
      <c r="H311" s="2" t="s">
        <v>178</v>
      </c>
      <c r="I311" s="3" t="s">
        <v>114</v>
      </c>
      <c r="J311" s="3">
        <v>117</v>
      </c>
      <c r="K311" s="2" t="s">
        <v>1946</v>
      </c>
      <c r="L311" s="4">
        <v>46040</v>
      </c>
      <c r="M311" s="4">
        <v>46035</v>
      </c>
      <c r="N311" s="2" t="s">
        <v>1334</v>
      </c>
      <c r="O311" s="2" t="s">
        <v>181</v>
      </c>
      <c r="P311" s="2" t="s">
        <v>180</v>
      </c>
      <c r="Q311" s="2" t="s">
        <v>86</v>
      </c>
      <c r="R311" s="2" t="s">
        <v>734</v>
      </c>
      <c r="S311" s="4">
        <v>46010</v>
      </c>
      <c r="T311" s="2" t="s">
        <v>1804</v>
      </c>
      <c r="U311" s="2" t="s">
        <v>1805</v>
      </c>
      <c r="V311" s="2" t="s">
        <v>1930</v>
      </c>
      <c r="W311" s="2" t="s">
        <v>1806</v>
      </c>
      <c r="X311" s="2" t="s">
        <v>117</v>
      </c>
      <c r="Y311" s="3" t="s">
        <v>118</v>
      </c>
      <c r="Z311" s="3">
        <v>24.58</v>
      </c>
      <c r="AA311" s="2" t="s">
        <v>90</v>
      </c>
      <c r="AB311" s="2" t="s">
        <v>1309</v>
      </c>
      <c r="AC311" s="2" t="s">
        <v>1307</v>
      </c>
      <c r="AD311" t="str" cm="1">
        <f t="array" ref="AD31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311" s="2" t="s">
        <v>91</v>
      </c>
      <c r="AF311" s="2" t="s">
        <v>92</v>
      </c>
      <c r="AG311" s="2" t="s">
        <v>527</v>
      </c>
      <c r="AH311" s="2" t="s">
        <v>528</v>
      </c>
      <c r="AJ311" s="2" t="s">
        <v>122</v>
      </c>
      <c r="AK311" s="2" t="s">
        <v>1947</v>
      </c>
      <c r="AN311" s="3">
        <v>1</v>
      </c>
      <c r="AO311" s="3">
        <v>1</v>
      </c>
      <c r="AP311" s="3">
        <v>1</v>
      </c>
      <c r="AQ311" s="3">
        <v>1</v>
      </c>
      <c r="AR311" s="3">
        <v>1</v>
      </c>
      <c r="AS311" s="3">
        <v>0</v>
      </c>
      <c r="AT311" s="3">
        <v>0</v>
      </c>
      <c r="AU311" s="3">
        <v>0</v>
      </c>
      <c r="AV311" s="3">
        <v>1</v>
      </c>
      <c r="AW311" s="3">
        <v>0</v>
      </c>
      <c r="AX311" s="3">
        <v>1</v>
      </c>
      <c r="AY311" s="3">
        <v>0</v>
      </c>
      <c r="AZ311" s="3">
        <v>0</v>
      </c>
      <c r="BA311" s="3">
        <v>0</v>
      </c>
      <c r="BB311" s="3">
        <v>0</v>
      </c>
      <c r="BC311" s="3">
        <v>1</v>
      </c>
      <c r="BD311" s="3">
        <v>1</v>
      </c>
      <c r="BE311" s="3">
        <v>0</v>
      </c>
      <c r="BG311" s="2" t="s">
        <v>91</v>
      </c>
      <c r="BH311" s="3">
        <v>3</v>
      </c>
      <c r="BJ311" s="2" t="s">
        <v>96</v>
      </c>
      <c r="BL311" s="2" t="s">
        <v>184</v>
      </c>
      <c r="BM311" s="2" t="s">
        <v>184</v>
      </c>
      <c r="BN311" s="2" t="s">
        <v>124</v>
      </c>
      <c r="BO311" s="2" t="s">
        <v>125</v>
      </c>
      <c r="BP311" s="2" t="s">
        <v>242</v>
      </c>
      <c r="BQ311" s="2" t="s">
        <v>124</v>
      </c>
      <c r="BR311" s="2" t="s">
        <v>126</v>
      </c>
      <c r="BS311" s="2" t="s">
        <v>127</v>
      </c>
      <c r="BT311" s="2" t="s">
        <v>185</v>
      </c>
      <c r="BU311" s="2" t="s">
        <v>530</v>
      </c>
      <c r="BV311" s="2" t="s">
        <v>150</v>
      </c>
      <c r="BW311" s="2" t="s">
        <v>151</v>
      </c>
      <c r="BX311" s="2" t="s">
        <v>182</v>
      </c>
      <c r="BY31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11" s="2">
        <f>IF(AND(Cases[[#This Row],[Priority Level]]&gt;=3,Cases[[#This Row],[System Role]]&lt;&gt;"Productive"),1,0)</f>
        <v>0</v>
      </c>
      <c r="CA311" s="2">
        <f>IFERROR(IF(Cases[[#This Row],[Days at Customer]]&gt;MAX(1,Cases[[#This Row],[Days at SAP]]*2),1,0),0)</f>
        <v>1</v>
      </c>
      <c r="CB311" s="2">
        <f>IF(AND(Cases[[#This Row],[Initial Component]]&lt;&gt;"",Cases[[#This Row],[Component]]&lt;&gt;"",Cases[[#This Row],[Initial Component]]&lt;&gt;Cases[[#This Row],[Component]]),1,0)</f>
        <v>1</v>
      </c>
      <c r="CC311" s="2">
        <f>IF(OR(Cases[[#This Row],[Is Reopened]]="X",Cases[[#This Row],[No. of Reopenings]]&gt;0),1,0)</f>
        <v>1</v>
      </c>
      <c r="CD311" s="2">
        <f>IF(Cases[[#This Row],[Confirmation Type]]="Automatic",1,0)</f>
        <v>1</v>
      </c>
      <c r="CE311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312" spans="1:83" x14ac:dyDescent="0.2">
      <c r="A312" s="1" t="s">
        <v>1948</v>
      </c>
      <c r="B312" s="2" t="s">
        <v>1949</v>
      </c>
      <c r="C312" s="2" t="s">
        <v>1950</v>
      </c>
      <c r="D312" s="2" t="s">
        <v>78</v>
      </c>
      <c r="E312" s="3">
        <v>0</v>
      </c>
      <c r="F312" s="3">
        <v>0</v>
      </c>
      <c r="G312" s="2" t="s">
        <v>133</v>
      </c>
      <c r="H312" s="2" t="s">
        <v>134</v>
      </c>
      <c r="I312" s="3" t="s">
        <v>114</v>
      </c>
      <c r="J312" s="3">
        <v>117</v>
      </c>
      <c r="K312" s="2" t="s">
        <v>1951</v>
      </c>
      <c r="L312" s="4">
        <v>46012</v>
      </c>
      <c r="M312" s="4">
        <v>46010</v>
      </c>
      <c r="N312" s="2" t="s">
        <v>1804</v>
      </c>
      <c r="O312" s="2" t="s">
        <v>1805</v>
      </c>
      <c r="P312" s="2" t="s">
        <v>1930</v>
      </c>
      <c r="Q312" s="2" t="s">
        <v>1806</v>
      </c>
      <c r="R312" s="2" t="s">
        <v>1952</v>
      </c>
      <c r="S312" s="4">
        <v>46010</v>
      </c>
      <c r="T312" s="2" t="s">
        <v>1804</v>
      </c>
      <c r="U312" s="2" t="s">
        <v>1805</v>
      </c>
      <c r="V312" s="2" t="s">
        <v>1930</v>
      </c>
      <c r="W312" s="2" t="s">
        <v>1806</v>
      </c>
      <c r="X312" s="2" t="s">
        <v>117</v>
      </c>
      <c r="Y312" s="3" t="s">
        <v>118</v>
      </c>
      <c r="Z312" s="3">
        <v>0</v>
      </c>
      <c r="AA312" s="2" t="s">
        <v>90</v>
      </c>
      <c r="AB312" s="2" t="s">
        <v>1952</v>
      </c>
      <c r="AC312" s="2" t="s">
        <v>1950</v>
      </c>
      <c r="AD312" t="str" cm="1">
        <f t="array" ref="AD31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312" s="2" t="s">
        <v>139</v>
      </c>
      <c r="AF312" s="2" t="s">
        <v>92</v>
      </c>
      <c r="AG312" s="2" t="s">
        <v>119</v>
      </c>
      <c r="AH312" s="2" t="s">
        <v>120</v>
      </c>
      <c r="AK312" s="2" t="s">
        <v>1953</v>
      </c>
      <c r="AN312" s="3">
        <v>1</v>
      </c>
      <c r="AO312" s="3">
        <v>1</v>
      </c>
      <c r="AP312" s="3">
        <v>1</v>
      </c>
      <c r="AQ312" s="3">
        <v>1</v>
      </c>
      <c r="AR312" s="3">
        <v>0</v>
      </c>
      <c r="AS312" s="3">
        <v>0</v>
      </c>
      <c r="AT312" s="3">
        <v>1</v>
      </c>
      <c r="AU312" s="3">
        <v>0</v>
      </c>
      <c r="AV312" s="3">
        <v>0</v>
      </c>
      <c r="AW312" s="3">
        <v>1</v>
      </c>
      <c r="AX312" s="3">
        <v>0</v>
      </c>
      <c r="AY312" s="3">
        <v>0</v>
      </c>
      <c r="AZ312" s="3">
        <v>1</v>
      </c>
      <c r="BA312" s="3">
        <v>0</v>
      </c>
      <c r="BB312" s="3">
        <v>0</v>
      </c>
      <c r="BC312" s="3">
        <v>1</v>
      </c>
      <c r="BD312" s="3">
        <v>0</v>
      </c>
      <c r="BE312" s="3">
        <v>0</v>
      </c>
      <c r="BG312" s="2" t="s">
        <v>139</v>
      </c>
      <c r="BH312" s="3">
        <v>2</v>
      </c>
      <c r="BJ312" s="2" t="s">
        <v>96</v>
      </c>
      <c r="BL312" s="2" t="s">
        <v>382</v>
      </c>
      <c r="BM312" s="2" t="s">
        <v>382</v>
      </c>
      <c r="BN312" s="2" t="s">
        <v>99</v>
      </c>
      <c r="BO312" s="2" t="s">
        <v>100</v>
      </c>
      <c r="BP312" s="2" t="s">
        <v>101</v>
      </c>
      <c r="BQ312" s="2" t="s">
        <v>383</v>
      </c>
      <c r="BR312" s="2" t="s">
        <v>384</v>
      </c>
      <c r="BS312" s="2" t="s">
        <v>127</v>
      </c>
      <c r="BT312" s="2" t="s">
        <v>1000</v>
      </c>
      <c r="BU312" s="2" t="s">
        <v>1001</v>
      </c>
      <c r="BV312" s="2" t="s">
        <v>150</v>
      </c>
      <c r="BW312" s="2" t="s">
        <v>151</v>
      </c>
      <c r="BX312" s="2" t="s">
        <v>139</v>
      </c>
      <c r="BY31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12" s="2">
        <f>IF(AND(Cases[[#This Row],[Priority Level]]&gt;=3,Cases[[#This Row],[System Role]]&lt;&gt;"Productive"),1,0)</f>
        <v>0</v>
      </c>
      <c r="CA312" s="2">
        <f>IFERROR(IF(Cases[[#This Row],[Days at Customer]]&gt;MAX(1,Cases[[#This Row],[Days at SAP]]*2),1,0),0)</f>
        <v>0</v>
      </c>
      <c r="CB312" s="2">
        <f>IF(AND(Cases[[#This Row],[Initial Component]]&lt;&gt;"",Cases[[#This Row],[Component]]&lt;&gt;"",Cases[[#This Row],[Initial Component]]&lt;&gt;Cases[[#This Row],[Component]]),1,0)</f>
        <v>0</v>
      </c>
      <c r="CC312" s="2">
        <f>IF(OR(Cases[[#This Row],[Is Reopened]]="X",Cases[[#This Row],[No. of Reopenings]]&gt;0),1,0)</f>
        <v>0</v>
      </c>
      <c r="CD312" s="2">
        <f>IF(Cases[[#This Row],[Confirmation Type]]="Automatic",1,0)</f>
        <v>0</v>
      </c>
      <c r="CE312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313" spans="1:83" x14ac:dyDescent="0.2">
      <c r="A313" s="1" t="s">
        <v>1954</v>
      </c>
      <c r="B313" s="2" t="s">
        <v>1949</v>
      </c>
      <c r="C313" s="2" t="s">
        <v>1955</v>
      </c>
      <c r="D313" s="2" t="s">
        <v>238</v>
      </c>
      <c r="E313" s="3">
        <v>24.86</v>
      </c>
      <c r="F313" s="3">
        <v>65.97</v>
      </c>
      <c r="G313" s="2" t="s">
        <v>190</v>
      </c>
      <c r="H313" s="2" t="s">
        <v>1205</v>
      </c>
      <c r="I313" s="3" t="s">
        <v>114</v>
      </c>
      <c r="J313" s="3">
        <v>117</v>
      </c>
      <c r="K313" s="2" t="s">
        <v>1956</v>
      </c>
      <c r="L313" s="4">
        <v>46103</v>
      </c>
      <c r="M313" s="4">
        <v>46101</v>
      </c>
      <c r="N313" s="2" t="s">
        <v>180</v>
      </c>
      <c r="O313" s="2" t="s">
        <v>181</v>
      </c>
      <c r="P313" s="2" t="s">
        <v>260</v>
      </c>
      <c r="Q313" s="2" t="s">
        <v>86</v>
      </c>
      <c r="R313" s="2" t="s">
        <v>1957</v>
      </c>
      <c r="S313" s="4">
        <v>46010</v>
      </c>
      <c r="T313" s="2" t="s">
        <v>1804</v>
      </c>
      <c r="U313" s="2" t="s">
        <v>1805</v>
      </c>
      <c r="V313" s="2" t="s">
        <v>1930</v>
      </c>
      <c r="W313" s="2" t="s">
        <v>1806</v>
      </c>
      <c r="X313" s="2" t="s">
        <v>117</v>
      </c>
      <c r="Y313" s="3" t="s">
        <v>118</v>
      </c>
      <c r="Z313" s="3">
        <v>90.83</v>
      </c>
      <c r="AA313" s="2" t="s">
        <v>90</v>
      </c>
      <c r="AB313" s="2" t="s">
        <v>1952</v>
      </c>
      <c r="AC313" s="2" t="s">
        <v>1950</v>
      </c>
      <c r="AD313" t="str" cm="1">
        <f t="array" ref="AD31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313" s="2" t="s">
        <v>91</v>
      </c>
      <c r="AF313" s="2" t="s">
        <v>92</v>
      </c>
      <c r="AG313" s="2" t="s">
        <v>119</v>
      </c>
      <c r="AH313" s="2" t="s">
        <v>120</v>
      </c>
      <c r="AK313" s="2" t="s">
        <v>1958</v>
      </c>
      <c r="AN313" s="3">
        <v>1</v>
      </c>
      <c r="AO313" s="3">
        <v>1</v>
      </c>
      <c r="AP313" s="3">
        <v>1</v>
      </c>
      <c r="AQ313" s="3">
        <v>1</v>
      </c>
      <c r="AR313" s="3">
        <v>1</v>
      </c>
      <c r="AS313" s="3">
        <v>0</v>
      </c>
      <c r="AT313" s="3">
        <v>0</v>
      </c>
      <c r="AU313" s="3">
        <v>0</v>
      </c>
      <c r="AV313" s="3">
        <v>1</v>
      </c>
      <c r="AW313" s="3">
        <v>0</v>
      </c>
      <c r="AX313" s="3">
        <v>1</v>
      </c>
      <c r="AY313" s="3">
        <v>0</v>
      </c>
      <c r="AZ313" s="3">
        <v>0</v>
      </c>
      <c r="BA313" s="3">
        <v>0</v>
      </c>
      <c r="BB313" s="3">
        <v>0</v>
      </c>
      <c r="BC313" s="3">
        <v>1</v>
      </c>
      <c r="BD313" s="3">
        <v>0</v>
      </c>
      <c r="BE313" s="3">
        <v>0</v>
      </c>
      <c r="BG313" s="2" t="s">
        <v>91</v>
      </c>
      <c r="BH313" s="3">
        <v>3</v>
      </c>
      <c r="BJ313" s="2" t="s">
        <v>96</v>
      </c>
      <c r="BL313" s="2" t="s">
        <v>382</v>
      </c>
      <c r="BM313" s="2" t="s">
        <v>382</v>
      </c>
      <c r="BN313" s="2" t="s">
        <v>99</v>
      </c>
      <c r="BO313" s="2" t="s">
        <v>100</v>
      </c>
      <c r="BP313" s="2" t="s">
        <v>242</v>
      </c>
      <c r="BQ313" s="2" t="s">
        <v>383</v>
      </c>
      <c r="BR313" s="2" t="s">
        <v>384</v>
      </c>
      <c r="BS313" s="2" t="s">
        <v>127</v>
      </c>
      <c r="BT313" s="2" t="s">
        <v>1000</v>
      </c>
      <c r="BU313" s="2" t="s">
        <v>1001</v>
      </c>
      <c r="BV313" s="2" t="s">
        <v>150</v>
      </c>
      <c r="BW313" s="2" t="s">
        <v>151</v>
      </c>
      <c r="BX313" s="2" t="s">
        <v>91</v>
      </c>
      <c r="BY31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13" s="2">
        <f>IF(AND(Cases[[#This Row],[Priority Level]]&gt;=3,Cases[[#This Row],[System Role]]&lt;&gt;"Productive"),1,0)</f>
        <v>0</v>
      </c>
      <c r="CA313" s="2">
        <f>IFERROR(IF(Cases[[#This Row],[Days at Customer]]&gt;MAX(1,Cases[[#This Row],[Days at SAP]]*2),1,0),0)</f>
        <v>1</v>
      </c>
      <c r="CB313" s="2">
        <f>IF(AND(Cases[[#This Row],[Initial Component]]&lt;&gt;"",Cases[[#This Row],[Component]]&lt;&gt;"",Cases[[#This Row],[Initial Component]]&lt;&gt;Cases[[#This Row],[Component]]),1,0)</f>
        <v>1</v>
      </c>
      <c r="CC313" s="2">
        <f>IF(OR(Cases[[#This Row],[Is Reopened]]="X",Cases[[#This Row],[No. of Reopenings]]&gt;0),1,0)</f>
        <v>0</v>
      </c>
      <c r="CD313" s="2">
        <f>IF(Cases[[#This Row],[Confirmation Type]]="Automatic",1,0)</f>
        <v>1</v>
      </c>
      <c r="CE313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14" spans="1:83" x14ac:dyDescent="0.2">
      <c r="A314" s="1" t="s">
        <v>1959</v>
      </c>
      <c r="B314" s="2" t="s">
        <v>1960</v>
      </c>
      <c r="C314" s="2" t="s">
        <v>1857</v>
      </c>
      <c r="D314" s="2" t="s">
        <v>238</v>
      </c>
      <c r="E314" s="3">
        <v>11.81</v>
      </c>
      <c r="F314" s="3">
        <v>44.76</v>
      </c>
      <c r="G314" s="2" t="s">
        <v>79</v>
      </c>
      <c r="H314" s="2" t="s">
        <v>178</v>
      </c>
      <c r="I314" s="3" t="s">
        <v>114</v>
      </c>
      <c r="J314" s="3">
        <v>118</v>
      </c>
      <c r="K314" s="2" t="s">
        <v>1961</v>
      </c>
      <c r="L314" s="4">
        <v>46068</v>
      </c>
      <c r="M314" s="4">
        <v>46066</v>
      </c>
      <c r="N314" s="2" t="s">
        <v>677</v>
      </c>
      <c r="O314" s="2" t="s">
        <v>181</v>
      </c>
      <c r="P314" s="2" t="s">
        <v>1079</v>
      </c>
      <c r="Q314" s="2" t="s">
        <v>86</v>
      </c>
      <c r="R314" s="2" t="s">
        <v>1859</v>
      </c>
      <c r="S314" s="4">
        <v>46009</v>
      </c>
      <c r="T314" s="2" t="s">
        <v>1804</v>
      </c>
      <c r="U314" s="2" t="s">
        <v>1805</v>
      </c>
      <c r="V314" s="2" t="s">
        <v>1930</v>
      </c>
      <c r="W314" s="2" t="s">
        <v>1806</v>
      </c>
      <c r="X314" s="2" t="s">
        <v>117</v>
      </c>
      <c r="Y314" s="3" t="s">
        <v>118</v>
      </c>
      <c r="Z314" s="3">
        <v>56.57</v>
      </c>
      <c r="AA314" s="2" t="s">
        <v>90</v>
      </c>
      <c r="AB314" s="2" t="s">
        <v>563</v>
      </c>
      <c r="AC314" s="2" t="s">
        <v>564</v>
      </c>
      <c r="AD314" t="str" cm="1">
        <f t="array" ref="AD31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314" s="2" t="s">
        <v>139</v>
      </c>
      <c r="AF314" s="2" t="s">
        <v>92</v>
      </c>
      <c r="AG314" s="2" t="s">
        <v>119</v>
      </c>
      <c r="AH314" s="2" t="s">
        <v>120</v>
      </c>
      <c r="AK314" s="2" t="s">
        <v>1962</v>
      </c>
      <c r="AN314" s="3">
        <v>1</v>
      </c>
      <c r="AO314" s="3">
        <v>1</v>
      </c>
      <c r="AP314" s="3">
        <v>1</v>
      </c>
      <c r="AQ314" s="3">
        <v>1</v>
      </c>
      <c r="AR314" s="3">
        <v>0</v>
      </c>
      <c r="AS314" s="3">
        <v>0</v>
      </c>
      <c r="AT314" s="3">
        <v>0</v>
      </c>
      <c r="AU314" s="3">
        <v>1</v>
      </c>
      <c r="AV314" s="3">
        <v>1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1</v>
      </c>
      <c r="BD314" s="3">
        <v>0</v>
      </c>
      <c r="BE314" s="3">
        <v>1</v>
      </c>
      <c r="BG314" s="2" t="s">
        <v>182</v>
      </c>
      <c r="BH314" s="3">
        <v>4</v>
      </c>
      <c r="BJ314" s="2" t="s">
        <v>96</v>
      </c>
      <c r="BL314" s="2" t="s">
        <v>123</v>
      </c>
      <c r="BM314" s="2" t="s">
        <v>123</v>
      </c>
      <c r="BN314" s="2" t="s">
        <v>124</v>
      </c>
      <c r="BO314" s="2" t="s">
        <v>125</v>
      </c>
      <c r="BP314" s="2" t="s">
        <v>242</v>
      </c>
      <c r="BQ314" s="2" t="s">
        <v>124</v>
      </c>
      <c r="BR314" s="2" t="s">
        <v>126</v>
      </c>
      <c r="BS314" s="2" t="s">
        <v>127</v>
      </c>
      <c r="BT314" s="2" t="s">
        <v>207</v>
      </c>
      <c r="BU314" s="2" t="s">
        <v>208</v>
      </c>
      <c r="BV314" s="2" t="s">
        <v>150</v>
      </c>
      <c r="BW314" s="2" t="s">
        <v>151</v>
      </c>
      <c r="BX314" s="2" t="s">
        <v>182</v>
      </c>
      <c r="BY31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14" s="2">
        <f>IF(AND(Cases[[#This Row],[Priority Level]]&gt;=3,Cases[[#This Row],[System Role]]&lt;&gt;"Productive"),1,0)</f>
        <v>0</v>
      </c>
      <c r="CA314" s="2">
        <f>IFERROR(IF(Cases[[#This Row],[Days at Customer]]&gt;MAX(1,Cases[[#This Row],[Days at SAP]]*2),1,0),0)</f>
        <v>1</v>
      </c>
      <c r="CB314" s="2">
        <f>IF(AND(Cases[[#This Row],[Initial Component]]&lt;&gt;"",Cases[[#This Row],[Component]]&lt;&gt;"",Cases[[#This Row],[Initial Component]]&lt;&gt;Cases[[#This Row],[Component]]),1,0)</f>
        <v>1</v>
      </c>
      <c r="CC314" s="2">
        <f>IF(OR(Cases[[#This Row],[Is Reopened]]="X",Cases[[#This Row],[No. of Reopenings]]&gt;0),1,0)</f>
        <v>0</v>
      </c>
      <c r="CD314" s="2">
        <f>IF(Cases[[#This Row],[Confirmation Type]]="Automatic",1,0)</f>
        <v>1</v>
      </c>
      <c r="CE314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315" spans="1:83" x14ac:dyDescent="0.2">
      <c r="A315" s="1" t="s">
        <v>1978</v>
      </c>
      <c r="B315" s="2" t="s">
        <v>1979</v>
      </c>
      <c r="C315" s="2" t="s">
        <v>203</v>
      </c>
      <c r="D315" s="2" t="s">
        <v>238</v>
      </c>
      <c r="E315" s="3">
        <v>0</v>
      </c>
      <c r="F315" s="3">
        <v>21.79</v>
      </c>
      <c r="G315" s="2" t="s">
        <v>112</v>
      </c>
      <c r="H315" s="2" t="s">
        <v>113</v>
      </c>
      <c r="I315" s="3" t="s">
        <v>114</v>
      </c>
      <c r="J315" s="3">
        <v>119</v>
      </c>
      <c r="K315" s="2" t="s">
        <v>1980</v>
      </c>
      <c r="L315" s="4">
        <v>46047</v>
      </c>
      <c r="M315" s="4">
        <v>46044</v>
      </c>
      <c r="N315" s="2" t="s">
        <v>1334</v>
      </c>
      <c r="O315" s="2" t="s">
        <v>181</v>
      </c>
      <c r="P315" s="2" t="s">
        <v>83</v>
      </c>
      <c r="Q315" s="2" t="s">
        <v>86</v>
      </c>
      <c r="R315" s="2" t="s">
        <v>205</v>
      </c>
      <c r="S315" s="4">
        <v>46008</v>
      </c>
      <c r="T315" s="2" t="s">
        <v>1804</v>
      </c>
      <c r="U315" s="2" t="s">
        <v>1805</v>
      </c>
      <c r="V315" s="2" t="s">
        <v>1930</v>
      </c>
      <c r="W315" s="2" t="s">
        <v>1806</v>
      </c>
      <c r="X315" s="2" t="s">
        <v>117</v>
      </c>
      <c r="Y315" s="3" t="s">
        <v>118</v>
      </c>
      <c r="Z315" s="3">
        <v>21.79</v>
      </c>
      <c r="AA315" s="2" t="s">
        <v>90</v>
      </c>
      <c r="AB315" s="2" t="s">
        <v>205</v>
      </c>
      <c r="AC315" s="2" t="s">
        <v>203</v>
      </c>
      <c r="AD315" t="str" cm="1">
        <f t="array" ref="AD31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315" s="2" t="s">
        <v>139</v>
      </c>
      <c r="AF315" s="2" t="s">
        <v>92</v>
      </c>
      <c r="AG315" s="2" t="s">
        <v>119</v>
      </c>
      <c r="AH315" s="2" t="s">
        <v>120</v>
      </c>
      <c r="AK315" s="2" t="s">
        <v>1981</v>
      </c>
      <c r="AN315" s="3">
        <v>1</v>
      </c>
      <c r="AO315" s="3">
        <v>1</v>
      </c>
      <c r="AP315" s="3">
        <v>1</v>
      </c>
      <c r="AQ315" s="3">
        <v>1</v>
      </c>
      <c r="AR315" s="3">
        <v>0</v>
      </c>
      <c r="AS315" s="3">
        <v>0</v>
      </c>
      <c r="AT315" s="3">
        <v>1</v>
      </c>
      <c r="AU315" s="3">
        <v>0</v>
      </c>
      <c r="AV315" s="3">
        <v>1</v>
      </c>
      <c r="AW315" s="3">
        <v>0</v>
      </c>
      <c r="AX315" s="3">
        <v>0</v>
      </c>
      <c r="AY315" s="3">
        <v>0</v>
      </c>
      <c r="AZ315" s="3">
        <v>1</v>
      </c>
      <c r="BA315" s="3">
        <v>0</v>
      </c>
      <c r="BB315" s="3">
        <v>0</v>
      </c>
      <c r="BC315" s="3">
        <v>1</v>
      </c>
      <c r="BD315" s="3">
        <v>0</v>
      </c>
      <c r="BE315" s="3">
        <v>0</v>
      </c>
      <c r="BG315" s="2" t="s">
        <v>139</v>
      </c>
      <c r="BH315" s="3">
        <v>2</v>
      </c>
      <c r="BI315" s="2" t="s">
        <v>122</v>
      </c>
      <c r="BJ315" s="2" t="s">
        <v>96</v>
      </c>
      <c r="BL315" s="2" t="s">
        <v>123</v>
      </c>
      <c r="BM315" s="2" t="s">
        <v>123</v>
      </c>
      <c r="BN315" s="2" t="s">
        <v>124</v>
      </c>
      <c r="BO315" s="2" t="s">
        <v>125</v>
      </c>
      <c r="BP315" s="2" t="s">
        <v>242</v>
      </c>
      <c r="BQ315" s="2" t="s">
        <v>124</v>
      </c>
      <c r="BR315" s="2" t="s">
        <v>126</v>
      </c>
      <c r="BS315" s="2" t="s">
        <v>127</v>
      </c>
      <c r="BT315" s="2" t="s">
        <v>207</v>
      </c>
      <c r="BU315" s="2" t="s">
        <v>208</v>
      </c>
      <c r="BV315" s="2" t="s">
        <v>150</v>
      </c>
      <c r="BW315" s="2" t="s">
        <v>151</v>
      </c>
      <c r="BX315" s="2" t="s">
        <v>139</v>
      </c>
      <c r="BY31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15" s="2">
        <f>IF(AND(Cases[[#This Row],[Priority Level]]&gt;=3,Cases[[#This Row],[System Role]]&lt;&gt;"Productive"),1,0)</f>
        <v>0</v>
      </c>
      <c r="CA315" s="2">
        <f>IFERROR(IF(Cases[[#This Row],[Days at Customer]]&gt;MAX(1,Cases[[#This Row],[Days at SAP]]*2),1,0),0)</f>
        <v>1</v>
      </c>
      <c r="CB315" s="2">
        <f>IF(AND(Cases[[#This Row],[Initial Component]]&lt;&gt;"",Cases[[#This Row],[Component]]&lt;&gt;"",Cases[[#This Row],[Initial Component]]&lt;&gt;Cases[[#This Row],[Component]]),1,0)</f>
        <v>0</v>
      </c>
      <c r="CC315" s="2">
        <f>IF(OR(Cases[[#This Row],[Is Reopened]]="X",Cases[[#This Row],[No. of Reopenings]]&gt;0),1,0)</f>
        <v>0</v>
      </c>
      <c r="CD315" s="2">
        <f>IF(Cases[[#This Row],[Confirmation Type]]="Automatic",1,0)</f>
        <v>1</v>
      </c>
      <c r="CE315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16" spans="1:83" x14ac:dyDescent="0.2">
      <c r="A316" s="1" t="s">
        <v>1967</v>
      </c>
      <c r="B316" s="2" t="s">
        <v>1968</v>
      </c>
      <c r="C316" s="2" t="s">
        <v>1969</v>
      </c>
      <c r="D316" s="2" t="s">
        <v>238</v>
      </c>
      <c r="E316" s="3">
        <v>0.27</v>
      </c>
      <c r="F316" s="3">
        <v>40.24</v>
      </c>
      <c r="G316" s="2" t="s">
        <v>79</v>
      </c>
      <c r="H316" s="2" t="s">
        <v>290</v>
      </c>
      <c r="I316" s="3" t="s">
        <v>114</v>
      </c>
      <c r="J316" s="3">
        <v>118</v>
      </c>
      <c r="K316" s="2" t="s">
        <v>1970</v>
      </c>
      <c r="L316" s="4">
        <v>46054</v>
      </c>
      <c r="M316" s="4">
        <v>46050</v>
      </c>
      <c r="N316" s="2" t="s">
        <v>1334</v>
      </c>
      <c r="O316" s="2" t="s">
        <v>181</v>
      </c>
      <c r="P316" s="2" t="s">
        <v>1335</v>
      </c>
      <c r="Q316" s="2" t="s">
        <v>86</v>
      </c>
      <c r="R316" s="2" t="s">
        <v>1971</v>
      </c>
      <c r="S316" s="4">
        <v>46009</v>
      </c>
      <c r="T316" s="2" t="s">
        <v>1804</v>
      </c>
      <c r="U316" s="2" t="s">
        <v>1805</v>
      </c>
      <c r="V316" s="2" t="s">
        <v>1930</v>
      </c>
      <c r="W316" s="2" t="s">
        <v>1806</v>
      </c>
      <c r="X316" s="2" t="s">
        <v>117</v>
      </c>
      <c r="Y316" s="3" t="s">
        <v>118</v>
      </c>
      <c r="Z316" s="3">
        <v>40.51</v>
      </c>
      <c r="AA316" s="2" t="s">
        <v>90</v>
      </c>
      <c r="AB316" s="2" t="s">
        <v>1971</v>
      </c>
      <c r="AC316" s="2" t="s">
        <v>1969</v>
      </c>
      <c r="AD316" t="str" cm="1">
        <f t="array" ref="AD31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316" s="2" t="s">
        <v>91</v>
      </c>
      <c r="AF316" s="2" t="s">
        <v>92</v>
      </c>
      <c r="AG316" s="2" t="s">
        <v>353</v>
      </c>
      <c r="AH316" s="2" t="s">
        <v>354</v>
      </c>
      <c r="AK316" s="2" t="s">
        <v>1972</v>
      </c>
      <c r="AN316" s="3">
        <v>1</v>
      </c>
      <c r="AO316" s="3">
        <v>1</v>
      </c>
      <c r="AP316" s="3">
        <v>1</v>
      </c>
      <c r="AQ316" s="3">
        <v>1</v>
      </c>
      <c r="AR316" s="3">
        <v>1</v>
      </c>
      <c r="AS316" s="3">
        <v>0</v>
      </c>
      <c r="AT316" s="3">
        <v>0</v>
      </c>
      <c r="AU316" s="3">
        <v>0</v>
      </c>
      <c r="AV316" s="3">
        <v>1</v>
      </c>
      <c r="AW316" s="3">
        <v>0</v>
      </c>
      <c r="AX316" s="3">
        <v>1</v>
      </c>
      <c r="AY316" s="3">
        <v>0</v>
      </c>
      <c r="AZ316" s="3">
        <v>0</v>
      </c>
      <c r="BA316" s="3">
        <v>0</v>
      </c>
      <c r="BB316" s="3">
        <v>0</v>
      </c>
      <c r="BC316" s="3">
        <v>1</v>
      </c>
      <c r="BD316" s="3">
        <v>0</v>
      </c>
      <c r="BE316" s="3">
        <v>0</v>
      </c>
      <c r="BG316" s="2" t="s">
        <v>91</v>
      </c>
      <c r="BH316" s="3">
        <v>3</v>
      </c>
      <c r="BJ316" s="2" t="s">
        <v>96</v>
      </c>
      <c r="BL316" s="2" t="s">
        <v>97</v>
      </c>
      <c r="BM316" s="2" t="s">
        <v>98</v>
      </c>
      <c r="BN316" s="2" t="s">
        <v>99</v>
      </c>
      <c r="BO316" s="2" t="s">
        <v>100</v>
      </c>
      <c r="BP316" s="2" t="s">
        <v>242</v>
      </c>
      <c r="BQ316" s="2" t="s">
        <v>102</v>
      </c>
      <c r="BR316" s="2" t="s">
        <v>103</v>
      </c>
      <c r="BS316" s="2" t="s">
        <v>127</v>
      </c>
      <c r="BT316" s="2" t="s">
        <v>356</v>
      </c>
      <c r="BU316" s="2" t="s">
        <v>357</v>
      </c>
      <c r="BV316" s="2" t="s">
        <v>150</v>
      </c>
      <c r="BW316" s="2" t="s">
        <v>151</v>
      </c>
      <c r="BX316" s="2" t="s">
        <v>91</v>
      </c>
      <c r="BY31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16" s="2">
        <f>IF(AND(Cases[[#This Row],[Priority Level]]&gt;=3,Cases[[#This Row],[System Role]]&lt;&gt;"Productive"),1,0)</f>
        <v>0</v>
      </c>
      <c r="CA316" s="2">
        <f>IFERROR(IF(Cases[[#This Row],[Days at Customer]]&gt;MAX(1,Cases[[#This Row],[Days at SAP]]*2),1,0),0)</f>
        <v>1</v>
      </c>
      <c r="CB316" s="2">
        <f>IF(AND(Cases[[#This Row],[Initial Component]]&lt;&gt;"",Cases[[#This Row],[Component]]&lt;&gt;"",Cases[[#This Row],[Initial Component]]&lt;&gt;Cases[[#This Row],[Component]]),1,0)</f>
        <v>0</v>
      </c>
      <c r="CC316" s="2">
        <f>IF(OR(Cases[[#This Row],[Is Reopened]]="X",Cases[[#This Row],[No. of Reopenings]]&gt;0),1,0)</f>
        <v>0</v>
      </c>
      <c r="CD316" s="2">
        <f>IF(Cases[[#This Row],[Confirmation Type]]="Automatic",1,0)</f>
        <v>1</v>
      </c>
      <c r="CE31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17" spans="1:83" x14ac:dyDescent="0.2">
      <c r="A317" s="1" t="s">
        <v>1973</v>
      </c>
      <c r="B317" s="2" t="s">
        <v>616</v>
      </c>
      <c r="C317" s="2" t="s">
        <v>1974</v>
      </c>
      <c r="D317" s="2" t="s">
        <v>238</v>
      </c>
      <c r="E317" s="3">
        <v>2.87</v>
      </c>
      <c r="F317" s="3">
        <v>22.54</v>
      </c>
      <c r="G317" s="2" t="s">
        <v>79</v>
      </c>
      <c r="H317" s="2" t="s">
        <v>80</v>
      </c>
      <c r="I317" s="3" t="s">
        <v>114</v>
      </c>
      <c r="J317" s="3">
        <v>118</v>
      </c>
      <c r="K317" s="2" t="s">
        <v>1975</v>
      </c>
      <c r="L317" s="4">
        <v>46040</v>
      </c>
      <c r="M317" s="4">
        <v>46035</v>
      </c>
      <c r="N317" s="2" t="s">
        <v>1334</v>
      </c>
      <c r="O317" s="2" t="s">
        <v>181</v>
      </c>
      <c r="P317" s="2" t="s">
        <v>180</v>
      </c>
      <c r="Q317" s="2" t="s">
        <v>86</v>
      </c>
      <c r="R317" s="2" t="s">
        <v>1976</v>
      </c>
      <c r="S317" s="4">
        <v>46009</v>
      </c>
      <c r="T317" s="2" t="s">
        <v>1804</v>
      </c>
      <c r="U317" s="2" t="s">
        <v>1805</v>
      </c>
      <c r="V317" s="2" t="s">
        <v>1930</v>
      </c>
      <c r="W317" s="2" t="s">
        <v>1806</v>
      </c>
      <c r="X317" s="2" t="s">
        <v>117</v>
      </c>
      <c r="Y317" s="3" t="s">
        <v>118</v>
      </c>
      <c r="Z317" s="3">
        <v>25.4</v>
      </c>
      <c r="AA317" s="2" t="s">
        <v>90</v>
      </c>
      <c r="AB317" s="2" t="s">
        <v>1976</v>
      </c>
      <c r="AC317" s="2" t="s">
        <v>1974</v>
      </c>
      <c r="AD317" t="str" cm="1">
        <f t="array" ref="AD31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OTC</v>
      </c>
      <c r="AE317" s="2" t="s">
        <v>139</v>
      </c>
      <c r="AF317" s="2" t="s">
        <v>92</v>
      </c>
      <c r="AG317" s="2" t="s">
        <v>119</v>
      </c>
      <c r="AH317" s="2" t="s">
        <v>120</v>
      </c>
      <c r="AK317" s="2" t="s">
        <v>1977</v>
      </c>
      <c r="AN317" s="3">
        <v>1</v>
      </c>
      <c r="AO317" s="3">
        <v>1</v>
      </c>
      <c r="AP317" s="3">
        <v>1</v>
      </c>
      <c r="AQ317" s="3">
        <v>1</v>
      </c>
      <c r="AR317" s="3">
        <v>0</v>
      </c>
      <c r="AS317" s="3">
        <v>0</v>
      </c>
      <c r="AT317" s="3">
        <v>1</v>
      </c>
      <c r="AU317" s="3">
        <v>0</v>
      </c>
      <c r="AV317" s="3">
        <v>1</v>
      </c>
      <c r="AW317" s="3">
        <v>0</v>
      </c>
      <c r="AX317" s="3">
        <v>0</v>
      </c>
      <c r="AY317" s="3">
        <v>0</v>
      </c>
      <c r="AZ317" s="3">
        <v>1</v>
      </c>
      <c r="BA317" s="3">
        <v>0</v>
      </c>
      <c r="BB317" s="3">
        <v>0</v>
      </c>
      <c r="BC317" s="3">
        <v>1</v>
      </c>
      <c r="BD317" s="3">
        <v>0</v>
      </c>
      <c r="BE317" s="3">
        <v>0</v>
      </c>
      <c r="BG317" s="2" t="s">
        <v>139</v>
      </c>
      <c r="BH317" s="3">
        <v>2</v>
      </c>
      <c r="BJ317" s="2" t="s">
        <v>96</v>
      </c>
      <c r="BL317" s="2" t="s">
        <v>123</v>
      </c>
      <c r="BM317" s="2" t="s">
        <v>123</v>
      </c>
      <c r="BN317" s="2" t="s">
        <v>124</v>
      </c>
      <c r="BO317" s="2" t="s">
        <v>125</v>
      </c>
      <c r="BP317" s="2" t="s">
        <v>242</v>
      </c>
      <c r="BQ317" s="2" t="s">
        <v>124</v>
      </c>
      <c r="BR317" s="2" t="s">
        <v>126</v>
      </c>
      <c r="BS317" s="2" t="s">
        <v>127</v>
      </c>
      <c r="BT317" s="2" t="s">
        <v>207</v>
      </c>
      <c r="BU317" s="2" t="s">
        <v>208</v>
      </c>
      <c r="BV317" s="2" t="s">
        <v>150</v>
      </c>
      <c r="BW317" s="2" t="s">
        <v>151</v>
      </c>
      <c r="BX317" s="2" t="s">
        <v>139</v>
      </c>
      <c r="BY31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17" s="2">
        <f>IF(AND(Cases[[#This Row],[Priority Level]]&gt;=3,Cases[[#This Row],[System Role]]&lt;&gt;"Productive"),1,0)</f>
        <v>0</v>
      </c>
      <c r="CA317" s="2">
        <f>IFERROR(IF(Cases[[#This Row],[Days at Customer]]&gt;MAX(1,Cases[[#This Row],[Days at SAP]]*2),1,0),0)</f>
        <v>1</v>
      </c>
      <c r="CB317" s="2">
        <f>IF(AND(Cases[[#This Row],[Initial Component]]&lt;&gt;"",Cases[[#This Row],[Component]]&lt;&gt;"",Cases[[#This Row],[Initial Component]]&lt;&gt;Cases[[#This Row],[Component]]),1,0)</f>
        <v>0</v>
      </c>
      <c r="CC317" s="2">
        <f>IF(OR(Cases[[#This Row],[Is Reopened]]="X",Cases[[#This Row],[No. of Reopenings]]&gt;0),1,0)</f>
        <v>0</v>
      </c>
      <c r="CD317" s="2">
        <f>IF(Cases[[#This Row],[Confirmation Type]]="Automatic",1,0)</f>
        <v>1</v>
      </c>
      <c r="CE317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18" spans="1:83" x14ac:dyDescent="0.2">
      <c r="A318" s="1" t="s">
        <v>2002</v>
      </c>
      <c r="B318" s="2" t="s">
        <v>2003</v>
      </c>
      <c r="C318" s="2" t="s">
        <v>1850</v>
      </c>
      <c r="D318" s="2" t="s">
        <v>238</v>
      </c>
      <c r="E318" s="3">
        <v>1.69</v>
      </c>
      <c r="F318" s="3">
        <v>33.729999999999997</v>
      </c>
      <c r="G318" s="2" t="s">
        <v>79</v>
      </c>
      <c r="H318" s="2" t="s">
        <v>178</v>
      </c>
      <c r="I318" s="3" t="s">
        <v>114</v>
      </c>
      <c r="J318" s="3">
        <v>120</v>
      </c>
      <c r="K318" s="2" t="s">
        <v>2004</v>
      </c>
      <c r="L318" s="4">
        <v>46047</v>
      </c>
      <c r="M318" s="4">
        <v>46043</v>
      </c>
      <c r="N318" s="2" t="s">
        <v>1334</v>
      </c>
      <c r="O318" s="2" t="s">
        <v>181</v>
      </c>
      <c r="P318" s="2" t="s">
        <v>83</v>
      </c>
      <c r="Q318" s="2" t="s">
        <v>86</v>
      </c>
      <c r="R318" s="2" t="s">
        <v>363</v>
      </c>
      <c r="S318" s="4">
        <v>46007</v>
      </c>
      <c r="T318" s="2" t="s">
        <v>1804</v>
      </c>
      <c r="U318" s="2" t="s">
        <v>1805</v>
      </c>
      <c r="V318" s="2" t="s">
        <v>1930</v>
      </c>
      <c r="W318" s="2" t="s">
        <v>1806</v>
      </c>
      <c r="X318" s="2" t="s">
        <v>117</v>
      </c>
      <c r="Y318" s="3" t="s">
        <v>118</v>
      </c>
      <c r="Z318" s="3">
        <v>35.409999999999997</v>
      </c>
      <c r="AA318" s="2" t="s">
        <v>90</v>
      </c>
      <c r="AB318" s="2" t="s">
        <v>310</v>
      </c>
      <c r="AC318" s="2" t="s">
        <v>311</v>
      </c>
      <c r="AD318" t="str" cm="1">
        <f t="array" ref="AD31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318" s="2" t="s">
        <v>91</v>
      </c>
      <c r="AF318" s="2" t="s">
        <v>92</v>
      </c>
      <c r="AG318" s="2" t="s">
        <v>119</v>
      </c>
      <c r="AH318" s="2" t="s">
        <v>120</v>
      </c>
      <c r="AK318" s="2" t="s">
        <v>2005</v>
      </c>
      <c r="AN318" s="3">
        <v>1</v>
      </c>
      <c r="AO318" s="3">
        <v>1</v>
      </c>
      <c r="AP318" s="3">
        <v>1</v>
      </c>
      <c r="AQ318" s="3">
        <v>1</v>
      </c>
      <c r="AR318" s="3">
        <v>1</v>
      </c>
      <c r="AS318" s="3">
        <v>0</v>
      </c>
      <c r="AT318" s="3">
        <v>0</v>
      </c>
      <c r="AU318" s="3">
        <v>0</v>
      </c>
      <c r="AV318" s="3">
        <v>1</v>
      </c>
      <c r="AW318" s="3">
        <v>0</v>
      </c>
      <c r="AX318" s="3">
        <v>1</v>
      </c>
      <c r="AY318" s="3">
        <v>0</v>
      </c>
      <c r="AZ318" s="3">
        <v>0</v>
      </c>
      <c r="BA318" s="3">
        <v>0</v>
      </c>
      <c r="BB318" s="3">
        <v>0</v>
      </c>
      <c r="BC318" s="3">
        <v>1</v>
      </c>
      <c r="BD318" s="3">
        <v>0</v>
      </c>
      <c r="BE318" s="3">
        <v>0</v>
      </c>
      <c r="BG318" s="2" t="s">
        <v>91</v>
      </c>
      <c r="BH318" s="3">
        <v>3</v>
      </c>
      <c r="BJ318" s="2" t="s">
        <v>96</v>
      </c>
      <c r="BL318" s="2" t="s">
        <v>123</v>
      </c>
      <c r="BM318" s="2" t="s">
        <v>123</v>
      </c>
      <c r="BN318" s="2" t="s">
        <v>124</v>
      </c>
      <c r="BO318" s="2" t="s">
        <v>125</v>
      </c>
      <c r="BP318" s="2" t="s">
        <v>242</v>
      </c>
      <c r="BQ318" s="2" t="s">
        <v>124</v>
      </c>
      <c r="BR318" s="2" t="s">
        <v>126</v>
      </c>
      <c r="BS318" s="2" t="s">
        <v>127</v>
      </c>
      <c r="BT318" s="2" t="s">
        <v>207</v>
      </c>
      <c r="BU318" s="2" t="s">
        <v>208</v>
      </c>
      <c r="BV318" s="2" t="s">
        <v>150</v>
      </c>
      <c r="BW318" s="2" t="s">
        <v>151</v>
      </c>
      <c r="BX318" s="2" t="s">
        <v>91</v>
      </c>
      <c r="BY31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18" s="2">
        <f>IF(AND(Cases[[#This Row],[Priority Level]]&gt;=3,Cases[[#This Row],[System Role]]&lt;&gt;"Productive"),1,0)</f>
        <v>0</v>
      </c>
      <c r="CA318" s="2">
        <f>IFERROR(IF(Cases[[#This Row],[Days at Customer]]&gt;MAX(1,Cases[[#This Row],[Days at SAP]]*2),1,0),0)</f>
        <v>1</v>
      </c>
      <c r="CB318" s="2">
        <f>IF(AND(Cases[[#This Row],[Initial Component]]&lt;&gt;"",Cases[[#This Row],[Component]]&lt;&gt;"",Cases[[#This Row],[Initial Component]]&lt;&gt;Cases[[#This Row],[Component]]),1,0)</f>
        <v>1</v>
      </c>
      <c r="CC318" s="2">
        <f>IF(OR(Cases[[#This Row],[Is Reopened]]="X",Cases[[#This Row],[No. of Reopenings]]&gt;0),1,0)</f>
        <v>0</v>
      </c>
      <c r="CD318" s="2">
        <f>IF(Cases[[#This Row],[Confirmation Type]]="Automatic",1,0)</f>
        <v>1</v>
      </c>
      <c r="CE318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319" spans="1:83" x14ac:dyDescent="0.2">
      <c r="A319" s="1" t="s">
        <v>1982</v>
      </c>
      <c r="B319" s="2" t="s">
        <v>1983</v>
      </c>
      <c r="C319" s="2" t="s">
        <v>1984</v>
      </c>
      <c r="D319" s="2" t="s">
        <v>238</v>
      </c>
      <c r="E319" s="3">
        <v>49.29</v>
      </c>
      <c r="F319" s="3">
        <v>58.1</v>
      </c>
      <c r="G319" s="2" t="s">
        <v>79</v>
      </c>
      <c r="H319" s="2" t="s">
        <v>80</v>
      </c>
      <c r="I319" s="3" t="s">
        <v>114</v>
      </c>
      <c r="J319" s="3">
        <v>119</v>
      </c>
      <c r="K319" s="2" t="s">
        <v>1985</v>
      </c>
      <c r="L319" s="4">
        <v>46117</v>
      </c>
      <c r="M319" s="4">
        <v>46115</v>
      </c>
      <c r="N319" s="2" t="s">
        <v>83</v>
      </c>
      <c r="O319" s="2" t="s">
        <v>84</v>
      </c>
      <c r="P319" s="2" t="s">
        <v>136</v>
      </c>
      <c r="Q319" s="2" t="s">
        <v>86</v>
      </c>
      <c r="R319" s="2" t="s">
        <v>1986</v>
      </c>
      <c r="S319" s="4">
        <v>46008</v>
      </c>
      <c r="T319" s="2" t="s">
        <v>1804</v>
      </c>
      <c r="U319" s="2" t="s">
        <v>1805</v>
      </c>
      <c r="V319" s="2" t="s">
        <v>1930</v>
      </c>
      <c r="W319" s="2" t="s">
        <v>1806</v>
      </c>
      <c r="X319" s="2" t="s">
        <v>117</v>
      </c>
      <c r="Y319" s="3" t="s">
        <v>118</v>
      </c>
      <c r="Z319" s="3">
        <v>107.39</v>
      </c>
      <c r="AA319" s="2" t="s">
        <v>90</v>
      </c>
      <c r="AB319" s="2" t="s">
        <v>1987</v>
      </c>
      <c r="AC319" s="2" t="s">
        <v>1988</v>
      </c>
      <c r="AD319" t="str" cm="1">
        <f t="array" ref="AD31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319" s="2" t="s">
        <v>91</v>
      </c>
      <c r="AF319" s="2" t="s">
        <v>92</v>
      </c>
      <c r="AG319" s="2" t="s">
        <v>119</v>
      </c>
      <c r="AH319" s="2" t="s">
        <v>120</v>
      </c>
      <c r="AJ319" s="2" t="s">
        <v>122</v>
      </c>
      <c r="AK319" s="2" t="s">
        <v>1989</v>
      </c>
      <c r="AN319" s="3">
        <v>1</v>
      </c>
      <c r="AO319" s="3">
        <v>1</v>
      </c>
      <c r="AP319" s="3">
        <v>1</v>
      </c>
      <c r="AQ319" s="3">
        <v>1</v>
      </c>
      <c r="AR319" s="3">
        <v>1</v>
      </c>
      <c r="AS319" s="3">
        <v>0</v>
      </c>
      <c r="AT319" s="3">
        <v>0</v>
      </c>
      <c r="AU319" s="3">
        <v>0</v>
      </c>
      <c r="AV319" s="3">
        <v>1</v>
      </c>
      <c r="AW319" s="3">
        <v>0</v>
      </c>
      <c r="AX319" s="3">
        <v>1</v>
      </c>
      <c r="AY319" s="3">
        <v>0</v>
      </c>
      <c r="AZ319" s="3">
        <v>0</v>
      </c>
      <c r="BA319" s="3">
        <v>1</v>
      </c>
      <c r="BB319" s="3">
        <v>0</v>
      </c>
      <c r="BC319" s="3">
        <v>0</v>
      </c>
      <c r="BD319" s="3">
        <v>1</v>
      </c>
      <c r="BE319" s="3">
        <v>0</v>
      </c>
      <c r="BG319" s="2" t="s">
        <v>91</v>
      </c>
      <c r="BH319" s="3">
        <v>3</v>
      </c>
      <c r="BJ319" s="2" t="s">
        <v>96</v>
      </c>
      <c r="BL319" s="2" t="s">
        <v>123</v>
      </c>
      <c r="BM319" s="2" t="s">
        <v>123</v>
      </c>
      <c r="BN319" s="2" t="s">
        <v>124</v>
      </c>
      <c r="BO319" s="2" t="s">
        <v>125</v>
      </c>
      <c r="BP319" s="2" t="s">
        <v>242</v>
      </c>
      <c r="BQ319" s="2" t="s">
        <v>124</v>
      </c>
      <c r="BR319" s="2" t="s">
        <v>126</v>
      </c>
      <c r="BS319" s="2" t="s">
        <v>127</v>
      </c>
      <c r="BT319" s="2" t="s">
        <v>128</v>
      </c>
      <c r="BU319" s="2" t="s">
        <v>129</v>
      </c>
      <c r="BV319" s="2" t="s">
        <v>107</v>
      </c>
      <c r="BW319" s="2" t="s">
        <v>108</v>
      </c>
      <c r="BX319" s="2" t="s">
        <v>91</v>
      </c>
      <c r="BY31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19" s="2">
        <f>IF(AND(Cases[[#This Row],[Priority Level]]&gt;=3,Cases[[#This Row],[System Role]]&lt;&gt;"Productive"),1,0)</f>
        <v>1</v>
      </c>
      <c r="CA319" s="2">
        <f>IFERROR(IF(Cases[[#This Row],[Days at Customer]]&gt;MAX(1,Cases[[#This Row],[Days at SAP]]*2),1,0),0)</f>
        <v>0</v>
      </c>
      <c r="CB319" s="2">
        <f>IF(AND(Cases[[#This Row],[Initial Component]]&lt;&gt;"",Cases[[#This Row],[Component]]&lt;&gt;"",Cases[[#This Row],[Initial Component]]&lt;&gt;Cases[[#This Row],[Component]]),1,0)</f>
        <v>1</v>
      </c>
      <c r="CC319" s="2">
        <f>IF(OR(Cases[[#This Row],[Is Reopened]]="X",Cases[[#This Row],[No. of Reopenings]]&gt;0),1,0)</f>
        <v>1</v>
      </c>
      <c r="CD319" s="2">
        <f>IF(Cases[[#This Row],[Confirmation Type]]="Automatic",1,0)</f>
        <v>1</v>
      </c>
      <c r="CE319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320" spans="1:83" x14ac:dyDescent="0.2">
      <c r="A320" s="1" t="s">
        <v>1990</v>
      </c>
      <c r="B320" s="2" t="s">
        <v>1991</v>
      </c>
      <c r="C320" s="2" t="s">
        <v>1992</v>
      </c>
      <c r="D320" s="2" t="s">
        <v>238</v>
      </c>
      <c r="E320" s="3">
        <v>16.64</v>
      </c>
      <c r="F320" s="3">
        <v>23.65</v>
      </c>
      <c r="G320" s="2" t="s">
        <v>79</v>
      </c>
      <c r="H320" s="2" t="s">
        <v>155</v>
      </c>
      <c r="I320" s="3" t="s">
        <v>114</v>
      </c>
      <c r="J320" s="3">
        <v>119</v>
      </c>
      <c r="K320" s="2" t="s">
        <v>1993</v>
      </c>
      <c r="L320" s="4">
        <v>46054</v>
      </c>
      <c r="M320" s="4">
        <v>46049</v>
      </c>
      <c r="N320" s="2" t="s">
        <v>1334</v>
      </c>
      <c r="O320" s="2" t="s">
        <v>181</v>
      </c>
      <c r="P320" s="2" t="s">
        <v>1335</v>
      </c>
      <c r="Q320" s="2" t="s">
        <v>86</v>
      </c>
      <c r="R320" s="2" t="s">
        <v>1994</v>
      </c>
      <c r="S320" s="4">
        <v>46008</v>
      </c>
      <c r="T320" s="2" t="s">
        <v>1804</v>
      </c>
      <c r="U320" s="2" t="s">
        <v>1805</v>
      </c>
      <c r="V320" s="2" t="s">
        <v>1930</v>
      </c>
      <c r="W320" s="2" t="s">
        <v>1806</v>
      </c>
      <c r="X320" s="2" t="s">
        <v>117</v>
      </c>
      <c r="Y320" s="3" t="s">
        <v>118</v>
      </c>
      <c r="Z320" s="3">
        <v>40.28</v>
      </c>
      <c r="AA320" s="2" t="s">
        <v>90</v>
      </c>
      <c r="AB320" s="2" t="s">
        <v>1995</v>
      </c>
      <c r="AC320" s="2" t="s">
        <v>1996</v>
      </c>
      <c r="AD320" t="str" cm="1">
        <f t="array" ref="AD32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320" s="2" t="s">
        <v>139</v>
      </c>
      <c r="AF320" s="2" t="s">
        <v>92</v>
      </c>
      <c r="AG320" s="2" t="s">
        <v>527</v>
      </c>
      <c r="AH320" s="2" t="s">
        <v>528</v>
      </c>
      <c r="AJ320" s="2" t="s">
        <v>122</v>
      </c>
      <c r="AK320" s="2" t="s">
        <v>1997</v>
      </c>
      <c r="AN320" s="3">
        <v>1</v>
      </c>
      <c r="AO320" s="3">
        <v>1</v>
      </c>
      <c r="AP320" s="3">
        <v>1</v>
      </c>
      <c r="AQ320" s="3">
        <v>1</v>
      </c>
      <c r="AR320" s="3">
        <v>0</v>
      </c>
      <c r="AS320" s="3">
        <v>0</v>
      </c>
      <c r="AT320" s="3">
        <v>1</v>
      </c>
      <c r="AU320" s="3">
        <v>0</v>
      </c>
      <c r="AV320" s="3">
        <v>1</v>
      </c>
      <c r="AW320" s="3">
        <v>0</v>
      </c>
      <c r="AX320" s="3">
        <v>0</v>
      </c>
      <c r="AY320" s="3">
        <v>0</v>
      </c>
      <c r="AZ320" s="3">
        <v>1</v>
      </c>
      <c r="BA320" s="3">
        <v>1</v>
      </c>
      <c r="BB320" s="3">
        <v>0</v>
      </c>
      <c r="BC320" s="3">
        <v>0</v>
      </c>
      <c r="BD320" s="3">
        <v>1</v>
      </c>
      <c r="BE320" s="3">
        <v>0</v>
      </c>
      <c r="BG320" s="2" t="s">
        <v>139</v>
      </c>
      <c r="BH320" s="3">
        <v>2</v>
      </c>
      <c r="BJ320" s="2" t="s">
        <v>96</v>
      </c>
      <c r="BL320" s="2" t="s">
        <v>184</v>
      </c>
      <c r="BM320" s="2" t="s">
        <v>184</v>
      </c>
      <c r="BN320" s="2" t="s">
        <v>124</v>
      </c>
      <c r="BO320" s="2" t="s">
        <v>125</v>
      </c>
      <c r="BP320" s="2" t="s">
        <v>242</v>
      </c>
      <c r="BQ320" s="2" t="s">
        <v>124</v>
      </c>
      <c r="BR320" s="2" t="s">
        <v>126</v>
      </c>
      <c r="BS320" s="2" t="s">
        <v>127</v>
      </c>
      <c r="BT320" s="2" t="s">
        <v>105</v>
      </c>
      <c r="BU320" s="2" t="s">
        <v>614</v>
      </c>
      <c r="BV320" s="2" t="s">
        <v>107</v>
      </c>
      <c r="BW320" s="2" t="s">
        <v>108</v>
      </c>
      <c r="BX320" s="2" t="s">
        <v>139</v>
      </c>
      <c r="BY32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20" s="2">
        <f>IF(AND(Cases[[#This Row],[Priority Level]]&gt;=3,Cases[[#This Row],[System Role]]&lt;&gt;"Productive"),1,0)</f>
        <v>0</v>
      </c>
      <c r="CA320" s="2">
        <f>IFERROR(IF(Cases[[#This Row],[Days at Customer]]&gt;MAX(1,Cases[[#This Row],[Days at SAP]]*2),1,0),0)</f>
        <v>0</v>
      </c>
      <c r="CB320" s="2">
        <f>IF(AND(Cases[[#This Row],[Initial Component]]&lt;&gt;"",Cases[[#This Row],[Component]]&lt;&gt;"",Cases[[#This Row],[Initial Component]]&lt;&gt;Cases[[#This Row],[Component]]),1,0)</f>
        <v>1</v>
      </c>
      <c r="CC320" s="2">
        <f>IF(OR(Cases[[#This Row],[Is Reopened]]="X",Cases[[#This Row],[No. of Reopenings]]&gt;0),1,0)</f>
        <v>1</v>
      </c>
      <c r="CD320" s="2">
        <f>IF(Cases[[#This Row],[Confirmation Type]]="Automatic",1,0)</f>
        <v>1</v>
      </c>
      <c r="CE320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321" spans="1:83" x14ac:dyDescent="0.2">
      <c r="A321" s="1" t="s">
        <v>1998</v>
      </c>
      <c r="B321" s="2" t="s">
        <v>1999</v>
      </c>
      <c r="C321" s="2" t="s">
        <v>221</v>
      </c>
      <c r="D321" s="2" t="s">
        <v>238</v>
      </c>
      <c r="E321" s="3">
        <v>0.34</v>
      </c>
      <c r="F321" s="3">
        <v>21.43</v>
      </c>
      <c r="G321" s="2" t="s">
        <v>190</v>
      </c>
      <c r="H321" s="2" t="s">
        <v>308</v>
      </c>
      <c r="I321" s="3" t="s">
        <v>114</v>
      </c>
      <c r="J321" s="3">
        <v>120</v>
      </c>
      <c r="K321" s="2" t="s">
        <v>2000</v>
      </c>
      <c r="L321" s="4">
        <v>46033</v>
      </c>
      <c r="M321" s="4">
        <v>46029</v>
      </c>
      <c r="N321" s="2" t="s">
        <v>1334</v>
      </c>
      <c r="O321" s="2" t="s">
        <v>181</v>
      </c>
      <c r="P321" s="2" t="s">
        <v>677</v>
      </c>
      <c r="Q321" s="2" t="s">
        <v>86</v>
      </c>
      <c r="R321" s="2" t="s">
        <v>220</v>
      </c>
      <c r="S321" s="4">
        <v>46007</v>
      </c>
      <c r="T321" s="2" t="s">
        <v>1804</v>
      </c>
      <c r="U321" s="2" t="s">
        <v>1805</v>
      </c>
      <c r="V321" s="2" t="s">
        <v>1930</v>
      </c>
      <c r="W321" s="2" t="s">
        <v>1806</v>
      </c>
      <c r="X321" s="2" t="s">
        <v>117</v>
      </c>
      <c r="Y321" s="3" t="s">
        <v>118</v>
      </c>
      <c r="Z321" s="3">
        <v>21.77</v>
      </c>
      <c r="AA321" s="2" t="s">
        <v>90</v>
      </c>
      <c r="AB321" s="2" t="s">
        <v>220</v>
      </c>
      <c r="AC321" s="2" t="s">
        <v>221</v>
      </c>
      <c r="AD321" t="str" cm="1">
        <f t="array" ref="AD32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OTC</v>
      </c>
      <c r="AE321" s="2" t="s">
        <v>139</v>
      </c>
      <c r="AF321" s="2" t="s">
        <v>92</v>
      </c>
      <c r="AG321" s="2" t="s">
        <v>119</v>
      </c>
      <c r="AH321" s="2" t="s">
        <v>120</v>
      </c>
      <c r="AK321" s="2" t="s">
        <v>2001</v>
      </c>
      <c r="AN321" s="3">
        <v>1</v>
      </c>
      <c r="AO321" s="3">
        <v>1</v>
      </c>
      <c r="AP321" s="3">
        <v>1</v>
      </c>
      <c r="AQ321" s="3">
        <v>1</v>
      </c>
      <c r="AR321" s="3">
        <v>0</v>
      </c>
      <c r="AS321" s="3">
        <v>0</v>
      </c>
      <c r="AT321" s="3">
        <v>1</v>
      </c>
      <c r="AU321" s="3">
        <v>0</v>
      </c>
      <c r="AV321" s="3">
        <v>1</v>
      </c>
      <c r="AW321" s="3">
        <v>0</v>
      </c>
      <c r="AX321" s="3">
        <v>0</v>
      </c>
      <c r="AY321" s="3">
        <v>0</v>
      </c>
      <c r="AZ321" s="3">
        <v>1</v>
      </c>
      <c r="BA321" s="3">
        <v>0</v>
      </c>
      <c r="BB321" s="3">
        <v>0</v>
      </c>
      <c r="BC321" s="3">
        <v>1</v>
      </c>
      <c r="BD321" s="3">
        <v>0</v>
      </c>
      <c r="BE321" s="3">
        <v>0</v>
      </c>
      <c r="BG321" s="2" t="s">
        <v>139</v>
      </c>
      <c r="BH321" s="3">
        <v>2</v>
      </c>
      <c r="BJ321" s="2" t="s">
        <v>96</v>
      </c>
      <c r="BL321" s="2" t="s">
        <v>123</v>
      </c>
      <c r="BM321" s="2" t="s">
        <v>123</v>
      </c>
      <c r="BN321" s="2" t="s">
        <v>124</v>
      </c>
      <c r="BO321" s="2" t="s">
        <v>125</v>
      </c>
      <c r="BP321" s="2" t="s">
        <v>242</v>
      </c>
      <c r="BQ321" s="2" t="s">
        <v>124</v>
      </c>
      <c r="BR321" s="2" t="s">
        <v>126</v>
      </c>
      <c r="BS321" s="2" t="s">
        <v>127</v>
      </c>
      <c r="BT321" s="2" t="s">
        <v>207</v>
      </c>
      <c r="BU321" s="2" t="s">
        <v>208</v>
      </c>
      <c r="BV321" s="2" t="s">
        <v>150</v>
      </c>
      <c r="BW321" s="2" t="s">
        <v>151</v>
      </c>
      <c r="BX321" s="2" t="s">
        <v>139</v>
      </c>
      <c r="BY32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21" s="2">
        <f>IF(AND(Cases[[#This Row],[Priority Level]]&gt;=3,Cases[[#This Row],[System Role]]&lt;&gt;"Productive"),1,0)</f>
        <v>0</v>
      </c>
      <c r="CA321" s="2">
        <f>IFERROR(IF(Cases[[#This Row],[Days at Customer]]&gt;MAX(1,Cases[[#This Row],[Days at SAP]]*2),1,0),0)</f>
        <v>1</v>
      </c>
      <c r="CB321" s="2">
        <f>IF(AND(Cases[[#This Row],[Initial Component]]&lt;&gt;"",Cases[[#This Row],[Component]]&lt;&gt;"",Cases[[#This Row],[Initial Component]]&lt;&gt;Cases[[#This Row],[Component]]),1,0)</f>
        <v>0</v>
      </c>
      <c r="CC321" s="2">
        <f>IF(OR(Cases[[#This Row],[Is Reopened]]="X",Cases[[#This Row],[No. of Reopenings]]&gt;0),1,0)</f>
        <v>0</v>
      </c>
      <c r="CD321" s="2">
        <f>IF(Cases[[#This Row],[Confirmation Type]]="Automatic",1,0)</f>
        <v>1</v>
      </c>
      <c r="CE321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22" spans="1:83" x14ac:dyDescent="0.2">
      <c r="A322" s="1" t="s">
        <v>2327</v>
      </c>
      <c r="B322" s="2" t="s">
        <v>2328</v>
      </c>
      <c r="C322" s="2" t="s">
        <v>111</v>
      </c>
      <c r="D322" s="2" t="s">
        <v>238</v>
      </c>
      <c r="E322" s="3">
        <v>0</v>
      </c>
      <c r="F322" s="3">
        <v>25.4</v>
      </c>
      <c r="G322" s="2" t="s">
        <v>112</v>
      </c>
      <c r="H322" s="2" t="s">
        <v>113</v>
      </c>
      <c r="I322" s="3" t="s">
        <v>114</v>
      </c>
      <c r="J322" s="3">
        <v>140</v>
      </c>
      <c r="K322" s="2" t="s">
        <v>2329</v>
      </c>
      <c r="L322" s="4">
        <v>46047</v>
      </c>
      <c r="M322" s="4">
        <v>46043</v>
      </c>
      <c r="N322" s="2" t="s">
        <v>1334</v>
      </c>
      <c r="O322" s="2" t="s">
        <v>181</v>
      </c>
      <c r="P322" s="2" t="s">
        <v>83</v>
      </c>
      <c r="Q322" s="2" t="s">
        <v>86</v>
      </c>
      <c r="R322" s="2" t="s">
        <v>116</v>
      </c>
      <c r="S322" s="4">
        <v>45987</v>
      </c>
      <c r="T322" s="2" t="s">
        <v>2274</v>
      </c>
      <c r="U322" s="2" t="s">
        <v>1805</v>
      </c>
      <c r="V322" s="2" t="s">
        <v>2275</v>
      </c>
      <c r="W322" s="2" t="s">
        <v>1806</v>
      </c>
      <c r="X322" s="2" t="s">
        <v>117</v>
      </c>
      <c r="Y322" s="3" t="s">
        <v>118</v>
      </c>
      <c r="Z322" s="3">
        <v>25.4</v>
      </c>
      <c r="AA322" s="2" t="s">
        <v>90</v>
      </c>
      <c r="AB322" s="2" t="s">
        <v>116</v>
      </c>
      <c r="AC322" s="2" t="s">
        <v>111</v>
      </c>
      <c r="AD322" t="str" cm="1">
        <f t="array" ref="AD32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322" s="2" t="s">
        <v>139</v>
      </c>
      <c r="AF322" s="2" t="s">
        <v>92</v>
      </c>
      <c r="AG322" s="2" t="s">
        <v>119</v>
      </c>
      <c r="AH322" s="2" t="s">
        <v>120</v>
      </c>
      <c r="AK322" s="2" t="s">
        <v>2330</v>
      </c>
      <c r="AN322" s="3">
        <v>1</v>
      </c>
      <c r="AO322" s="3">
        <v>1</v>
      </c>
      <c r="AP322" s="3">
        <v>1</v>
      </c>
      <c r="AQ322" s="3">
        <v>1</v>
      </c>
      <c r="AR322" s="3">
        <v>0</v>
      </c>
      <c r="AS322" s="3">
        <v>0</v>
      </c>
      <c r="AT322" s="3">
        <v>1</v>
      </c>
      <c r="AU322" s="3">
        <v>0</v>
      </c>
      <c r="AV322" s="3">
        <v>1</v>
      </c>
      <c r="AW322" s="3">
        <v>0</v>
      </c>
      <c r="AX322" s="3">
        <v>0</v>
      </c>
      <c r="AY322" s="3">
        <v>0</v>
      </c>
      <c r="AZ322" s="3">
        <v>1</v>
      </c>
      <c r="BA322" s="3">
        <v>0</v>
      </c>
      <c r="BB322" s="3">
        <v>0</v>
      </c>
      <c r="BC322" s="3">
        <v>1</v>
      </c>
      <c r="BD322" s="3">
        <v>0</v>
      </c>
      <c r="BE322" s="3">
        <v>0</v>
      </c>
      <c r="BG322" s="2" t="s">
        <v>139</v>
      </c>
      <c r="BH322" s="3">
        <v>2</v>
      </c>
      <c r="BI322" s="2" t="s">
        <v>122</v>
      </c>
      <c r="BJ322" s="2" t="s">
        <v>96</v>
      </c>
      <c r="BL322" s="2" t="s">
        <v>123</v>
      </c>
      <c r="BM322" s="2" t="s">
        <v>123</v>
      </c>
      <c r="BN322" s="2" t="s">
        <v>124</v>
      </c>
      <c r="BO322" s="2" t="s">
        <v>125</v>
      </c>
      <c r="BP322" s="2" t="s">
        <v>242</v>
      </c>
      <c r="BQ322" s="2" t="s">
        <v>124</v>
      </c>
      <c r="BR322" s="2" t="s">
        <v>126</v>
      </c>
      <c r="BS322" s="2" t="s">
        <v>127</v>
      </c>
      <c r="BT322" s="2" t="s">
        <v>207</v>
      </c>
      <c r="BU322" s="2" t="s">
        <v>208</v>
      </c>
      <c r="BV322" s="2" t="s">
        <v>150</v>
      </c>
      <c r="BW322" s="2" t="s">
        <v>151</v>
      </c>
      <c r="BX322" s="2" t="s">
        <v>139</v>
      </c>
      <c r="BY32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22" s="2">
        <f>IF(AND(Cases[[#This Row],[Priority Level]]&gt;=3,Cases[[#This Row],[System Role]]&lt;&gt;"Productive"),1,0)</f>
        <v>0</v>
      </c>
      <c r="CA322" s="2">
        <f>IFERROR(IF(Cases[[#This Row],[Days at Customer]]&gt;MAX(1,Cases[[#This Row],[Days at SAP]]*2),1,0),0)</f>
        <v>1</v>
      </c>
      <c r="CB322" s="2">
        <f>IF(AND(Cases[[#This Row],[Initial Component]]&lt;&gt;"",Cases[[#This Row],[Component]]&lt;&gt;"",Cases[[#This Row],[Initial Component]]&lt;&gt;Cases[[#This Row],[Component]]),1,0)</f>
        <v>0</v>
      </c>
      <c r="CC322" s="2">
        <f>IF(OR(Cases[[#This Row],[Is Reopened]]="X",Cases[[#This Row],[No. of Reopenings]]&gt;0),1,0)</f>
        <v>0</v>
      </c>
      <c r="CD322" s="2">
        <f>IF(Cases[[#This Row],[Confirmation Type]]="Automatic",1,0)</f>
        <v>1</v>
      </c>
      <c r="CE322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23" spans="1:83" x14ac:dyDescent="0.2">
      <c r="A323" s="1" t="s">
        <v>2006</v>
      </c>
      <c r="B323" s="2" t="s">
        <v>2007</v>
      </c>
      <c r="C323" s="2" t="s">
        <v>2008</v>
      </c>
      <c r="D323" s="2" t="s">
        <v>78</v>
      </c>
      <c r="E323" s="3">
        <v>9.5399999999999991</v>
      </c>
      <c r="F323" s="3">
        <v>11.6</v>
      </c>
      <c r="G323" s="2" t="s">
        <v>79</v>
      </c>
      <c r="H323" s="2" t="s">
        <v>155</v>
      </c>
      <c r="I323" s="3" t="s">
        <v>114</v>
      </c>
      <c r="J323" s="3">
        <v>120</v>
      </c>
      <c r="K323" s="2" t="s">
        <v>2009</v>
      </c>
      <c r="L323" s="4">
        <v>46033</v>
      </c>
      <c r="M323" s="4">
        <v>46028</v>
      </c>
      <c r="N323" s="2" t="s">
        <v>1334</v>
      </c>
      <c r="O323" s="2" t="s">
        <v>181</v>
      </c>
      <c r="P323" s="2" t="s">
        <v>677</v>
      </c>
      <c r="Q323" s="2" t="s">
        <v>86</v>
      </c>
      <c r="R323" s="2" t="s">
        <v>2010</v>
      </c>
      <c r="S323" s="4">
        <v>46007</v>
      </c>
      <c r="T323" s="2" t="s">
        <v>1804</v>
      </c>
      <c r="U323" s="2" t="s">
        <v>1805</v>
      </c>
      <c r="V323" s="2" t="s">
        <v>1930</v>
      </c>
      <c r="W323" s="2" t="s">
        <v>1806</v>
      </c>
      <c r="X323" s="2" t="s">
        <v>117</v>
      </c>
      <c r="Y323" s="3" t="s">
        <v>118</v>
      </c>
      <c r="Z323" s="3">
        <v>21.15</v>
      </c>
      <c r="AA323" s="2" t="s">
        <v>138</v>
      </c>
      <c r="AB323" s="2" t="s">
        <v>2010</v>
      </c>
      <c r="AC323" s="2" t="s">
        <v>2008</v>
      </c>
      <c r="AD323" t="str" cm="1">
        <f t="array" ref="AD32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323" s="2" t="s">
        <v>139</v>
      </c>
      <c r="AF323" s="2" t="s">
        <v>92</v>
      </c>
      <c r="AG323" s="2" t="s">
        <v>140</v>
      </c>
      <c r="AH323" s="2" t="s">
        <v>141</v>
      </c>
      <c r="AK323" s="2" t="s">
        <v>2011</v>
      </c>
      <c r="AN323" s="3">
        <v>1</v>
      </c>
      <c r="AO323" s="3">
        <v>1</v>
      </c>
      <c r="AP323" s="3">
        <v>1</v>
      </c>
      <c r="AQ323" s="3">
        <v>1</v>
      </c>
      <c r="AR323" s="3">
        <v>0</v>
      </c>
      <c r="AS323" s="3">
        <v>0</v>
      </c>
      <c r="AT323" s="3">
        <v>1</v>
      </c>
      <c r="AU323" s="3">
        <v>0</v>
      </c>
      <c r="AV323" s="3">
        <v>0</v>
      </c>
      <c r="AW323" s="3">
        <v>1</v>
      </c>
      <c r="AX323" s="3">
        <v>0</v>
      </c>
      <c r="AY323" s="3">
        <v>0</v>
      </c>
      <c r="AZ323" s="3">
        <v>1</v>
      </c>
      <c r="BA323" s="3">
        <v>0</v>
      </c>
      <c r="BB323" s="3">
        <v>0</v>
      </c>
      <c r="BC323" s="3">
        <v>1</v>
      </c>
      <c r="BD323" s="3">
        <v>0</v>
      </c>
      <c r="BE323" s="3">
        <v>0</v>
      </c>
      <c r="BG323" s="2" t="s">
        <v>139</v>
      </c>
      <c r="BH323" s="3">
        <v>2</v>
      </c>
      <c r="BJ323" s="2" t="s">
        <v>96</v>
      </c>
      <c r="BL323" s="2" t="s">
        <v>143</v>
      </c>
      <c r="BM323" s="2" t="s">
        <v>144</v>
      </c>
      <c r="BN323" s="2" t="s">
        <v>99</v>
      </c>
      <c r="BO323" s="2" t="s">
        <v>100</v>
      </c>
      <c r="BP323" s="2" t="s">
        <v>101</v>
      </c>
      <c r="BQ323" s="2" t="s">
        <v>145</v>
      </c>
      <c r="BR323" s="2" t="s">
        <v>146</v>
      </c>
      <c r="BS323" s="2" t="s">
        <v>147</v>
      </c>
      <c r="BT323" s="2" t="s">
        <v>148</v>
      </c>
      <c r="BU323" s="2" t="s">
        <v>149</v>
      </c>
      <c r="BV323" s="2" t="s">
        <v>150</v>
      </c>
      <c r="BW323" s="2" t="s">
        <v>151</v>
      </c>
      <c r="BX323" s="2" t="s">
        <v>139</v>
      </c>
      <c r="BY32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23" s="2">
        <f>IF(AND(Cases[[#This Row],[Priority Level]]&gt;=3,Cases[[#This Row],[System Role]]&lt;&gt;"Productive"),1,0)</f>
        <v>0</v>
      </c>
      <c r="CA323" s="2">
        <f>IFERROR(IF(Cases[[#This Row],[Days at Customer]]&gt;MAX(1,Cases[[#This Row],[Days at SAP]]*2),1,0),0)</f>
        <v>0</v>
      </c>
      <c r="CB323" s="2">
        <f>IF(AND(Cases[[#This Row],[Initial Component]]&lt;&gt;"",Cases[[#This Row],[Component]]&lt;&gt;"",Cases[[#This Row],[Initial Component]]&lt;&gt;Cases[[#This Row],[Component]]),1,0)</f>
        <v>0</v>
      </c>
      <c r="CC323" s="2">
        <f>IF(OR(Cases[[#This Row],[Is Reopened]]="X",Cases[[#This Row],[No. of Reopenings]]&gt;0),1,0)</f>
        <v>0</v>
      </c>
      <c r="CD323" s="2">
        <f>IF(Cases[[#This Row],[Confirmation Type]]="Automatic",1,0)</f>
        <v>0</v>
      </c>
      <c r="CE323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24" spans="1:83" x14ac:dyDescent="0.2">
      <c r="A324" s="1" t="s">
        <v>3018</v>
      </c>
      <c r="B324" s="2" t="s">
        <v>3019</v>
      </c>
      <c r="C324" s="2" t="s">
        <v>203</v>
      </c>
      <c r="D324" s="2" t="s">
        <v>78</v>
      </c>
      <c r="E324" s="3">
        <v>0</v>
      </c>
      <c r="F324" s="3">
        <v>3.17</v>
      </c>
      <c r="G324" s="2" t="s">
        <v>112</v>
      </c>
      <c r="H324" s="2" t="s">
        <v>113</v>
      </c>
      <c r="I324" s="3" t="s">
        <v>114</v>
      </c>
      <c r="J324" s="3">
        <v>182</v>
      </c>
      <c r="K324" s="2" t="s">
        <v>3020</v>
      </c>
      <c r="L324" s="4">
        <v>46047</v>
      </c>
      <c r="M324" s="4">
        <v>45954</v>
      </c>
      <c r="N324" s="2" t="s">
        <v>2727</v>
      </c>
      <c r="O324" s="2" t="s">
        <v>1805</v>
      </c>
      <c r="P324" s="2" t="s">
        <v>2887</v>
      </c>
      <c r="Q324" s="2" t="s">
        <v>1806</v>
      </c>
      <c r="R324" s="2" t="s">
        <v>205</v>
      </c>
      <c r="S324" s="4">
        <v>45945</v>
      </c>
      <c r="T324" s="2" t="s">
        <v>2727</v>
      </c>
      <c r="U324" s="2" t="s">
        <v>1805</v>
      </c>
      <c r="V324" s="2" t="s">
        <v>2936</v>
      </c>
      <c r="W324" s="2" t="s">
        <v>1806</v>
      </c>
      <c r="X324" s="2" t="s">
        <v>117</v>
      </c>
      <c r="Y324" s="3" t="s">
        <v>118</v>
      </c>
      <c r="Z324" s="3">
        <v>3.17</v>
      </c>
      <c r="AA324" s="2" t="s">
        <v>90</v>
      </c>
      <c r="AB324" s="2" t="s">
        <v>205</v>
      </c>
      <c r="AC324" s="2" t="s">
        <v>203</v>
      </c>
      <c r="AD324" t="str" cm="1">
        <f t="array" ref="AD32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324" s="2" t="s">
        <v>91</v>
      </c>
      <c r="AF324" s="2" t="s">
        <v>92</v>
      </c>
      <c r="AG324" s="2" t="s">
        <v>119</v>
      </c>
      <c r="AH324" s="2" t="s">
        <v>120</v>
      </c>
      <c r="AK324" s="2" t="s">
        <v>3021</v>
      </c>
      <c r="AN324" s="3">
        <v>1</v>
      </c>
      <c r="AO324" s="3">
        <v>1</v>
      </c>
      <c r="AP324" s="3">
        <v>1</v>
      </c>
      <c r="AQ324" s="3">
        <v>1</v>
      </c>
      <c r="AR324" s="3">
        <v>1</v>
      </c>
      <c r="AS324" s="3">
        <v>0</v>
      </c>
      <c r="AT324" s="3">
        <v>0</v>
      </c>
      <c r="AU324" s="3">
        <v>0</v>
      </c>
      <c r="AV324" s="3">
        <v>0</v>
      </c>
      <c r="AW324" s="3">
        <v>1</v>
      </c>
      <c r="AX324" s="3">
        <v>1</v>
      </c>
      <c r="AY324" s="3">
        <v>0</v>
      </c>
      <c r="AZ324" s="3">
        <v>0</v>
      </c>
      <c r="BA324" s="3">
        <v>0</v>
      </c>
      <c r="BB324" s="3">
        <v>0</v>
      </c>
      <c r="BC324" s="3">
        <v>1</v>
      </c>
      <c r="BD324" s="3">
        <v>0</v>
      </c>
      <c r="BE324" s="3">
        <v>0</v>
      </c>
      <c r="BG324" s="2" t="s">
        <v>91</v>
      </c>
      <c r="BH324" s="3">
        <v>3</v>
      </c>
      <c r="BI324" s="2" t="s">
        <v>122</v>
      </c>
      <c r="BJ324" s="2" t="s">
        <v>96</v>
      </c>
      <c r="BL324" s="2" t="s">
        <v>123</v>
      </c>
      <c r="BM324" s="2" t="s">
        <v>123</v>
      </c>
      <c r="BN324" s="2" t="s">
        <v>124</v>
      </c>
      <c r="BO324" s="2" t="s">
        <v>125</v>
      </c>
      <c r="BP324" s="2" t="s">
        <v>101</v>
      </c>
      <c r="BQ324" s="2" t="s">
        <v>124</v>
      </c>
      <c r="BR324" s="2" t="s">
        <v>126</v>
      </c>
      <c r="BS324" s="2" t="s">
        <v>127</v>
      </c>
      <c r="BT324" s="2" t="s">
        <v>207</v>
      </c>
      <c r="BU324" s="2" t="s">
        <v>208</v>
      </c>
      <c r="BV324" s="2" t="s">
        <v>150</v>
      </c>
      <c r="BW324" s="2" t="s">
        <v>151</v>
      </c>
      <c r="BX324" s="2" t="s">
        <v>91</v>
      </c>
      <c r="BY32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24" s="2">
        <f>IF(AND(Cases[[#This Row],[Priority Level]]&gt;=3,Cases[[#This Row],[System Role]]&lt;&gt;"Productive"),1,0)</f>
        <v>0</v>
      </c>
      <c r="CA324" s="2">
        <f>IFERROR(IF(Cases[[#This Row],[Days at Customer]]&gt;MAX(1,Cases[[#This Row],[Days at SAP]]*2),1,0),0)</f>
        <v>1</v>
      </c>
      <c r="CB324" s="2">
        <f>IF(AND(Cases[[#This Row],[Initial Component]]&lt;&gt;"",Cases[[#This Row],[Component]]&lt;&gt;"",Cases[[#This Row],[Initial Component]]&lt;&gt;Cases[[#This Row],[Component]]),1,0)</f>
        <v>0</v>
      </c>
      <c r="CC324" s="2">
        <f>IF(OR(Cases[[#This Row],[Is Reopened]]="X",Cases[[#This Row],[No. of Reopenings]]&gt;0),1,0)</f>
        <v>0</v>
      </c>
      <c r="CD324" s="2">
        <f>IF(Cases[[#This Row],[Confirmation Type]]="Automatic",1,0)</f>
        <v>0</v>
      </c>
      <c r="CE32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25" spans="1:83" x14ac:dyDescent="0.2">
      <c r="A325" s="1" t="s">
        <v>3270</v>
      </c>
      <c r="B325" s="2" t="s">
        <v>3271</v>
      </c>
      <c r="C325" s="2" t="s">
        <v>111</v>
      </c>
      <c r="D325" s="2" t="s">
        <v>238</v>
      </c>
      <c r="E325" s="3">
        <v>0</v>
      </c>
      <c r="F325" s="3">
        <v>21.48</v>
      </c>
      <c r="G325" s="2" t="s">
        <v>112</v>
      </c>
      <c r="H325" s="2" t="s">
        <v>113</v>
      </c>
      <c r="I325" s="3" t="s">
        <v>114</v>
      </c>
      <c r="J325" s="3">
        <v>197</v>
      </c>
      <c r="K325" s="2" t="s">
        <v>3272</v>
      </c>
      <c r="L325" s="4">
        <v>46047</v>
      </c>
      <c r="M325" s="4">
        <v>45951</v>
      </c>
      <c r="N325" s="2" t="s">
        <v>2727</v>
      </c>
      <c r="O325" s="2" t="s">
        <v>1805</v>
      </c>
      <c r="P325" s="2" t="s">
        <v>2887</v>
      </c>
      <c r="Q325" s="2" t="s">
        <v>1806</v>
      </c>
      <c r="R325" s="2" t="s">
        <v>116</v>
      </c>
      <c r="S325" s="4">
        <v>45930</v>
      </c>
      <c r="T325" s="2" t="s">
        <v>3264</v>
      </c>
      <c r="U325" s="2" t="s">
        <v>3265</v>
      </c>
      <c r="V325" s="2" t="s">
        <v>3224</v>
      </c>
      <c r="W325" s="2" t="s">
        <v>1806</v>
      </c>
      <c r="X325" s="2" t="s">
        <v>117</v>
      </c>
      <c r="Y325" s="3" t="s">
        <v>118</v>
      </c>
      <c r="Z325" s="3">
        <v>21.48</v>
      </c>
      <c r="AA325" s="2" t="s">
        <v>90</v>
      </c>
      <c r="AB325" s="2" t="s">
        <v>116</v>
      </c>
      <c r="AC325" s="2" t="s">
        <v>111</v>
      </c>
      <c r="AD325" t="str" cm="1">
        <f t="array" ref="AD32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325" s="2" t="s">
        <v>91</v>
      </c>
      <c r="AF325" s="2" t="s">
        <v>92</v>
      </c>
      <c r="AG325" s="2" t="s">
        <v>119</v>
      </c>
      <c r="AH325" s="2" t="s">
        <v>120</v>
      </c>
      <c r="AK325" s="2" t="s">
        <v>3273</v>
      </c>
      <c r="AN325" s="3">
        <v>1</v>
      </c>
      <c r="AO325" s="3">
        <v>0</v>
      </c>
      <c r="AP325" s="3">
        <v>1</v>
      </c>
      <c r="AQ325" s="3">
        <v>1</v>
      </c>
      <c r="AR325" s="3">
        <v>1</v>
      </c>
      <c r="AS325" s="3">
        <v>0</v>
      </c>
      <c r="AT325" s="3">
        <v>0</v>
      </c>
      <c r="AU325" s="3">
        <v>0</v>
      </c>
      <c r="AV325" s="3">
        <v>1</v>
      </c>
      <c r="AW325" s="3">
        <v>0</v>
      </c>
      <c r="AX325" s="3">
        <v>1</v>
      </c>
      <c r="AY325" s="3">
        <v>0</v>
      </c>
      <c r="AZ325" s="3">
        <v>0</v>
      </c>
      <c r="BA325" s="3">
        <v>0</v>
      </c>
      <c r="BB325" s="3">
        <v>0</v>
      </c>
      <c r="BC325" s="3">
        <v>1</v>
      </c>
      <c r="BD325" s="3">
        <v>0</v>
      </c>
      <c r="BE325" s="3">
        <v>0</v>
      </c>
      <c r="BG325" s="2" t="s">
        <v>91</v>
      </c>
      <c r="BH325" s="3">
        <v>3</v>
      </c>
      <c r="BI325" s="2" t="s">
        <v>122</v>
      </c>
      <c r="BJ325" s="2" t="s">
        <v>96</v>
      </c>
      <c r="BL325" s="2" t="s">
        <v>123</v>
      </c>
      <c r="BM325" s="2" t="s">
        <v>123</v>
      </c>
      <c r="BN325" s="2" t="s">
        <v>124</v>
      </c>
      <c r="BO325" s="2" t="s">
        <v>125</v>
      </c>
      <c r="BP325" s="2" t="s">
        <v>242</v>
      </c>
      <c r="BQ325" s="2" t="s">
        <v>124</v>
      </c>
      <c r="BR325" s="2" t="s">
        <v>126</v>
      </c>
      <c r="BS325" s="2" t="s">
        <v>127</v>
      </c>
      <c r="BT325" s="2" t="s">
        <v>207</v>
      </c>
      <c r="BU325" s="2" t="s">
        <v>208</v>
      </c>
      <c r="BV325" s="2" t="s">
        <v>150</v>
      </c>
      <c r="BW325" s="2" t="s">
        <v>151</v>
      </c>
      <c r="BX325" s="2" t="s">
        <v>91</v>
      </c>
      <c r="BY32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25" s="2">
        <f>IF(AND(Cases[[#This Row],[Priority Level]]&gt;=3,Cases[[#This Row],[System Role]]&lt;&gt;"Productive"),1,0)</f>
        <v>0</v>
      </c>
      <c r="CA325" s="2">
        <f>IFERROR(IF(Cases[[#This Row],[Days at Customer]]&gt;MAX(1,Cases[[#This Row],[Days at SAP]]*2),1,0),0)</f>
        <v>1</v>
      </c>
      <c r="CB325" s="2">
        <f>IF(AND(Cases[[#This Row],[Initial Component]]&lt;&gt;"",Cases[[#This Row],[Component]]&lt;&gt;"",Cases[[#This Row],[Initial Component]]&lt;&gt;Cases[[#This Row],[Component]]),1,0)</f>
        <v>0</v>
      </c>
      <c r="CC325" s="2">
        <f>IF(OR(Cases[[#This Row],[Is Reopened]]="X",Cases[[#This Row],[No. of Reopenings]]&gt;0),1,0)</f>
        <v>0</v>
      </c>
      <c r="CD325" s="2">
        <f>IF(Cases[[#This Row],[Confirmation Type]]="Automatic",1,0)</f>
        <v>1</v>
      </c>
      <c r="CE325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26" spans="1:83" x14ac:dyDescent="0.2">
      <c r="A326" s="1" t="s">
        <v>2020</v>
      </c>
      <c r="B326" s="2" t="s">
        <v>2021</v>
      </c>
      <c r="C326" s="2" t="s">
        <v>364</v>
      </c>
      <c r="D326" s="2" t="s">
        <v>238</v>
      </c>
      <c r="E326" s="3">
        <v>1.9</v>
      </c>
      <c r="F326" s="3">
        <v>21.66</v>
      </c>
      <c r="G326" s="2" t="s">
        <v>79</v>
      </c>
      <c r="H326" s="2" t="s">
        <v>732</v>
      </c>
      <c r="I326" s="3" t="s">
        <v>114</v>
      </c>
      <c r="J326" s="3">
        <v>121</v>
      </c>
      <c r="K326" s="2" t="s">
        <v>2022</v>
      </c>
      <c r="L326" s="4">
        <v>46033</v>
      </c>
      <c r="M326" s="4">
        <v>46030</v>
      </c>
      <c r="N326" s="2" t="s">
        <v>1334</v>
      </c>
      <c r="O326" s="2" t="s">
        <v>181</v>
      </c>
      <c r="P326" s="2" t="s">
        <v>677</v>
      </c>
      <c r="Q326" s="2" t="s">
        <v>86</v>
      </c>
      <c r="R326" s="2" t="s">
        <v>363</v>
      </c>
      <c r="S326" s="4">
        <v>46006</v>
      </c>
      <c r="T326" s="2" t="s">
        <v>1804</v>
      </c>
      <c r="U326" s="2" t="s">
        <v>1805</v>
      </c>
      <c r="V326" s="2" t="s">
        <v>1930</v>
      </c>
      <c r="W326" s="2" t="s">
        <v>1806</v>
      </c>
      <c r="X326" s="2" t="s">
        <v>117</v>
      </c>
      <c r="Y326" s="3" t="s">
        <v>118</v>
      </c>
      <c r="Z326" s="3">
        <v>23.56</v>
      </c>
      <c r="AA326" s="2" t="s">
        <v>90</v>
      </c>
      <c r="AB326" s="2" t="s">
        <v>363</v>
      </c>
      <c r="AC326" s="2" t="s">
        <v>364</v>
      </c>
      <c r="AD326" t="str" cm="1">
        <f t="array" ref="AD32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326" s="2" t="s">
        <v>139</v>
      </c>
      <c r="AF326" s="2" t="s">
        <v>92</v>
      </c>
      <c r="AG326" s="2" t="s">
        <v>119</v>
      </c>
      <c r="AH326" s="2" t="s">
        <v>120</v>
      </c>
      <c r="AK326" s="2" t="s">
        <v>2023</v>
      </c>
      <c r="AN326" s="3">
        <v>1</v>
      </c>
      <c r="AO326" s="3">
        <v>1</v>
      </c>
      <c r="AP326" s="3">
        <v>1</v>
      </c>
      <c r="AQ326" s="3">
        <v>1</v>
      </c>
      <c r="AR326" s="3">
        <v>0</v>
      </c>
      <c r="AS326" s="3">
        <v>0</v>
      </c>
      <c r="AT326" s="3">
        <v>1</v>
      </c>
      <c r="AU326" s="3">
        <v>0</v>
      </c>
      <c r="AV326" s="3">
        <v>1</v>
      </c>
      <c r="AW326" s="3">
        <v>0</v>
      </c>
      <c r="AX326" s="3">
        <v>0</v>
      </c>
      <c r="AY326" s="3">
        <v>0</v>
      </c>
      <c r="AZ326" s="3">
        <v>1</v>
      </c>
      <c r="BA326" s="3">
        <v>0</v>
      </c>
      <c r="BB326" s="3">
        <v>0</v>
      </c>
      <c r="BC326" s="3">
        <v>1</v>
      </c>
      <c r="BD326" s="3">
        <v>0</v>
      </c>
      <c r="BE326" s="3">
        <v>0</v>
      </c>
      <c r="BG326" s="2" t="s">
        <v>139</v>
      </c>
      <c r="BH326" s="3">
        <v>2</v>
      </c>
      <c r="BJ326" s="2" t="s">
        <v>96</v>
      </c>
      <c r="BL326" s="2" t="s">
        <v>123</v>
      </c>
      <c r="BM326" s="2" t="s">
        <v>123</v>
      </c>
      <c r="BN326" s="2" t="s">
        <v>124</v>
      </c>
      <c r="BO326" s="2" t="s">
        <v>125</v>
      </c>
      <c r="BP326" s="2" t="s">
        <v>242</v>
      </c>
      <c r="BQ326" s="2" t="s">
        <v>124</v>
      </c>
      <c r="BR326" s="2" t="s">
        <v>126</v>
      </c>
      <c r="BS326" s="2" t="s">
        <v>127</v>
      </c>
      <c r="BT326" s="2" t="s">
        <v>207</v>
      </c>
      <c r="BU326" s="2" t="s">
        <v>208</v>
      </c>
      <c r="BV326" s="2" t="s">
        <v>150</v>
      </c>
      <c r="BW326" s="2" t="s">
        <v>151</v>
      </c>
      <c r="BX326" s="2" t="s">
        <v>139</v>
      </c>
      <c r="BY32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26" s="2">
        <f>IF(AND(Cases[[#This Row],[Priority Level]]&gt;=3,Cases[[#This Row],[System Role]]&lt;&gt;"Productive"),1,0)</f>
        <v>0</v>
      </c>
      <c r="CA326" s="2">
        <f>IFERROR(IF(Cases[[#This Row],[Days at Customer]]&gt;MAX(1,Cases[[#This Row],[Days at SAP]]*2),1,0),0)</f>
        <v>1</v>
      </c>
      <c r="CB326" s="2">
        <f>IF(AND(Cases[[#This Row],[Initial Component]]&lt;&gt;"",Cases[[#This Row],[Component]]&lt;&gt;"",Cases[[#This Row],[Initial Component]]&lt;&gt;Cases[[#This Row],[Component]]),1,0)</f>
        <v>0</v>
      </c>
      <c r="CC326" s="2">
        <f>IF(OR(Cases[[#This Row],[Is Reopened]]="X",Cases[[#This Row],[No. of Reopenings]]&gt;0),1,0)</f>
        <v>0</v>
      </c>
      <c r="CD326" s="2">
        <f>IF(Cases[[#This Row],[Confirmation Type]]="Automatic",1,0)</f>
        <v>1</v>
      </c>
      <c r="CE326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27" spans="1:83" x14ac:dyDescent="0.2">
      <c r="A327" s="1" t="s">
        <v>2024</v>
      </c>
      <c r="B327" s="2" t="s">
        <v>2025</v>
      </c>
      <c r="C327" s="2" t="s">
        <v>2026</v>
      </c>
      <c r="D327" s="2" t="s">
        <v>238</v>
      </c>
      <c r="E327" s="3">
        <v>2.23</v>
      </c>
      <c r="F327" s="3">
        <v>25.95</v>
      </c>
      <c r="G327" s="2" t="s">
        <v>79</v>
      </c>
      <c r="H327" s="2" t="s">
        <v>80</v>
      </c>
      <c r="I327" s="3" t="s">
        <v>114</v>
      </c>
      <c r="J327" s="3">
        <v>121</v>
      </c>
      <c r="K327" s="2" t="s">
        <v>2027</v>
      </c>
      <c r="L327" s="4">
        <v>46040</v>
      </c>
      <c r="M327" s="4">
        <v>46035</v>
      </c>
      <c r="N327" s="2" t="s">
        <v>1334</v>
      </c>
      <c r="O327" s="2" t="s">
        <v>181</v>
      </c>
      <c r="P327" s="2" t="s">
        <v>180</v>
      </c>
      <c r="Q327" s="2" t="s">
        <v>86</v>
      </c>
      <c r="R327" s="2" t="s">
        <v>2028</v>
      </c>
      <c r="S327" s="4">
        <v>46006</v>
      </c>
      <c r="T327" s="2" t="s">
        <v>1804</v>
      </c>
      <c r="U327" s="2" t="s">
        <v>1805</v>
      </c>
      <c r="V327" s="2" t="s">
        <v>1930</v>
      </c>
      <c r="W327" s="2" t="s">
        <v>1806</v>
      </c>
      <c r="X327" s="2" t="s">
        <v>117</v>
      </c>
      <c r="Y327" s="3" t="s">
        <v>118</v>
      </c>
      <c r="Z327" s="3">
        <v>28.19</v>
      </c>
      <c r="AA327" s="2" t="s">
        <v>90</v>
      </c>
      <c r="AB327" s="2" t="s">
        <v>2028</v>
      </c>
      <c r="AC327" s="2" t="s">
        <v>2026</v>
      </c>
      <c r="AD327" t="str" cm="1">
        <f t="array" ref="AD32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327" s="2" t="s">
        <v>91</v>
      </c>
      <c r="AF327" s="2" t="s">
        <v>92</v>
      </c>
      <c r="AG327" s="2" t="s">
        <v>159</v>
      </c>
      <c r="AH327" s="2" t="s">
        <v>160</v>
      </c>
      <c r="AJ327" s="2" t="s">
        <v>122</v>
      </c>
      <c r="AK327" s="2" t="s">
        <v>2029</v>
      </c>
      <c r="AN327" s="3">
        <v>1</v>
      </c>
      <c r="AO327" s="3">
        <v>1</v>
      </c>
      <c r="AP327" s="3">
        <v>1</v>
      </c>
      <c r="AQ327" s="3">
        <v>1</v>
      </c>
      <c r="AR327" s="3">
        <v>1</v>
      </c>
      <c r="AS327" s="3">
        <v>0</v>
      </c>
      <c r="AT327" s="3">
        <v>0</v>
      </c>
      <c r="AU327" s="3">
        <v>0</v>
      </c>
      <c r="AV327" s="3">
        <v>1</v>
      </c>
      <c r="AW327" s="3">
        <v>0</v>
      </c>
      <c r="AX327" s="3">
        <v>1</v>
      </c>
      <c r="AY327" s="3">
        <v>0</v>
      </c>
      <c r="AZ327" s="3">
        <v>0</v>
      </c>
      <c r="BA327" s="3">
        <v>0</v>
      </c>
      <c r="BB327" s="3">
        <v>0</v>
      </c>
      <c r="BC327" s="3">
        <v>1</v>
      </c>
      <c r="BD327" s="3">
        <v>1</v>
      </c>
      <c r="BE327" s="3">
        <v>0</v>
      </c>
      <c r="BG327" s="2" t="s">
        <v>91</v>
      </c>
      <c r="BH327" s="3">
        <v>3</v>
      </c>
      <c r="BJ327" s="2" t="s">
        <v>96</v>
      </c>
      <c r="BL327" s="2" t="s">
        <v>97</v>
      </c>
      <c r="BM327" s="2" t="s">
        <v>98</v>
      </c>
      <c r="BN327" s="2" t="s">
        <v>99</v>
      </c>
      <c r="BO327" s="2" t="s">
        <v>100</v>
      </c>
      <c r="BP327" s="2" t="s">
        <v>242</v>
      </c>
      <c r="BQ327" s="2" t="s">
        <v>102</v>
      </c>
      <c r="BR327" s="2" t="s">
        <v>103</v>
      </c>
      <c r="BS327" s="2" t="s">
        <v>127</v>
      </c>
      <c r="BT327" s="2" t="s">
        <v>1427</v>
      </c>
      <c r="BU327" s="2" t="s">
        <v>1428</v>
      </c>
      <c r="BV327" s="2" t="s">
        <v>150</v>
      </c>
      <c r="BW327" s="2" t="s">
        <v>151</v>
      </c>
      <c r="BX327" s="2" t="s">
        <v>91</v>
      </c>
      <c r="BY32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27" s="2">
        <f>IF(AND(Cases[[#This Row],[Priority Level]]&gt;=3,Cases[[#This Row],[System Role]]&lt;&gt;"Productive"),1,0)</f>
        <v>0</v>
      </c>
      <c r="CA327" s="2">
        <f>IFERROR(IF(Cases[[#This Row],[Days at Customer]]&gt;MAX(1,Cases[[#This Row],[Days at SAP]]*2),1,0),0)</f>
        <v>1</v>
      </c>
      <c r="CB327" s="2">
        <f>IF(AND(Cases[[#This Row],[Initial Component]]&lt;&gt;"",Cases[[#This Row],[Component]]&lt;&gt;"",Cases[[#This Row],[Initial Component]]&lt;&gt;Cases[[#This Row],[Component]]),1,0)</f>
        <v>0</v>
      </c>
      <c r="CC327" s="2">
        <f>IF(OR(Cases[[#This Row],[Is Reopened]]="X",Cases[[#This Row],[No. of Reopenings]]&gt;0),1,0)</f>
        <v>1</v>
      </c>
      <c r="CD327" s="2">
        <f>IF(Cases[[#This Row],[Confirmation Type]]="Automatic",1,0)</f>
        <v>1</v>
      </c>
      <c r="CE32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28" spans="1:83" x14ac:dyDescent="0.2">
      <c r="A328" s="1" t="s">
        <v>2030</v>
      </c>
      <c r="B328" s="2" t="s">
        <v>2031</v>
      </c>
      <c r="C328" s="2" t="s">
        <v>352</v>
      </c>
      <c r="D328" s="2" t="s">
        <v>238</v>
      </c>
      <c r="E328" s="3">
        <v>5.81</v>
      </c>
      <c r="F328" s="3">
        <v>22.52</v>
      </c>
      <c r="G328" s="2" t="s">
        <v>79</v>
      </c>
      <c r="H328" s="2" t="s">
        <v>80</v>
      </c>
      <c r="I328" s="3" t="s">
        <v>114</v>
      </c>
      <c r="J328" s="3">
        <v>121</v>
      </c>
      <c r="K328" s="2" t="s">
        <v>2032</v>
      </c>
      <c r="L328" s="4">
        <v>46040</v>
      </c>
      <c r="M328" s="4">
        <v>46035</v>
      </c>
      <c r="N328" s="2" t="s">
        <v>1334</v>
      </c>
      <c r="O328" s="2" t="s">
        <v>181</v>
      </c>
      <c r="P328" s="2" t="s">
        <v>180</v>
      </c>
      <c r="Q328" s="2" t="s">
        <v>86</v>
      </c>
      <c r="R328" s="2" t="s">
        <v>351</v>
      </c>
      <c r="S328" s="4">
        <v>46006</v>
      </c>
      <c r="T328" s="2" t="s">
        <v>1804</v>
      </c>
      <c r="U328" s="2" t="s">
        <v>1805</v>
      </c>
      <c r="V328" s="2" t="s">
        <v>1930</v>
      </c>
      <c r="W328" s="2" t="s">
        <v>1806</v>
      </c>
      <c r="X328" s="2" t="s">
        <v>117</v>
      </c>
      <c r="Y328" s="3" t="s">
        <v>118</v>
      </c>
      <c r="Z328" s="3">
        <v>28.33</v>
      </c>
      <c r="AA328" s="2" t="s">
        <v>90</v>
      </c>
      <c r="AB328" s="2" t="s">
        <v>351</v>
      </c>
      <c r="AC328" s="2" t="s">
        <v>352</v>
      </c>
      <c r="AD328" t="str" cm="1">
        <f t="array" ref="AD32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328" s="2" t="s">
        <v>158</v>
      </c>
      <c r="AF328" s="2" t="s">
        <v>92</v>
      </c>
      <c r="AG328" s="2" t="s">
        <v>159</v>
      </c>
      <c r="AH328" s="2" t="s">
        <v>160</v>
      </c>
      <c r="AK328" s="2" t="s">
        <v>2033</v>
      </c>
      <c r="AN328" s="3">
        <v>1</v>
      </c>
      <c r="AO328" s="3">
        <v>1</v>
      </c>
      <c r="AP328" s="3">
        <v>1</v>
      </c>
      <c r="AQ328" s="3">
        <v>1</v>
      </c>
      <c r="AR328" s="3">
        <v>1</v>
      </c>
      <c r="AS328" s="3">
        <v>0</v>
      </c>
      <c r="AT328" s="3">
        <v>0</v>
      </c>
      <c r="AU328" s="3">
        <v>0</v>
      </c>
      <c r="AV328" s="3">
        <v>1</v>
      </c>
      <c r="AW328" s="3">
        <v>0</v>
      </c>
      <c r="AX328" s="3">
        <v>1</v>
      </c>
      <c r="AY328" s="3">
        <v>0</v>
      </c>
      <c r="AZ328" s="3">
        <v>0</v>
      </c>
      <c r="BA328" s="3">
        <v>0</v>
      </c>
      <c r="BB328" s="3">
        <v>0</v>
      </c>
      <c r="BC328" s="3">
        <v>1</v>
      </c>
      <c r="BD328" s="3">
        <v>0</v>
      </c>
      <c r="BE328" s="3">
        <v>0</v>
      </c>
      <c r="BG328" s="2" t="s">
        <v>91</v>
      </c>
      <c r="BH328" s="3">
        <v>3</v>
      </c>
      <c r="BJ328" s="2" t="s">
        <v>96</v>
      </c>
      <c r="BL328" s="2" t="s">
        <v>97</v>
      </c>
      <c r="BM328" s="2" t="s">
        <v>98</v>
      </c>
      <c r="BN328" s="2" t="s">
        <v>99</v>
      </c>
      <c r="BO328" s="2" t="s">
        <v>100</v>
      </c>
      <c r="BP328" s="2" t="s">
        <v>242</v>
      </c>
      <c r="BQ328" s="2" t="s">
        <v>102</v>
      </c>
      <c r="BR328" s="2" t="s">
        <v>103</v>
      </c>
      <c r="BS328" s="2" t="s">
        <v>127</v>
      </c>
      <c r="BT328" s="2" t="s">
        <v>661</v>
      </c>
      <c r="BU328" s="2" t="s">
        <v>662</v>
      </c>
      <c r="BV328" s="2" t="s">
        <v>150</v>
      </c>
      <c r="BW328" s="2" t="s">
        <v>151</v>
      </c>
      <c r="BX328" s="2" t="s">
        <v>91</v>
      </c>
      <c r="BY32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28" s="2">
        <f>IF(AND(Cases[[#This Row],[Priority Level]]&gt;=3,Cases[[#This Row],[System Role]]&lt;&gt;"Productive"),1,0)</f>
        <v>0</v>
      </c>
      <c r="CA328" s="2">
        <f>IFERROR(IF(Cases[[#This Row],[Days at Customer]]&gt;MAX(1,Cases[[#This Row],[Days at SAP]]*2),1,0),0)</f>
        <v>1</v>
      </c>
      <c r="CB328" s="2">
        <f>IF(AND(Cases[[#This Row],[Initial Component]]&lt;&gt;"",Cases[[#This Row],[Component]]&lt;&gt;"",Cases[[#This Row],[Initial Component]]&lt;&gt;Cases[[#This Row],[Component]]),1,0)</f>
        <v>0</v>
      </c>
      <c r="CC328" s="2">
        <f>IF(OR(Cases[[#This Row],[Is Reopened]]="X",Cases[[#This Row],[No. of Reopenings]]&gt;0),1,0)</f>
        <v>0</v>
      </c>
      <c r="CD328" s="2">
        <f>IF(Cases[[#This Row],[Confirmation Type]]="Automatic",1,0)</f>
        <v>1</v>
      </c>
      <c r="CE32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29" spans="1:83" x14ac:dyDescent="0.2">
      <c r="A329" s="1" t="s">
        <v>3298</v>
      </c>
      <c r="B329" s="2" t="s">
        <v>3299</v>
      </c>
      <c r="C329" s="2" t="s">
        <v>203</v>
      </c>
      <c r="D329" s="2" t="s">
        <v>78</v>
      </c>
      <c r="E329" s="3">
        <v>0</v>
      </c>
      <c r="F329" s="3">
        <v>18.5</v>
      </c>
      <c r="G329" s="2" t="s">
        <v>112</v>
      </c>
      <c r="H329" s="2" t="s">
        <v>113</v>
      </c>
      <c r="I329" s="3" t="s">
        <v>114</v>
      </c>
      <c r="J329" s="3">
        <v>201</v>
      </c>
      <c r="K329" s="2" t="s">
        <v>3300</v>
      </c>
      <c r="L329" s="4">
        <v>46047</v>
      </c>
      <c r="M329" s="4">
        <v>45954</v>
      </c>
      <c r="N329" s="2" t="s">
        <v>2727</v>
      </c>
      <c r="O329" s="2" t="s">
        <v>1805</v>
      </c>
      <c r="P329" s="2" t="s">
        <v>2887</v>
      </c>
      <c r="Q329" s="2" t="s">
        <v>1806</v>
      </c>
      <c r="R329" s="2" t="s">
        <v>205</v>
      </c>
      <c r="S329" s="4">
        <v>45926</v>
      </c>
      <c r="T329" s="2" t="s">
        <v>3264</v>
      </c>
      <c r="U329" s="2" t="s">
        <v>3265</v>
      </c>
      <c r="V329" s="2" t="s">
        <v>3296</v>
      </c>
      <c r="W329" s="2" t="s">
        <v>1806</v>
      </c>
      <c r="X329" s="2" t="s">
        <v>117</v>
      </c>
      <c r="Y329" s="3" t="s">
        <v>118</v>
      </c>
      <c r="Z329" s="3">
        <v>18.5</v>
      </c>
      <c r="AA329" s="2" t="s">
        <v>90</v>
      </c>
      <c r="AB329" s="2" t="s">
        <v>205</v>
      </c>
      <c r="AC329" s="2" t="s">
        <v>203</v>
      </c>
      <c r="AD329" t="str" cm="1">
        <f t="array" ref="AD32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329" s="2" t="s">
        <v>139</v>
      </c>
      <c r="AF329" s="2" t="s">
        <v>92</v>
      </c>
      <c r="AG329" s="2" t="s">
        <v>119</v>
      </c>
      <c r="AH329" s="2" t="s">
        <v>120</v>
      </c>
      <c r="AK329" s="2" t="s">
        <v>3301</v>
      </c>
      <c r="AN329" s="3">
        <v>1</v>
      </c>
      <c r="AO329" s="3">
        <v>0</v>
      </c>
      <c r="AP329" s="3">
        <v>1</v>
      </c>
      <c r="AQ329" s="3">
        <v>1</v>
      </c>
      <c r="AR329" s="3">
        <v>0</v>
      </c>
      <c r="AS329" s="3">
        <v>0</v>
      </c>
      <c r="AT329" s="3">
        <v>1</v>
      </c>
      <c r="AU329" s="3">
        <v>0</v>
      </c>
      <c r="AV329" s="3">
        <v>0</v>
      </c>
      <c r="AW329" s="3">
        <v>1</v>
      </c>
      <c r="AX329" s="3">
        <v>0</v>
      </c>
      <c r="AY329" s="3">
        <v>0</v>
      </c>
      <c r="AZ329" s="3">
        <v>1</v>
      </c>
      <c r="BA329" s="3">
        <v>0</v>
      </c>
      <c r="BB329" s="3">
        <v>0</v>
      </c>
      <c r="BC329" s="3">
        <v>1</v>
      </c>
      <c r="BD329" s="3">
        <v>0</v>
      </c>
      <c r="BE329" s="3">
        <v>0</v>
      </c>
      <c r="BG329" s="2" t="s">
        <v>139</v>
      </c>
      <c r="BH329" s="3">
        <v>2</v>
      </c>
      <c r="BI329" s="2" t="s">
        <v>122</v>
      </c>
      <c r="BJ329" s="2" t="s">
        <v>96</v>
      </c>
      <c r="BL329" s="2" t="s">
        <v>123</v>
      </c>
      <c r="BM329" s="2" t="s">
        <v>123</v>
      </c>
      <c r="BN329" s="2" t="s">
        <v>124</v>
      </c>
      <c r="BO329" s="2" t="s">
        <v>125</v>
      </c>
      <c r="BP329" s="2" t="s">
        <v>101</v>
      </c>
      <c r="BQ329" s="2" t="s">
        <v>124</v>
      </c>
      <c r="BR329" s="2" t="s">
        <v>126</v>
      </c>
      <c r="BS329" s="2" t="s">
        <v>127</v>
      </c>
      <c r="BT329" s="2" t="s">
        <v>207</v>
      </c>
      <c r="BU329" s="2" t="s">
        <v>208</v>
      </c>
      <c r="BV329" s="2" t="s">
        <v>150</v>
      </c>
      <c r="BW329" s="2" t="s">
        <v>151</v>
      </c>
      <c r="BX329" s="2" t="s">
        <v>139</v>
      </c>
      <c r="BY32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29" s="2">
        <f>IF(AND(Cases[[#This Row],[Priority Level]]&gt;=3,Cases[[#This Row],[System Role]]&lt;&gt;"Productive"),1,0)</f>
        <v>0</v>
      </c>
      <c r="CA329" s="2">
        <f>IFERROR(IF(Cases[[#This Row],[Days at Customer]]&gt;MAX(1,Cases[[#This Row],[Days at SAP]]*2),1,0),0)</f>
        <v>1</v>
      </c>
      <c r="CB329" s="2">
        <f>IF(AND(Cases[[#This Row],[Initial Component]]&lt;&gt;"",Cases[[#This Row],[Component]]&lt;&gt;"",Cases[[#This Row],[Initial Component]]&lt;&gt;Cases[[#This Row],[Component]]),1,0)</f>
        <v>0</v>
      </c>
      <c r="CC329" s="2">
        <f>IF(OR(Cases[[#This Row],[Is Reopened]]="X",Cases[[#This Row],[No. of Reopenings]]&gt;0),1,0)</f>
        <v>0</v>
      </c>
      <c r="CD329" s="2">
        <f>IF(Cases[[#This Row],[Confirmation Type]]="Automatic",1,0)</f>
        <v>0</v>
      </c>
      <c r="CE329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30" spans="1:83" x14ac:dyDescent="0.2">
      <c r="A330" s="1" t="s">
        <v>2039</v>
      </c>
      <c r="B330" s="2" t="s">
        <v>2040</v>
      </c>
      <c r="C330" s="2" t="s">
        <v>77</v>
      </c>
      <c r="D330" s="2" t="s">
        <v>78</v>
      </c>
      <c r="E330" s="3">
        <v>15.38</v>
      </c>
      <c r="F330" s="3">
        <v>25.51</v>
      </c>
      <c r="G330" s="2" t="s">
        <v>725</v>
      </c>
      <c r="H330" s="2" t="s">
        <v>726</v>
      </c>
      <c r="I330" s="3" t="s">
        <v>81</v>
      </c>
      <c r="J330" s="3">
        <v>124</v>
      </c>
      <c r="K330" s="2" t="s">
        <v>2041</v>
      </c>
      <c r="L330" s="4">
        <v>46054</v>
      </c>
      <c r="M330" s="4">
        <v>46044</v>
      </c>
      <c r="N330" s="2" t="s">
        <v>1334</v>
      </c>
      <c r="O330" s="2" t="s">
        <v>181</v>
      </c>
      <c r="P330" s="2" t="s">
        <v>83</v>
      </c>
      <c r="Q330" s="2" t="s">
        <v>86</v>
      </c>
      <c r="R330" s="2" t="s">
        <v>87</v>
      </c>
      <c r="S330" s="4">
        <v>46003</v>
      </c>
      <c r="T330" s="2" t="s">
        <v>1804</v>
      </c>
      <c r="U330" s="2" t="s">
        <v>1805</v>
      </c>
      <c r="V330" s="2" t="s">
        <v>2037</v>
      </c>
      <c r="W330" s="2" t="s">
        <v>1806</v>
      </c>
      <c r="X330" s="2" t="s">
        <v>88</v>
      </c>
      <c r="Y330" s="3" t="s">
        <v>89</v>
      </c>
      <c r="Z330" s="3">
        <v>40.9</v>
      </c>
      <c r="AA330" s="2" t="s">
        <v>90</v>
      </c>
      <c r="AB330" s="2" t="s">
        <v>87</v>
      </c>
      <c r="AC330" s="2" t="s">
        <v>77</v>
      </c>
      <c r="AD330" t="str" cm="1">
        <f t="array" ref="AD33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330" s="2" t="s">
        <v>91</v>
      </c>
      <c r="AF330" s="2" t="s">
        <v>92</v>
      </c>
      <c r="AG330" s="2" t="s">
        <v>93</v>
      </c>
      <c r="AH330" s="2" t="s">
        <v>94</v>
      </c>
      <c r="AJ330" s="2" t="s">
        <v>122</v>
      </c>
      <c r="AK330" s="2" t="s">
        <v>2042</v>
      </c>
      <c r="AN330" s="3">
        <v>1</v>
      </c>
      <c r="AO330" s="3">
        <v>1</v>
      </c>
      <c r="AP330" s="3">
        <v>1</v>
      </c>
      <c r="AQ330" s="3">
        <v>1</v>
      </c>
      <c r="AR330" s="3">
        <v>1</v>
      </c>
      <c r="AS330" s="3">
        <v>0</v>
      </c>
      <c r="AT330" s="3">
        <v>0</v>
      </c>
      <c r="AU330" s="3">
        <v>0</v>
      </c>
      <c r="AV330" s="3">
        <v>0</v>
      </c>
      <c r="AW330" s="3">
        <v>1</v>
      </c>
      <c r="AX330" s="3">
        <v>1</v>
      </c>
      <c r="AY330" s="3">
        <v>0</v>
      </c>
      <c r="AZ330" s="3">
        <v>0</v>
      </c>
      <c r="BA330" s="3">
        <v>1</v>
      </c>
      <c r="BB330" s="3">
        <v>0</v>
      </c>
      <c r="BC330" s="3">
        <v>0</v>
      </c>
      <c r="BD330" s="3">
        <v>2</v>
      </c>
      <c r="BE330" s="3">
        <v>0</v>
      </c>
      <c r="BG330" s="2" t="s">
        <v>91</v>
      </c>
      <c r="BH330" s="3">
        <v>3</v>
      </c>
      <c r="BJ330" s="2" t="s">
        <v>96</v>
      </c>
      <c r="BL330" s="2" t="s">
        <v>184</v>
      </c>
      <c r="BM330" s="2" t="s">
        <v>184</v>
      </c>
      <c r="BN330" s="2" t="s">
        <v>124</v>
      </c>
      <c r="BO330" s="2" t="s">
        <v>125</v>
      </c>
      <c r="BP330" s="2" t="s">
        <v>101</v>
      </c>
      <c r="BQ330" s="2" t="s">
        <v>124</v>
      </c>
      <c r="BR330" s="2" t="s">
        <v>126</v>
      </c>
      <c r="BS330" s="2" t="s">
        <v>104</v>
      </c>
      <c r="BT330" s="2" t="s">
        <v>343</v>
      </c>
      <c r="BU330" s="2" t="s">
        <v>344</v>
      </c>
      <c r="BV330" s="2" t="s">
        <v>166</v>
      </c>
      <c r="BW330" s="2" t="s">
        <v>167</v>
      </c>
      <c r="BX330" s="2" t="s">
        <v>91</v>
      </c>
      <c r="BY33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30" s="2">
        <f>IF(AND(Cases[[#This Row],[Priority Level]]&gt;=3,Cases[[#This Row],[System Role]]&lt;&gt;"Productive"),1,0)</f>
        <v>1</v>
      </c>
      <c r="CA330" s="2">
        <f>IFERROR(IF(Cases[[#This Row],[Days at Customer]]&gt;MAX(1,Cases[[#This Row],[Days at SAP]]*2),1,0),0)</f>
        <v>0</v>
      </c>
      <c r="CB330" s="2">
        <f>IF(AND(Cases[[#This Row],[Initial Component]]&lt;&gt;"",Cases[[#This Row],[Component]]&lt;&gt;"",Cases[[#This Row],[Initial Component]]&lt;&gt;Cases[[#This Row],[Component]]),1,0)</f>
        <v>0</v>
      </c>
      <c r="CC330" s="2">
        <f>IF(OR(Cases[[#This Row],[Is Reopened]]="X",Cases[[#This Row],[No. of Reopenings]]&gt;0),1,0)</f>
        <v>1</v>
      </c>
      <c r="CD330" s="2">
        <f>IF(Cases[[#This Row],[Confirmation Type]]="Automatic",1,0)</f>
        <v>0</v>
      </c>
      <c r="CE33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31" spans="1:83" x14ac:dyDescent="0.2">
      <c r="A331" s="1" t="s">
        <v>2043</v>
      </c>
      <c r="B331" s="2" t="s">
        <v>2044</v>
      </c>
      <c r="C331" s="2" t="s">
        <v>2045</v>
      </c>
      <c r="D331" s="2" t="s">
        <v>238</v>
      </c>
      <c r="E331" s="3">
        <v>11.43</v>
      </c>
      <c r="F331" s="3">
        <v>31.06</v>
      </c>
      <c r="G331" s="2" t="s">
        <v>79</v>
      </c>
      <c r="H331" s="2" t="s">
        <v>290</v>
      </c>
      <c r="I331" s="3" t="s">
        <v>114</v>
      </c>
      <c r="J331" s="3">
        <v>124</v>
      </c>
      <c r="K331" s="2" t="s">
        <v>2046</v>
      </c>
      <c r="L331" s="4">
        <v>46047</v>
      </c>
      <c r="M331" s="4">
        <v>46045</v>
      </c>
      <c r="N331" s="2" t="s">
        <v>1334</v>
      </c>
      <c r="O331" s="2" t="s">
        <v>181</v>
      </c>
      <c r="P331" s="2" t="s">
        <v>83</v>
      </c>
      <c r="Q331" s="2" t="s">
        <v>86</v>
      </c>
      <c r="R331" s="2" t="s">
        <v>2047</v>
      </c>
      <c r="S331" s="4">
        <v>46003</v>
      </c>
      <c r="T331" s="2" t="s">
        <v>1804</v>
      </c>
      <c r="U331" s="2" t="s">
        <v>1805</v>
      </c>
      <c r="V331" s="2" t="s">
        <v>2037</v>
      </c>
      <c r="W331" s="2" t="s">
        <v>1806</v>
      </c>
      <c r="X331" s="2" t="s">
        <v>117</v>
      </c>
      <c r="Y331" s="3" t="s">
        <v>118</v>
      </c>
      <c r="Z331" s="3">
        <v>42.49</v>
      </c>
      <c r="AA331" s="2" t="s">
        <v>90</v>
      </c>
      <c r="AB331" s="2" t="s">
        <v>2048</v>
      </c>
      <c r="AC331" s="2" t="s">
        <v>2049</v>
      </c>
      <c r="AD331" t="str" cm="1">
        <f t="array" ref="AD33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OTC</v>
      </c>
      <c r="AE331" s="2" t="s">
        <v>139</v>
      </c>
      <c r="AF331" s="2" t="s">
        <v>92</v>
      </c>
      <c r="AG331" s="2" t="s">
        <v>119</v>
      </c>
      <c r="AH331" s="2" t="s">
        <v>120</v>
      </c>
      <c r="AK331" s="2" t="s">
        <v>2050</v>
      </c>
      <c r="AN331" s="3">
        <v>1</v>
      </c>
      <c r="AO331" s="3">
        <v>1</v>
      </c>
      <c r="AP331" s="3">
        <v>1</v>
      </c>
      <c r="AQ331" s="3">
        <v>1</v>
      </c>
      <c r="AR331" s="3">
        <v>1</v>
      </c>
      <c r="AS331" s="3">
        <v>0</v>
      </c>
      <c r="AT331" s="3">
        <v>0</v>
      </c>
      <c r="AU331" s="3">
        <v>0</v>
      </c>
      <c r="AV331" s="3">
        <v>1</v>
      </c>
      <c r="AW331" s="3">
        <v>0</v>
      </c>
      <c r="AX331" s="3">
        <v>1</v>
      </c>
      <c r="AY331" s="3">
        <v>0</v>
      </c>
      <c r="AZ331" s="3">
        <v>0</v>
      </c>
      <c r="BA331" s="3">
        <v>0</v>
      </c>
      <c r="BB331" s="3">
        <v>0</v>
      </c>
      <c r="BC331" s="3">
        <v>1</v>
      </c>
      <c r="BD331" s="3">
        <v>0</v>
      </c>
      <c r="BE331" s="3">
        <v>0</v>
      </c>
      <c r="BG331" s="2" t="s">
        <v>91</v>
      </c>
      <c r="BH331" s="3">
        <v>3</v>
      </c>
      <c r="BJ331" s="2" t="s">
        <v>96</v>
      </c>
      <c r="BL331" s="2" t="s">
        <v>123</v>
      </c>
      <c r="BM331" s="2" t="s">
        <v>123</v>
      </c>
      <c r="BN331" s="2" t="s">
        <v>124</v>
      </c>
      <c r="BO331" s="2" t="s">
        <v>125</v>
      </c>
      <c r="BP331" s="2" t="s">
        <v>242</v>
      </c>
      <c r="BQ331" s="2" t="s">
        <v>124</v>
      </c>
      <c r="BR331" s="2" t="s">
        <v>126</v>
      </c>
      <c r="BS331" s="2" t="s">
        <v>127</v>
      </c>
      <c r="BT331" s="2" t="s">
        <v>207</v>
      </c>
      <c r="BU331" s="2" t="s">
        <v>208</v>
      </c>
      <c r="BV331" s="2" t="s">
        <v>150</v>
      </c>
      <c r="BW331" s="2" t="s">
        <v>151</v>
      </c>
      <c r="BX331" s="2" t="s">
        <v>91</v>
      </c>
      <c r="BY33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31" s="2">
        <f>IF(AND(Cases[[#This Row],[Priority Level]]&gt;=3,Cases[[#This Row],[System Role]]&lt;&gt;"Productive"),1,0)</f>
        <v>0</v>
      </c>
      <c r="CA331" s="2">
        <f>IFERROR(IF(Cases[[#This Row],[Days at Customer]]&gt;MAX(1,Cases[[#This Row],[Days at SAP]]*2),1,0),0)</f>
        <v>1</v>
      </c>
      <c r="CB331" s="2">
        <f>IF(AND(Cases[[#This Row],[Initial Component]]&lt;&gt;"",Cases[[#This Row],[Component]]&lt;&gt;"",Cases[[#This Row],[Initial Component]]&lt;&gt;Cases[[#This Row],[Component]]),1,0)</f>
        <v>1</v>
      </c>
      <c r="CC331" s="2">
        <f>IF(OR(Cases[[#This Row],[Is Reopened]]="X",Cases[[#This Row],[No. of Reopenings]]&gt;0),1,0)</f>
        <v>0</v>
      </c>
      <c r="CD331" s="2">
        <f>IF(Cases[[#This Row],[Confirmation Type]]="Automatic",1,0)</f>
        <v>1</v>
      </c>
      <c r="CE331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332" spans="1:83" x14ac:dyDescent="0.2">
      <c r="A332" s="1" t="s">
        <v>2051</v>
      </c>
      <c r="B332" s="2" t="s">
        <v>2052</v>
      </c>
      <c r="C332" s="2" t="s">
        <v>513</v>
      </c>
      <c r="D332" s="2" t="s">
        <v>78</v>
      </c>
      <c r="E332" s="3">
        <v>1.38</v>
      </c>
      <c r="F332" s="3">
        <v>4.6900000000000004</v>
      </c>
      <c r="G332" s="2" t="s">
        <v>79</v>
      </c>
      <c r="H332" s="2" t="s">
        <v>80</v>
      </c>
      <c r="I332" s="3" t="s">
        <v>114</v>
      </c>
      <c r="J332" s="3">
        <v>124</v>
      </c>
      <c r="K332" s="2" t="s">
        <v>2053</v>
      </c>
      <c r="L332" s="4">
        <v>46012</v>
      </c>
      <c r="M332" s="4">
        <v>46009</v>
      </c>
      <c r="N332" s="2" t="s">
        <v>1804</v>
      </c>
      <c r="O332" s="2" t="s">
        <v>1805</v>
      </c>
      <c r="P332" s="2" t="s">
        <v>1930</v>
      </c>
      <c r="Q332" s="2" t="s">
        <v>1806</v>
      </c>
      <c r="R332" s="2" t="s">
        <v>515</v>
      </c>
      <c r="S332" s="4">
        <v>46003</v>
      </c>
      <c r="T332" s="2" t="s">
        <v>1804</v>
      </c>
      <c r="U332" s="2" t="s">
        <v>1805</v>
      </c>
      <c r="V332" s="2" t="s">
        <v>2037</v>
      </c>
      <c r="W332" s="2" t="s">
        <v>1806</v>
      </c>
      <c r="X332" s="2" t="s">
        <v>117</v>
      </c>
      <c r="Y332" s="3" t="s">
        <v>118</v>
      </c>
      <c r="Z332" s="3">
        <v>6.08</v>
      </c>
      <c r="AA332" s="2" t="s">
        <v>90</v>
      </c>
      <c r="AB332" s="2" t="s">
        <v>515</v>
      </c>
      <c r="AC332" s="2" t="s">
        <v>513</v>
      </c>
      <c r="AD332" t="str" cm="1">
        <f t="array" ref="AD33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332" s="2" t="s">
        <v>91</v>
      </c>
      <c r="AF332" s="2" t="s">
        <v>92</v>
      </c>
      <c r="AG332" s="2" t="s">
        <v>119</v>
      </c>
      <c r="AH332" s="2" t="s">
        <v>120</v>
      </c>
      <c r="AK332" s="2" t="s">
        <v>2054</v>
      </c>
      <c r="AN332" s="3">
        <v>1</v>
      </c>
      <c r="AO332" s="3">
        <v>1</v>
      </c>
      <c r="AP332" s="3">
        <v>1</v>
      </c>
      <c r="AQ332" s="3">
        <v>1</v>
      </c>
      <c r="AR332" s="3">
        <v>1</v>
      </c>
      <c r="AS332" s="3">
        <v>0</v>
      </c>
      <c r="AT332" s="3">
        <v>0</v>
      </c>
      <c r="AU332" s="3">
        <v>0</v>
      </c>
      <c r="AV332" s="3">
        <v>0</v>
      </c>
      <c r="AW332" s="3">
        <v>1</v>
      </c>
      <c r="AX332" s="3">
        <v>1</v>
      </c>
      <c r="AY332" s="3">
        <v>0</v>
      </c>
      <c r="AZ332" s="3">
        <v>0</v>
      </c>
      <c r="BA332" s="3">
        <v>1</v>
      </c>
      <c r="BB332" s="3">
        <v>0</v>
      </c>
      <c r="BC332" s="3">
        <v>0</v>
      </c>
      <c r="BD332" s="3">
        <v>0</v>
      </c>
      <c r="BE332" s="3">
        <v>0</v>
      </c>
      <c r="BG332" s="2" t="s">
        <v>91</v>
      </c>
      <c r="BH332" s="3">
        <v>3</v>
      </c>
      <c r="BJ332" s="2" t="s">
        <v>96</v>
      </c>
      <c r="BL332" s="2" t="s">
        <v>123</v>
      </c>
      <c r="BM332" s="2" t="s">
        <v>123</v>
      </c>
      <c r="BN332" s="2" t="s">
        <v>124</v>
      </c>
      <c r="BO332" s="2" t="s">
        <v>125</v>
      </c>
      <c r="BP332" s="2" t="s">
        <v>101</v>
      </c>
      <c r="BQ332" s="2" t="s">
        <v>124</v>
      </c>
      <c r="BR332" s="2" t="s">
        <v>126</v>
      </c>
      <c r="BS332" s="2" t="s">
        <v>127</v>
      </c>
      <c r="BT332" s="2" t="s">
        <v>2055</v>
      </c>
      <c r="BU332" s="2" t="s">
        <v>2056</v>
      </c>
      <c r="BV332" s="2" t="s">
        <v>166</v>
      </c>
      <c r="BW332" s="2" t="s">
        <v>167</v>
      </c>
      <c r="BX332" s="2" t="s">
        <v>91</v>
      </c>
      <c r="BY33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32" s="2">
        <f>IF(AND(Cases[[#This Row],[Priority Level]]&gt;=3,Cases[[#This Row],[System Role]]&lt;&gt;"Productive"),1,0)</f>
        <v>1</v>
      </c>
      <c r="CA332" s="2">
        <f>IFERROR(IF(Cases[[#This Row],[Days at Customer]]&gt;MAX(1,Cases[[#This Row],[Days at SAP]]*2),1,0),0)</f>
        <v>1</v>
      </c>
      <c r="CB332" s="2">
        <f>IF(AND(Cases[[#This Row],[Initial Component]]&lt;&gt;"",Cases[[#This Row],[Component]]&lt;&gt;"",Cases[[#This Row],[Initial Component]]&lt;&gt;Cases[[#This Row],[Component]]),1,0)</f>
        <v>0</v>
      </c>
      <c r="CC332" s="2">
        <f>IF(OR(Cases[[#This Row],[Is Reopened]]="X",Cases[[#This Row],[No. of Reopenings]]&gt;0),1,0)</f>
        <v>0</v>
      </c>
      <c r="CD332" s="2">
        <f>IF(Cases[[#This Row],[Confirmation Type]]="Automatic",1,0)</f>
        <v>0</v>
      </c>
      <c r="CE332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33" spans="1:83" x14ac:dyDescent="0.2">
      <c r="A333" s="1" t="s">
        <v>2057</v>
      </c>
      <c r="B333" s="2" t="s">
        <v>2058</v>
      </c>
      <c r="C333" s="2" t="s">
        <v>77</v>
      </c>
      <c r="D333" s="2" t="s">
        <v>78</v>
      </c>
      <c r="E333" s="3">
        <v>2.09</v>
      </c>
      <c r="F333" s="3">
        <v>1.83</v>
      </c>
      <c r="G333" s="2" t="s">
        <v>190</v>
      </c>
      <c r="H333" s="2" t="s">
        <v>191</v>
      </c>
      <c r="I333" s="3" t="s">
        <v>81</v>
      </c>
      <c r="J333" s="3">
        <v>125</v>
      </c>
      <c r="K333" s="2" t="s">
        <v>2059</v>
      </c>
      <c r="L333" s="4">
        <v>46012</v>
      </c>
      <c r="M333" s="4">
        <v>46006</v>
      </c>
      <c r="N333" s="2" t="s">
        <v>1804</v>
      </c>
      <c r="O333" s="2" t="s">
        <v>1805</v>
      </c>
      <c r="P333" s="2" t="s">
        <v>1930</v>
      </c>
      <c r="Q333" s="2" t="s">
        <v>1806</v>
      </c>
      <c r="R333" s="2" t="s">
        <v>87</v>
      </c>
      <c r="S333" s="4">
        <v>46002</v>
      </c>
      <c r="T333" s="2" t="s">
        <v>1804</v>
      </c>
      <c r="U333" s="2" t="s">
        <v>1805</v>
      </c>
      <c r="V333" s="2" t="s">
        <v>2037</v>
      </c>
      <c r="W333" s="2" t="s">
        <v>1806</v>
      </c>
      <c r="X333" s="2" t="s">
        <v>88</v>
      </c>
      <c r="Y333" s="3" t="s">
        <v>89</v>
      </c>
      <c r="Z333" s="3">
        <v>3.92</v>
      </c>
      <c r="AA333" s="2" t="s">
        <v>90</v>
      </c>
      <c r="AB333" s="2" t="s">
        <v>87</v>
      </c>
      <c r="AC333" s="2" t="s">
        <v>77</v>
      </c>
      <c r="AD333" t="str" cm="1">
        <f t="array" ref="AD33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333" s="2" t="s">
        <v>91</v>
      </c>
      <c r="AF333" s="2" t="s">
        <v>92</v>
      </c>
      <c r="AG333" s="2" t="s">
        <v>93</v>
      </c>
      <c r="AH333" s="2" t="s">
        <v>94</v>
      </c>
      <c r="AK333" s="2" t="s">
        <v>2060</v>
      </c>
      <c r="AN333" s="3">
        <v>1</v>
      </c>
      <c r="AO333" s="3">
        <v>1</v>
      </c>
      <c r="AP333" s="3">
        <v>1</v>
      </c>
      <c r="AQ333" s="3">
        <v>1</v>
      </c>
      <c r="AR333" s="3">
        <v>1</v>
      </c>
      <c r="AS333" s="3">
        <v>0</v>
      </c>
      <c r="AT333" s="3">
        <v>0</v>
      </c>
      <c r="AU333" s="3">
        <v>0</v>
      </c>
      <c r="AV333" s="3">
        <v>0</v>
      </c>
      <c r="AW333" s="3">
        <v>1</v>
      </c>
      <c r="AX333" s="3">
        <v>1</v>
      </c>
      <c r="AY333" s="3">
        <v>0</v>
      </c>
      <c r="AZ333" s="3">
        <v>0</v>
      </c>
      <c r="BA333" s="3">
        <v>1</v>
      </c>
      <c r="BB333" s="3">
        <v>0</v>
      </c>
      <c r="BC333" s="3">
        <v>0</v>
      </c>
      <c r="BD333" s="3">
        <v>0</v>
      </c>
      <c r="BE333" s="3">
        <v>0</v>
      </c>
      <c r="BG333" s="2" t="s">
        <v>91</v>
      </c>
      <c r="BH333" s="3">
        <v>3</v>
      </c>
      <c r="BJ333" s="2" t="s">
        <v>96</v>
      </c>
      <c r="BL333" s="2" t="s">
        <v>184</v>
      </c>
      <c r="BM333" s="2" t="s">
        <v>184</v>
      </c>
      <c r="BN333" s="2" t="s">
        <v>124</v>
      </c>
      <c r="BO333" s="2" t="s">
        <v>125</v>
      </c>
      <c r="BP333" s="2" t="s">
        <v>101</v>
      </c>
      <c r="BQ333" s="2" t="s">
        <v>124</v>
      </c>
      <c r="BR333" s="2" t="s">
        <v>126</v>
      </c>
      <c r="BS333" s="2" t="s">
        <v>104</v>
      </c>
      <c r="BT333" s="2" t="s">
        <v>343</v>
      </c>
      <c r="BU333" s="2" t="s">
        <v>344</v>
      </c>
      <c r="BV333" s="2" t="s">
        <v>166</v>
      </c>
      <c r="BW333" s="2" t="s">
        <v>167</v>
      </c>
      <c r="BX333" s="2" t="s">
        <v>91</v>
      </c>
      <c r="BY33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33" s="2">
        <f>IF(AND(Cases[[#This Row],[Priority Level]]&gt;=3,Cases[[#This Row],[System Role]]&lt;&gt;"Productive"),1,0)</f>
        <v>1</v>
      </c>
      <c r="CA333" s="2">
        <f>IFERROR(IF(Cases[[#This Row],[Days at Customer]]&gt;MAX(1,Cases[[#This Row],[Days at SAP]]*2),1,0),0)</f>
        <v>0</v>
      </c>
      <c r="CB333" s="2">
        <f>IF(AND(Cases[[#This Row],[Initial Component]]&lt;&gt;"",Cases[[#This Row],[Component]]&lt;&gt;"",Cases[[#This Row],[Initial Component]]&lt;&gt;Cases[[#This Row],[Component]]),1,0)</f>
        <v>0</v>
      </c>
      <c r="CC333" s="2">
        <f>IF(OR(Cases[[#This Row],[Is Reopened]]="X",Cases[[#This Row],[No. of Reopenings]]&gt;0),1,0)</f>
        <v>0</v>
      </c>
      <c r="CD333" s="2">
        <f>IF(Cases[[#This Row],[Confirmation Type]]="Automatic",1,0)</f>
        <v>0</v>
      </c>
      <c r="CE333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34" spans="1:83" x14ac:dyDescent="0.2">
      <c r="A334" s="1" t="s">
        <v>2061</v>
      </c>
      <c r="B334" s="2" t="s">
        <v>2062</v>
      </c>
      <c r="C334" s="2" t="s">
        <v>2045</v>
      </c>
      <c r="D334" s="2" t="s">
        <v>238</v>
      </c>
      <c r="E334" s="3">
        <v>4.97</v>
      </c>
      <c r="F334" s="3">
        <v>21.51</v>
      </c>
      <c r="G334" s="2" t="s">
        <v>79</v>
      </c>
      <c r="H334" s="2" t="s">
        <v>178</v>
      </c>
      <c r="I334" s="3" t="s">
        <v>114</v>
      </c>
      <c r="J334" s="3">
        <v>125</v>
      </c>
      <c r="K334" s="2" t="s">
        <v>2063</v>
      </c>
      <c r="L334" s="4">
        <v>46033</v>
      </c>
      <c r="M334" s="4">
        <v>46029</v>
      </c>
      <c r="N334" s="2" t="s">
        <v>1334</v>
      </c>
      <c r="O334" s="2" t="s">
        <v>181</v>
      </c>
      <c r="P334" s="2" t="s">
        <v>677</v>
      </c>
      <c r="Q334" s="2" t="s">
        <v>86</v>
      </c>
      <c r="R334" s="2" t="s">
        <v>2047</v>
      </c>
      <c r="S334" s="4">
        <v>46002</v>
      </c>
      <c r="T334" s="2" t="s">
        <v>1804</v>
      </c>
      <c r="U334" s="2" t="s">
        <v>1805</v>
      </c>
      <c r="V334" s="2" t="s">
        <v>2037</v>
      </c>
      <c r="W334" s="2" t="s">
        <v>1806</v>
      </c>
      <c r="X334" s="2" t="s">
        <v>117</v>
      </c>
      <c r="Y334" s="3" t="s">
        <v>118</v>
      </c>
      <c r="Z334" s="3">
        <v>26.48</v>
      </c>
      <c r="AA334" s="2" t="s">
        <v>90</v>
      </c>
      <c r="AB334" s="2" t="s">
        <v>2047</v>
      </c>
      <c r="AC334" s="2" t="s">
        <v>2045</v>
      </c>
      <c r="AD334" t="str" cm="1">
        <f t="array" ref="AD33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OTC</v>
      </c>
      <c r="AE334" s="2" t="s">
        <v>139</v>
      </c>
      <c r="AF334" s="2" t="s">
        <v>92</v>
      </c>
      <c r="AG334" s="2" t="s">
        <v>119</v>
      </c>
      <c r="AH334" s="2" t="s">
        <v>120</v>
      </c>
      <c r="AK334" s="2" t="s">
        <v>2064</v>
      </c>
      <c r="AN334" s="3">
        <v>1</v>
      </c>
      <c r="AO334" s="3">
        <v>1</v>
      </c>
      <c r="AP334" s="3">
        <v>1</v>
      </c>
      <c r="AQ334" s="3">
        <v>1</v>
      </c>
      <c r="AR334" s="3">
        <v>0</v>
      </c>
      <c r="AS334" s="3">
        <v>0</v>
      </c>
      <c r="AT334" s="3">
        <v>1</v>
      </c>
      <c r="AU334" s="3">
        <v>0</v>
      </c>
      <c r="AV334" s="3">
        <v>1</v>
      </c>
      <c r="AW334" s="3">
        <v>0</v>
      </c>
      <c r="AX334" s="3">
        <v>0</v>
      </c>
      <c r="AY334" s="3">
        <v>0</v>
      </c>
      <c r="AZ334" s="3">
        <v>1</v>
      </c>
      <c r="BA334" s="3">
        <v>0</v>
      </c>
      <c r="BB334" s="3">
        <v>0</v>
      </c>
      <c r="BC334" s="3">
        <v>1</v>
      </c>
      <c r="BD334" s="3">
        <v>0</v>
      </c>
      <c r="BE334" s="3">
        <v>0</v>
      </c>
      <c r="BG334" s="2" t="s">
        <v>139</v>
      </c>
      <c r="BH334" s="3">
        <v>2</v>
      </c>
      <c r="BJ334" s="2" t="s">
        <v>96</v>
      </c>
      <c r="BL334" s="2" t="s">
        <v>123</v>
      </c>
      <c r="BM334" s="2" t="s">
        <v>123</v>
      </c>
      <c r="BN334" s="2" t="s">
        <v>124</v>
      </c>
      <c r="BO334" s="2" t="s">
        <v>125</v>
      </c>
      <c r="BP334" s="2" t="s">
        <v>242</v>
      </c>
      <c r="BQ334" s="2" t="s">
        <v>124</v>
      </c>
      <c r="BR334" s="2" t="s">
        <v>126</v>
      </c>
      <c r="BS334" s="2" t="s">
        <v>127</v>
      </c>
      <c r="BT334" s="2" t="s">
        <v>207</v>
      </c>
      <c r="BU334" s="2" t="s">
        <v>208</v>
      </c>
      <c r="BV334" s="2" t="s">
        <v>150</v>
      </c>
      <c r="BW334" s="2" t="s">
        <v>151</v>
      </c>
      <c r="BX334" s="2" t="s">
        <v>139</v>
      </c>
      <c r="BY33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34" s="2">
        <f>IF(AND(Cases[[#This Row],[Priority Level]]&gt;=3,Cases[[#This Row],[System Role]]&lt;&gt;"Productive"),1,0)</f>
        <v>0</v>
      </c>
      <c r="CA334" s="2">
        <f>IFERROR(IF(Cases[[#This Row],[Days at Customer]]&gt;MAX(1,Cases[[#This Row],[Days at SAP]]*2),1,0),0)</f>
        <v>1</v>
      </c>
      <c r="CB334" s="2">
        <f>IF(AND(Cases[[#This Row],[Initial Component]]&lt;&gt;"",Cases[[#This Row],[Component]]&lt;&gt;"",Cases[[#This Row],[Initial Component]]&lt;&gt;Cases[[#This Row],[Component]]),1,0)</f>
        <v>0</v>
      </c>
      <c r="CC334" s="2">
        <f>IF(OR(Cases[[#This Row],[Is Reopened]]="X",Cases[[#This Row],[No. of Reopenings]]&gt;0),1,0)</f>
        <v>0</v>
      </c>
      <c r="CD334" s="2">
        <f>IF(Cases[[#This Row],[Confirmation Type]]="Automatic",1,0)</f>
        <v>1</v>
      </c>
      <c r="CE334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35" spans="1:83" x14ac:dyDescent="0.2">
      <c r="A335" s="1" t="s">
        <v>2065</v>
      </c>
      <c r="B335" s="2" t="s">
        <v>2066</v>
      </c>
      <c r="C335" s="2" t="s">
        <v>2067</v>
      </c>
      <c r="D335" s="2" t="s">
        <v>238</v>
      </c>
      <c r="E335" s="3">
        <v>16.829999999999998</v>
      </c>
      <c r="F335" s="3">
        <v>43.73</v>
      </c>
      <c r="G335" s="2" t="s">
        <v>79</v>
      </c>
      <c r="H335" s="2" t="s">
        <v>80</v>
      </c>
      <c r="I335" s="3" t="s">
        <v>81</v>
      </c>
      <c r="J335" s="3">
        <v>125</v>
      </c>
      <c r="K335" s="2" t="s">
        <v>2068</v>
      </c>
      <c r="L335" s="4">
        <v>46068</v>
      </c>
      <c r="M335" s="4">
        <v>46063</v>
      </c>
      <c r="N335" s="2" t="s">
        <v>677</v>
      </c>
      <c r="O335" s="2" t="s">
        <v>181</v>
      </c>
      <c r="P335" s="2" t="s">
        <v>1079</v>
      </c>
      <c r="Q335" s="2" t="s">
        <v>86</v>
      </c>
      <c r="R335" s="2" t="s">
        <v>2069</v>
      </c>
      <c r="S335" s="4">
        <v>46002</v>
      </c>
      <c r="T335" s="2" t="s">
        <v>1804</v>
      </c>
      <c r="U335" s="2" t="s">
        <v>1805</v>
      </c>
      <c r="V335" s="2" t="s">
        <v>2037</v>
      </c>
      <c r="W335" s="2" t="s">
        <v>1806</v>
      </c>
      <c r="X335" s="2" t="s">
        <v>88</v>
      </c>
      <c r="Y335" s="3" t="s">
        <v>89</v>
      </c>
      <c r="Z335" s="3">
        <v>60.56</v>
      </c>
      <c r="AA335" s="2" t="s">
        <v>90</v>
      </c>
      <c r="AB335" s="2" t="s">
        <v>2069</v>
      </c>
      <c r="AC335" s="2" t="s">
        <v>2067</v>
      </c>
      <c r="AD335" t="str" cm="1">
        <f t="array" ref="AD33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335" s="2" t="s">
        <v>91</v>
      </c>
      <c r="AF335" s="2" t="s">
        <v>92</v>
      </c>
      <c r="AG335" s="2" t="s">
        <v>2070</v>
      </c>
      <c r="AH335" s="2" t="s">
        <v>2071</v>
      </c>
      <c r="AK335" s="2" t="s">
        <v>2072</v>
      </c>
      <c r="AN335" s="3">
        <v>1</v>
      </c>
      <c r="AO335" s="3">
        <v>1</v>
      </c>
      <c r="AP335" s="3">
        <v>1</v>
      </c>
      <c r="AQ335" s="3">
        <v>1</v>
      </c>
      <c r="AR335" s="3">
        <v>1</v>
      </c>
      <c r="AS335" s="3">
        <v>0</v>
      </c>
      <c r="AT335" s="3">
        <v>0</v>
      </c>
      <c r="AU335" s="3">
        <v>0</v>
      </c>
      <c r="AV335" s="3">
        <v>1</v>
      </c>
      <c r="AW335" s="3">
        <v>0</v>
      </c>
      <c r="AX335" s="3">
        <v>1</v>
      </c>
      <c r="AY335" s="3">
        <v>0</v>
      </c>
      <c r="AZ335" s="3">
        <v>0</v>
      </c>
      <c r="BA335" s="3">
        <v>0</v>
      </c>
      <c r="BB335" s="3">
        <v>0</v>
      </c>
      <c r="BC335" s="3">
        <v>1</v>
      </c>
      <c r="BD335" s="3">
        <v>0</v>
      </c>
      <c r="BE335" s="3">
        <v>0</v>
      </c>
      <c r="BG335" s="2" t="s">
        <v>91</v>
      </c>
      <c r="BH335" s="3">
        <v>3</v>
      </c>
      <c r="BJ335" s="2" t="s">
        <v>96</v>
      </c>
      <c r="BL335" s="2" t="s">
        <v>556</v>
      </c>
      <c r="BM335" s="2" t="s">
        <v>557</v>
      </c>
      <c r="BN335" s="2" t="s">
        <v>99</v>
      </c>
      <c r="BO335" s="2" t="s">
        <v>100</v>
      </c>
      <c r="BP335" s="2" t="s">
        <v>242</v>
      </c>
      <c r="BQ335" s="2" t="s">
        <v>102</v>
      </c>
      <c r="BR335" s="2" t="s">
        <v>103</v>
      </c>
      <c r="BS335" s="2" t="s">
        <v>127</v>
      </c>
      <c r="BT335" s="2" t="s">
        <v>2073</v>
      </c>
      <c r="BU335" s="2" t="s">
        <v>2074</v>
      </c>
      <c r="BV335" s="2" t="s">
        <v>150</v>
      </c>
      <c r="BW335" s="2" t="s">
        <v>151</v>
      </c>
      <c r="BX335" s="2" t="s">
        <v>91</v>
      </c>
      <c r="BY33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35" s="2">
        <f>IF(AND(Cases[[#This Row],[Priority Level]]&gt;=3,Cases[[#This Row],[System Role]]&lt;&gt;"Productive"),1,0)</f>
        <v>0</v>
      </c>
      <c r="CA335" s="2">
        <f>IFERROR(IF(Cases[[#This Row],[Days at Customer]]&gt;MAX(1,Cases[[#This Row],[Days at SAP]]*2),1,0),0)</f>
        <v>1</v>
      </c>
      <c r="CB335" s="2">
        <f>IF(AND(Cases[[#This Row],[Initial Component]]&lt;&gt;"",Cases[[#This Row],[Component]]&lt;&gt;"",Cases[[#This Row],[Initial Component]]&lt;&gt;Cases[[#This Row],[Component]]),1,0)</f>
        <v>0</v>
      </c>
      <c r="CC335" s="2">
        <f>IF(OR(Cases[[#This Row],[Is Reopened]]="X",Cases[[#This Row],[No. of Reopenings]]&gt;0),1,0)</f>
        <v>0</v>
      </c>
      <c r="CD335" s="2">
        <f>IF(Cases[[#This Row],[Confirmation Type]]="Automatic",1,0)</f>
        <v>1</v>
      </c>
      <c r="CE335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36" spans="1:83" x14ac:dyDescent="0.2">
      <c r="A336" s="1" t="s">
        <v>2075</v>
      </c>
      <c r="B336" s="2" t="s">
        <v>2076</v>
      </c>
      <c r="C336" s="2" t="s">
        <v>1381</v>
      </c>
      <c r="D336" s="2" t="s">
        <v>238</v>
      </c>
      <c r="E336" s="3">
        <v>16.739999999999998</v>
      </c>
      <c r="F336" s="3">
        <v>34.99</v>
      </c>
      <c r="G336" s="2" t="s">
        <v>133</v>
      </c>
      <c r="H336" s="2" t="s">
        <v>324</v>
      </c>
      <c r="I336" s="3" t="s">
        <v>114</v>
      </c>
      <c r="J336" s="3">
        <v>126</v>
      </c>
      <c r="K336" s="2" t="s">
        <v>2077</v>
      </c>
      <c r="L336" s="4">
        <v>46065</v>
      </c>
      <c r="M336" s="4">
        <v>46053</v>
      </c>
      <c r="N336" s="2" t="s">
        <v>1334</v>
      </c>
      <c r="O336" s="2" t="s">
        <v>181</v>
      </c>
      <c r="P336" s="2" t="s">
        <v>1335</v>
      </c>
      <c r="Q336" s="2" t="s">
        <v>86</v>
      </c>
      <c r="R336" s="2" t="s">
        <v>1383</v>
      </c>
      <c r="S336" s="4">
        <v>46001</v>
      </c>
      <c r="T336" s="2" t="s">
        <v>1804</v>
      </c>
      <c r="U336" s="2" t="s">
        <v>1805</v>
      </c>
      <c r="V336" s="2" t="s">
        <v>2037</v>
      </c>
      <c r="W336" s="2" t="s">
        <v>1806</v>
      </c>
      <c r="X336" s="2" t="s">
        <v>117</v>
      </c>
      <c r="Y336" s="3" t="s">
        <v>118</v>
      </c>
      <c r="Z336" s="3">
        <v>51.73</v>
      </c>
      <c r="AA336" s="2" t="s">
        <v>90</v>
      </c>
      <c r="AB336" s="2" t="s">
        <v>1383</v>
      </c>
      <c r="AC336" s="2" t="s">
        <v>2078</v>
      </c>
      <c r="AD336" t="str" cm="1">
        <f t="array" ref="AD33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336" s="2" t="s">
        <v>91</v>
      </c>
      <c r="AF336" s="2" t="s">
        <v>92</v>
      </c>
      <c r="AG336" s="2" t="s">
        <v>119</v>
      </c>
      <c r="AH336" s="2" t="s">
        <v>120</v>
      </c>
      <c r="AK336" s="2" t="s">
        <v>2079</v>
      </c>
      <c r="AN336" s="3">
        <v>1</v>
      </c>
      <c r="AO336" s="3">
        <v>1</v>
      </c>
      <c r="AP336" s="3">
        <v>1</v>
      </c>
      <c r="AQ336" s="3">
        <v>1</v>
      </c>
      <c r="AR336" s="3">
        <v>1</v>
      </c>
      <c r="AS336" s="3">
        <v>0</v>
      </c>
      <c r="AT336" s="3">
        <v>0</v>
      </c>
      <c r="AU336" s="3">
        <v>0</v>
      </c>
      <c r="AV336" s="3">
        <v>1</v>
      </c>
      <c r="AW336" s="3">
        <v>0</v>
      </c>
      <c r="AX336" s="3">
        <v>1</v>
      </c>
      <c r="AY336" s="3">
        <v>0</v>
      </c>
      <c r="AZ336" s="3">
        <v>0</v>
      </c>
      <c r="BA336" s="3">
        <v>0</v>
      </c>
      <c r="BB336" s="3">
        <v>0</v>
      </c>
      <c r="BC336" s="3">
        <v>1</v>
      </c>
      <c r="BD336" s="3">
        <v>0</v>
      </c>
      <c r="BE336" s="3">
        <v>0</v>
      </c>
      <c r="BG336" s="2" t="s">
        <v>91</v>
      </c>
      <c r="BH336" s="3">
        <v>3</v>
      </c>
      <c r="BJ336" s="2" t="s">
        <v>96</v>
      </c>
      <c r="BL336" s="2" t="s">
        <v>123</v>
      </c>
      <c r="BM336" s="2" t="s">
        <v>123</v>
      </c>
      <c r="BN336" s="2" t="s">
        <v>124</v>
      </c>
      <c r="BO336" s="2" t="s">
        <v>125</v>
      </c>
      <c r="BP336" s="2" t="s">
        <v>242</v>
      </c>
      <c r="BQ336" s="2" t="s">
        <v>124</v>
      </c>
      <c r="BR336" s="2" t="s">
        <v>126</v>
      </c>
      <c r="BS336" s="2" t="s">
        <v>127</v>
      </c>
      <c r="BT336" s="2" t="s">
        <v>207</v>
      </c>
      <c r="BU336" s="2" t="s">
        <v>208</v>
      </c>
      <c r="BV336" s="2" t="s">
        <v>150</v>
      </c>
      <c r="BW336" s="2" t="s">
        <v>151</v>
      </c>
      <c r="BX336" s="2" t="s">
        <v>91</v>
      </c>
      <c r="BY33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36" s="2">
        <f>IF(AND(Cases[[#This Row],[Priority Level]]&gt;=3,Cases[[#This Row],[System Role]]&lt;&gt;"Productive"),1,0)</f>
        <v>0</v>
      </c>
      <c r="CA336" s="2">
        <f>IFERROR(IF(Cases[[#This Row],[Days at Customer]]&gt;MAX(1,Cases[[#This Row],[Days at SAP]]*2),1,0),0)</f>
        <v>1</v>
      </c>
      <c r="CB336" s="2">
        <f>IF(AND(Cases[[#This Row],[Initial Component]]&lt;&gt;"",Cases[[#This Row],[Component]]&lt;&gt;"",Cases[[#This Row],[Initial Component]]&lt;&gt;Cases[[#This Row],[Component]]),1,0)</f>
        <v>0</v>
      </c>
      <c r="CC336" s="2">
        <f>IF(OR(Cases[[#This Row],[Is Reopened]]="X",Cases[[#This Row],[No. of Reopenings]]&gt;0),1,0)</f>
        <v>0</v>
      </c>
      <c r="CD336" s="2">
        <f>IF(Cases[[#This Row],[Confirmation Type]]="Automatic",1,0)</f>
        <v>1</v>
      </c>
      <c r="CE336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37" spans="1:83" x14ac:dyDescent="0.2">
      <c r="A337" s="1" t="s">
        <v>2080</v>
      </c>
      <c r="B337" s="2" t="s">
        <v>2081</v>
      </c>
      <c r="C337" s="2" t="s">
        <v>1518</v>
      </c>
      <c r="D337" s="2" t="s">
        <v>238</v>
      </c>
      <c r="E337" s="3">
        <v>0.8</v>
      </c>
      <c r="F337" s="3">
        <v>22.79</v>
      </c>
      <c r="G337" s="2" t="s">
        <v>79</v>
      </c>
      <c r="H337" s="2" t="s">
        <v>80</v>
      </c>
      <c r="I337" s="3" t="s">
        <v>114</v>
      </c>
      <c r="J337" s="3">
        <v>126</v>
      </c>
      <c r="K337" s="2" t="s">
        <v>2082</v>
      </c>
      <c r="L337" s="4">
        <v>46026</v>
      </c>
      <c r="M337" s="4">
        <v>46025</v>
      </c>
      <c r="N337" s="2" t="s">
        <v>1334</v>
      </c>
      <c r="O337" s="2" t="s">
        <v>181</v>
      </c>
      <c r="P337" s="2" t="s">
        <v>1334</v>
      </c>
      <c r="Q337" s="2" t="s">
        <v>86</v>
      </c>
      <c r="R337" s="2" t="s">
        <v>1520</v>
      </c>
      <c r="S337" s="4">
        <v>46001</v>
      </c>
      <c r="T337" s="2" t="s">
        <v>1804</v>
      </c>
      <c r="U337" s="2" t="s">
        <v>1805</v>
      </c>
      <c r="V337" s="2" t="s">
        <v>2037</v>
      </c>
      <c r="W337" s="2" t="s">
        <v>1806</v>
      </c>
      <c r="X337" s="2" t="s">
        <v>117</v>
      </c>
      <c r="Y337" s="3" t="s">
        <v>118</v>
      </c>
      <c r="Z337" s="3">
        <v>23.59</v>
      </c>
      <c r="AA337" s="2" t="s">
        <v>90</v>
      </c>
      <c r="AB337" s="2" t="s">
        <v>2083</v>
      </c>
      <c r="AC337" s="2" t="s">
        <v>2084</v>
      </c>
      <c r="AD337" t="str" cm="1">
        <f t="array" ref="AD33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337" s="2" t="s">
        <v>139</v>
      </c>
      <c r="AF337" s="2" t="s">
        <v>92</v>
      </c>
      <c r="AG337" s="2" t="s">
        <v>159</v>
      </c>
      <c r="AH337" s="2" t="s">
        <v>160</v>
      </c>
      <c r="AK337" s="2" t="s">
        <v>2085</v>
      </c>
      <c r="AN337" s="3">
        <v>1</v>
      </c>
      <c r="AO337" s="3">
        <v>1</v>
      </c>
      <c r="AP337" s="3">
        <v>1</v>
      </c>
      <c r="AQ337" s="3">
        <v>1</v>
      </c>
      <c r="AR337" s="3">
        <v>0</v>
      </c>
      <c r="AS337" s="3">
        <v>0</v>
      </c>
      <c r="AT337" s="3">
        <v>1</v>
      </c>
      <c r="AU337" s="3">
        <v>0</v>
      </c>
      <c r="AV337" s="3">
        <v>1</v>
      </c>
      <c r="AW337" s="3">
        <v>0</v>
      </c>
      <c r="AX337" s="3">
        <v>0</v>
      </c>
      <c r="AY337" s="3">
        <v>0</v>
      </c>
      <c r="AZ337" s="3">
        <v>1</v>
      </c>
      <c r="BA337" s="3">
        <v>0</v>
      </c>
      <c r="BB337" s="3">
        <v>0</v>
      </c>
      <c r="BC337" s="3">
        <v>1</v>
      </c>
      <c r="BD337" s="3">
        <v>0</v>
      </c>
      <c r="BE337" s="3">
        <v>0</v>
      </c>
      <c r="BG337" s="2" t="s">
        <v>139</v>
      </c>
      <c r="BH337" s="3">
        <v>2</v>
      </c>
      <c r="BJ337" s="2" t="s">
        <v>96</v>
      </c>
      <c r="BL337" s="2" t="s">
        <v>97</v>
      </c>
      <c r="BM337" s="2" t="s">
        <v>98</v>
      </c>
      <c r="BN337" s="2" t="s">
        <v>99</v>
      </c>
      <c r="BO337" s="2" t="s">
        <v>100</v>
      </c>
      <c r="BP337" s="2" t="s">
        <v>242</v>
      </c>
      <c r="BQ337" s="2" t="s">
        <v>102</v>
      </c>
      <c r="BR337" s="2" t="s">
        <v>103</v>
      </c>
      <c r="BS337" s="2" t="s">
        <v>127</v>
      </c>
      <c r="BT337" s="2" t="s">
        <v>1427</v>
      </c>
      <c r="BU337" s="2" t="s">
        <v>1428</v>
      </c>
      <c r="BV337" s="2" t="s">
        <v>150</v>
      </c>
      <c r="BW337" s="2" t="s">
        <v>151</v>
      </c>
      <c r="BX337" s="2" t="s">
        <v>139</v>
      </c>
      <c r="BY33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37" s="2">
        <f>IF(AND(Cases[[#This Row],[Priority Level]]&gt;=3,Cases[[#This Row],[System Role]]&lt;&gt;"Productive"),1,0)</f>
        <v>0</v>
      </c>
      <c r="CA337" s="2">
        <f>IFERROR(IF(Cases[[#This Row],[Days at Customer]]&gt;MAX(1,Cases[[#This Row],[Days at SAP]]*2),1,0),0)</f>
        <v>1</v>
      </c>
      <c r="CB337" s="2">
        <f>IF(AND(Cases[[#This Row],[Initial Component]]&lt;&gt;"",Cases[[#This Row],[Component]]&lt;&gt;"",Cases[[#This Row],[Initial Component]]&lt;&gt;Cases[[#This Row],[Component]]),1,0)</f>
        <v>1</v>
      </c>
      <c r="CC337" s="2">
        <f>IF(OR(Cases[[#This Row],[Is Reopened]]="X",Cases[[#This Row],[No. of Reopenings]]&gt;0),1,0)</f>
        <v>0</v>
      </c>
      <c r="CD337" s="2">
        <f>IF(Cases[[#This Row],[Confirmation Type]]="Automatic",1,0)</f>
        <v>1</v>
      </c>
      <c r="CE33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38" spans="1:83" x14ac:dyDescent="0.2">
      <c r="A338" s="1" t="s">
        <v>2086</v>
      </c>
      <c r="B338" s="2" t="s">
        <v>2087</v>
      </c>
      <c r="C338" s="2" t="s">
        <v>633</v>
      </c>
      <c r="D338" s="2" t="s">
        <v>238</v>
      </c>
      <c r="E338" s="3">
        <v>0.1</v>
      </c>
      <c r="F338" s="3">
        <v>22.48</v>
      </c>
      <c r="G338" s="2" t="s">
        <v>588</v>
      </c>
      <c r="H338" s="2" t="s">
        <v>113</v>
      </c>
      <c r="I338" s="3" t="s">
        <v>81</v>
      </c>
      <c r="J338" s="3">
        <v>126</v>
      </c>
      <c r="K338" s="2" t="s">
        <v>2088</v>
      </c>
      <c r="L338" s="4">
        <v>46026</v>
      </c>
      <c r="M338" s="4">
        <v>46024</v>
      </c>
      <c r="N338" s="2" t="s">
        <v>1334</v>
      </c>
      <c r="O338" s="2" t="s">
        <v>181</v>
      </c>
      <c r="P338" s="2" t="s">
        <v>1334</v>
      </c>
      <c r="Q338" s="2" t="s">
        <v>86</v>
      </c>
      <c r="R338" s="2" t="s">
        <v>635</v>
      </c>
      <c r="S338" s="4">
        <v>46001</v>
      </c>
      <c r="T338" s="2" t="s">
        <v>1804</v>
      </c>
      <c r="U338" s="2" t="s">
        <v>1805</v>
      </c>
      <c r="V338" s="2" t="s">
        <v>2037</v>
      </c>
      <c r="W338" s="2" t="s">
        <v>1806</v>
      </c>
      <c r="X338" s="2" t="s">
        <v>88</v>
      </c>
      <c r="Y338" s="3" t="s">
        <v>89</v>
      </c>
      <c r="Z338" s="3">
        <v>22.58</v>
      </c>
      <c r="AA338" s="2" t="s">
        <v>90</v>
      </c>
      <c r="AB338" s="2" t="s">
        <v>635</v>
      </c>
      <c r="AC338" s="2" t="s">
        <v>633</v>
      </c>
      <c r="AD338" t="str" cm="1">
        <f t="array" ref="AD33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338" s="2" t="s">
        <v>91</v>
      </c>
      <c r="AF338" s="2" t="s">
        <v>92</v>
      </c>
      <c r="AG338" s="2" t="s">
        <v>93</v>
      </c>
      <c r="AH338" s="2" t="s">
        <v>94</v>
      </c>
      <c r="AK338" s="2" t="s">
        <v>2089</v>
      </c>
      <c r="AN338" s="3">
        <v>1</v>
      </c>
      <c r="AO338" s="3">
        <v>1</v>
      </c>
      <c r="AP338" s="3">
        <v>1</v>
      </c>
      <c r="AQ338" s="3">
        <v>1</v>
      </c>
      <c r="AR338" s="3">
        <v>1</v>
      </c>
      <c r="AS338" s="3">
        <v>0</v>
      </c>
      <c r="AT338" s="3">
        <v>0</v>
      </c>
      <c r="AU338" s="3">
        <v>0</v>
      </c>
      <c r="AV338" s="3">
        <v>1</v>
      </c>
      <c r="AW338" s="3">
        <v>0</v>
      </c>
      <c r="AX338" s="3">
        <v>1</v>
      </c>
      <c r="AY338" s="3">
        <v>0</v>
      </c>
      <c r="AZ338" s="3">
        <v>0</v>
      </c>
      <c r="BA338" s="3">
        <v>0</v>
      </c>
      <c r="BB338" s="3">
        <v>0</v>
      </c>
      <c r="BC338" s="3">
        <v>1</v>
      </c>
      <c r="BD338" s="3">
        <v>0</v>
      </c>
      <c r="BE338" s="3">
        <v>0</v>
      </c>
      <c r="BG338" s="2" t="s">
        <v>91</v>
      </c>
      <c r="BH338" s="3">
        <v>3</v>
      </c>
      <c r="BJ338" s="2" t="s">
        <v>96</v>
      </c>
      <c r="BL338" s="2" t="s">
        <v>184</v>
      </c>
      <c r="BM338" s="2" t="s">
        <v>184</v>
      </c>
      <c r="BN338" s="2" t="s">
        <v>124</v>
      </c>
      <c r="BO338" s="2" t="s">
        <v>125</v>
      </c>
      <c r="BP338" s="2" t="s">
        <v>242</v>
      </c>
      <c r="BQ338" s="2" t="s">
        <v>124</v>
      </c>
      <c r="BR338" s="2" t="s">
        <v>126</v>
      </c>
      <c r="BS338" s="2" t="s">
        <v>104</v>
      </c>
      <c r="BT338" s="2" t="s">
        <v>185</v>
      </c>
      <c r="BU338" s="2" t="s">
        <v>968</v>
      </c>
      <c r="BV338" s="2" t="s">
        <v>150</v>
      </c>
      <c r="BW338" s="2" t="s">
        <v>151</v>
      </c>
      <c r="BX338" s="2" t="s">
        <v>91</v>
      </c>
      <c r="BY33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38" s="2">
        <f>IF(AND(Cases[[#This Row],[Priority Level]]&gt;=3,Cases[[#This Row],[System Role]]&lt;&gt;"Productive"),1,0)</f>
        <v>0</v>
      </c>
      <c r="CA338" s="2">
        <f>IFERROR(IF(Cases[[#This Row],[Days at Customer]]&gt;MAX(1,Cases[[#This Row],[Days at SAP]]*2),1,0),0)</f>
        <v>1</v>
      </c>
      <c r="CB338" s="2">
        <f>IF(AND(Cases[[#This Row],[Initial Component]]&lt;&gt;"",Cases[[#This Row],[Component]]&lt;&gt;"",Cases[[#This Row],[Initial Component]]&lt;&gt;Cases[[#This Row],[Component]]),1,0)</f>
        <v>0</v>
      </c>
      <c r="CC338" s="2">
        <f>IF(OR(Cases[[#This Row],[Is Reopened]]="X",Cases[[#This Row],[No. of Reopenings]]&gt;0),1,0)</f>
        <v>0</v>
      </c>
      <c r="CD338" s="2">
        <f>IF(Cases[[#This Row],[Confirmation Type]]="Automatic",1,0)</f>
        <v>1</v>
      </c>
      <c r="CE33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39" spans="1:83" x14ac:dyDescent="0.2">
      <c r="A339" s="1" t="s">
        <v>2090</v>
      </c>
      <c r="B339" s="2" t="s">
        <v>2091</v>
      </c>
      <c r="C339" s="2" t="s">
        <v>77</v>
      </c>
      <c r="D339" s="2" t="s">
        <v>78</v>
      </c>
      <c r="E339" s="3">
        <v>0.31</v>
      </c>
      <c r="F339" s="3">
        <v>5.7</v>
      </c>
      <c r="G339" s="2" t="s">
        <v>79</v>
      </c>
      <c r="H339" s="2" t="s">
        <v>178</v>
      </c>
      <c r="I339" s="3" t="s">
        <v>114</v>
      </c>
      <c r="J339" s="3">
        <v>126</v>
      </c>
      <c r="K339" s="2" t="s">
        <v>2092</v>
      </c>
      <c r="L339" s="4">
        <v>46012</v>
      </c>
      <c r="M339" s="4">
        <v>46007</v>
      </c>
      <c r="N339" s="2" t="s">
        <v>1804</v>
      </c>
      <c r="O339" s="2" t="s">
        <v>1805</v>
      </c>
      <c r="P339" s="2" t="s">
        <v>1930</v>
      </c>
      <c r="Q339" s="2" t="s">
        <v>1806</v>
      </c>
      <c r="R339" s="2" t="s">
        <v>87</v>
      </c>
      <c r="S339" s="4">
        <v>46001</v>
      </c>
      <c r="T339" s="2" t="s">
        <v>1804</v>
      </c>
      <c r="U339" s="2" t="s">
        <v>1805</v>
      </c>
      <c r="V339" s="2" t="s">
        <v>2037</v>
      </c>
      <c r="W339" s="2" t="s">
        <v>1806</v>
      </c>
      <c r="X339" s="2" t="s">
        <v>117</v>
      </c>
      <c r="Y339" s="3" t="s">
        <v>118</v>
      </c>
      <c r="Z339" s="3">
        <v>6.01</v>
      </c>
      <c r="AA339" s="2" t="s">
        <v>90</v>
      </c>
      <c r="AB339" s="2" t="s">
        <v>87</v>
      </c>
      <c r="AC339" s="2" t="s">
        <v>77</v>
      </c>
      <c r="AD339" t="str" cm="1">
        <f t="array" ref="AD33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339" s="2" t="s">
        <v>91</v>
      </c>
      <c r="AF339" s="2" t="s">
        <v>92</v>
      </c>
      <c r="AG339" s="2" t="s">
        <v>119</v>
      </c>
      <c r="AH339" s="2" t="s">
        <v>120</v>
      </c>
      <c r="AK339" s="2" t="s">
        <v>2093</v>
      </c>
      <c r="AN339" s="3">
        <v>1</v>
      </c>
      <c r="AO339" s="3">
        <v>1</v>
      </c>
      <c r="AP339" s="3">
        <v>1</v>
      </c>
      <c r="AQ339" s="3">
        <v>1</v>
      </c>
      <c r="AR339" s="3">
        <v>1</v>
      </c>
      <c r="AS339" s="3">
        <v>0</v>
      </c>
      <c r="AT339" s="3">
        <v>0</v>
      </c>
      <c r="AU339" s="3">
        <v>0</v>
      </c>
      <c r="AV339" s="3">
        <v>0</v>
      </c>
      <c r="AW339" s="3">
        <v>1</v>
      </c>
      <c r="AX339" s="3">
        <v>1</v>
      </c>
      <c r="AY339" s="3">
        <v>0</v>
      </c>
      <c r="AZ339" s="3">
        <v>0</v>
      </c>
      <c r="BA339" s="3">
        <v>1</v>
      </c>
      <c r="BB339" s="3">
        <v>0</v>
      </c>
      <c r="BC339" s="3">
        <v>0</v>
      </c>
      <c r="BD339" s="3">
        <v>0</v>
      </c>
      <c r="BE339" s="3">
        <v>0</v>
      </c>
      <c r="BG339" s="2" t="s">
        <v>91</v>
      </c>
      <c r="BH339" s="3">
        <v>3</v>
      </c>
      <c r="BJ339" s="2" t="s">
        <v>96</v>
      </c>
      <c r="BL339" s="2" t="s">
        <v>123</v>
      </c>
      <c r="BM339" s="2" t="s">
        <v>123</v>
      </c>
      <c r="BN339" s="2" t="s">
        <v>124</v>
      </c>
      <c r="BO339" s="2" t="s">
        <v>125</v>
      </c>
      <c r="BP339" s="2" t="s">
        <v>101</v>
      </c>
      <c r="BQ339" s="2" t="s">
        <v>124</v>
      </c>
      <c r="BR339" s="2" t="s">
        <v>126</v>
      </c>
      <c r="BS339" s="2" t="s">
        <v>127</v>
      </c>
      <c r="BT339" s="2" t="s">
        <v>199</v>
      </c>
      <c r="BU339" s="2" t="s">
        <v>200</v>
      </c>
      <c r="BV339" s="2" t="s">
        <v>166</v>
      </c>
      <c r="BW339" s="2" t="s">
        <v>167</v>
      </c>
      <c r="BX339" s="2" t="s">
        <v>91</v>
      </c>
      <c r="BY33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39" s="2">
        <f>IF(AND(Cases[[#This Row],[Priority Level]]&gt;=3,Cases[[#This Row],[System Role]]&lt;&gt;"Productive"),1,0)</f>
        <v>1</v>
      </c>
      <c r="CA339" s="2">
        <f>IFERROR(IF(Cases[[#This Row],[Days at Customer]]&gt;MAX(1,Cases[[#This Row],[Days at SAP]]*2),1,0),0)</f>
        <v>1</v>
      </c>
      <c r="CB339" s="2">
        <f>IF(AND(Cases[[#This Row],[Initial Component]]&lt;&gt;"",Cases[[#This Row],[Component]]&lt;&gt;"",Cases[[#This Row],[Initial Component]]&lt;&gt;Cases[[#This Row],[Component]]),1,0)</f>
        <v>0</v>
      </c>
      <c r="CC339" s="2">
        <f>IF(OR(Cases[[#This Row],[Is Reopened]]="X",Cases[[#This Row],[No. of Reopenings]]&gt;0),1,0)</f>
        <v>0</v>
      </c>
      <c r="CD339" s="2">
        <f>IF(Cases[[#This Row],[Confirmation Type]]="Automatic",1,0)</f>
        <v>0</v>
      </c>
      <c r="CE339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340" spans="1:83" x14ac:dyDescent="0.2">
      <c r="A340" s="1" t="s">
        <v>2094</v>
      </c>
      <c r="B340" s="2" t="s">
        <v>2095</v>
      </c>
      <c r="C340" s="2" t="s">
        <v>77</v>
      </c>
      <c r="D340" s="2" t="s">
        <v>78</v>
      </c>
      <c r="E340" s="3">
        <v>5.92</v>
      </c>
      <c r="F340" s="3">
        <v>0.09</v>
      </c>
      <c r="G340" s="2" t="s">
        <v>79</v>
      </c>
      <c r="H340" s="2" t="s">
        <v>178</v>
      </c>
      <c r="I340" s="3" t="s">
        <v>114</v>
      </c>
      <c r="J340" s="3">
        <v>126</v>
      </c>
      <c r="K340" s="2" t="s">
        <v>2096</v>
      </c>
      <c r="L340" s="4">
        <v>46012</v>
      </c>
      <c r="M340" s="4">
        <v>46007</v>
      </c>
      <c r="N340" s="2" t="s">
        <v>1804</v>
      </c>
      <c r="O340" s="2" t="s">
        <v>1805</v>
      </c>
      <c r="P340" s="2" t="s">
        <v>1930</v>
      </c>
      <c r="Q340" s="2" t="s">
        <v>1806</v>
      </c>
      <c r="R340" s="2" t="s">
        <v>87</v>
      </c>
      <c r="S340" s="4">
        <v>46001</v>
      </c>
      <c r="T340" s="2" t="s">
        <v>1804</v>
      </c>
      <c r="U340" s="2" t="s">
        <v>1805</v>
      </c>
      <c r="V340" s="2" t="s">
        <v>2037</v>
      </c>
      <c r="W340" s="2" t="s">
        <v>1806</v>
      </c>
      <c r="X340" s="2" t="s">
        <v>117</v>
      </c>
      <c r="Y340" s="3" t="s">
        <v>118</v>
      </c>
      <c r="Z340" s="3">
        <v>6</v>
      </c>
      <c r="AA340" s="2" t="s">
        <v>90</v>
      </c>
      <c r="AB340" s="2" t="s">
        <v>87</v>
      </c>
      <c r="AC340" s="2" t="s">
        <v>77</v>
      </c>
      <c r="AD340" t="str" cm="1">
        <f t="array" ref="AD34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340" s="2" t="s">
        <v>91</v>
      </c>
      <c r="AF340" s="2" t="s">
        <v>92</v>
      </c>
      <c r="AG340" s="2" t="s">
        <v>119</v>
      </c>
      <c r="AH340" s="2" t="s">
        <v>120</v>
      </c>
      <c r="AK340" s="2" t="s">
        <v>2097</v>
      </c>
      <c r="AN340" s="3">
        <v>1</v>
      </c>
      <c r="AO340" s="3">
        <v>1</v>
      </c>
      <c r="AP340" s="3">
        <v>1</v>
      </c>
      <c r="AQ340" s="3">
        <v>1</v>
      </c>
      <c r="AR340" s="3">
        <v>1</v>
      </c>
      <c r="AS340" s="3">
        <v>0</v>
      </c>
      <c r="AT340" s="3">
        <v>0</v>
      </c>
      <c r="AU340" s="3">
        <v>0</v>
      </c>
      <c r="AV340" s="3">
        <v>0</v>
      </c>
      <c r="AW340" s="3">
        <v>1</v>
      </c>
      <c r="AX340" s="3">
        <v>1</v>
      </c>
      <c r="AY340" s="3">
        <v>0</v>
      </c>
      <c r="AZ340" s="3">
        <v>0</v>
      </c>
      <c r="BA340" s="3">
        <v>1</v>
      </c>
      <c r="BB340" s="3">
        <v>0</v>
      </c>
      <c r="BC340" s="3">
        <v>0</v>
      </c>
      <c r="BD340" s="3">
        <v>0</v>
      </c>
      <c r="BE340" s="3">
        <v>0</v>
      </c>
      <c r="BG340" s="2" t="s">
        <v>91</v>
      </c>
      <c r="BH340" s="3">
        <v>3</v>
      </c>
      <c r="BJ340" s="2" t="s">
        <v>96</v>
      </c>
      <c r="BL340" s="2" t="s">
        <v>123</v>
      </c>
      <c r="BM340" s="2" t="s">
        <v>123</v>
      </c>
      <c r="BN340" s="2" t="s">
        <v>124</v>
      </c>
      <c r="BO340" s="2" t="s">
        <v>125</v>
      </c>
      <c r="BP340" s="2" t="s">
        <v>101</v>
      </c>
      <c r="BQ340" s="2" t="s">
        <v>124</v>
      </c>
      <c r="BR340" s="2" t="s">
        <v>126</v>
      </c>
      <c r="BS340" s="2" t="s">
        <v>127</v>
      </c>
      <c r="BT340" s="2" t="s">
        <v>199</v>
      </c>
      <c r="BU340" s="2" t="s">
        <v>200</v>
      </c>
      <c r="BV340" s="2" t="s">
        <v>166</v>
      </c>
      <c r="BW340" s="2" t="s">
        <v>167</v>
      </c>
      <c r="BX340" s="2" t="s">
        <v>91</v>
      </c>
      <c r="BY34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40" s="2">
        <f>IF(AND(Cases[[#This Row],[Priority Level]]&gt;=3,Cases[[#This Row],[System Role]]&lt;&gt;"Productive"),1,0)</f>
        <v>1</v>
      </c>
      <c r="CA340" s="2">
        <f>IFERROR(IF(Cases[[#This Row],[Days at Customer]]&gt;MAX(1,Cases[[#This Row],[Days at SAP]]*2),1,0),0)</f>
        <v>0</v>
      </c>
      <c r="CB340" s="2">
        <f>IF(AND(Cases[[#This Row],[Initial Component]]&lt;&gt;"",Cases[[#This Row],[Component]]&lt;&gt;"",Cases[[#This Row],[Initial Component]]&lt;&gt;Cases[[#This Row],[Component]]),1,0)</f>
        <v>0</v>
      </c>
      <c r="CC340" s="2">
        <f>IF(OR(Cases[[#This Row],[Is Reopened]]="X",Cases[[#This Row],[No. of Reopenings]]&gt;0),1,0)</f>
        <v>0</v>
      </c>
      <c r="CD340" s="2">
        <f>IF(Cases[[#This Row],[Confirmation Type]]="Automatic",1,0)</f>
        <v>0</v>
      </c>
      <c r="CE34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41" spans="1:83" x14ac:dyDescent="0.2">
      <c r="A341" s="1" t="s">
        <v>3347</v>
      </c>
      <c r="B341" s="2" t="s">
        <v>3348</v>
      </c>
      <c r="C341" s="2" t="s">
        <v>111</v>
      </c>
      <c r="D341" s="2" t="s">
        <v>238</v>
      </c>
      <c r="E341" s="3">
        <v>0</v>
      </c>
      <c r="F341" s="3">
        <v>27.37</v>
      </c>
      <c r="G341" s="2" t="s">
        <v>112</v>
      </c>
      <c r="H341" s="2" t="s">
        <v>113</v>
      </c>
      <c r="I341" s="3" t="s">
        <v>81</v>
      </c>
      <c r="J341" s="3">
        <v>203</v>
      </c>
      <c r="K341" s="2" t="s">
        <v>3349</v>
      </c>
      <c r="L341" s="4">
        <v>46047</v>
      </c>
      <c r="M341" s="4">
        <v>45952</v>
      </c>
      <c r="N341" s="2" t="s">
        <v>2727</v>
      </c>
      <c r="O341" s="2" t="s">
        <v>1805</v>
      </c>
      <c r="P341" s="2" t="s">
        <v>2887</v>
      </c>
      <c r="Q341" s="2" t="s">
        <v>1806</v>
      </c>
      <c r="R341" s="2" t="s">
        <v>116</v>
      </c>
      <c r="S341" s="4">
        <v>45924</v>
      </c>
      <c r="T341" s="2" t="s">
        <v>3264</v>
      </c>
      <c r="U341" s="2" t="s">
        <v>3265</v>
      </c>
      <c r="V341" s="2" t="s">
        <v>3296</v>
      </c>
      <c r="W341" s="2" t="s">
        <v>1806</v>
      </c>
      <c r="X341" s="2" t="s">
        <v>88</v>
      </c>
      <c r="Y341" s="3" t="s">
        <v>89</v>
      </c>
      <c r="Z341" s="3">
        <v>27.37</v>
      </c>
      <c r="AA341" s="2" t="s">
        <v>90</v>
      </c>
      <c r="AB341" s="2" t="s">
        <v>116</v>
      </c>
      <c r="AC341" s="2" t="s">
        <v>111</v>
      </c>
      <c r="AD341" t="str" cm="1">
        <f t="array" ref="AD34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341" s="2" t="s">
        <v>91</v>
      </c>
      <c r="AF341" s="2" t="s">
        <v>92</v>
      </c>
      <c r="AG341" s="2" t="s">
        <v>93</v>
      </c>
      <c r="AH341" s="2" t="s">
        <v>94</v>
      </c>
      <c r="AK341" s="2" t="s">
        <v>3350</v>
      </c>
      <c r="AN341" s="3">
        <v>1</v>
      </c>
      <c r="AO341" s="3">
        <v>0</v>
      </c>
      <c r="AP341" s="3">
        <v>1</v>
      </c>
      <c r="AQ341" s="3">
        <v>1</v>
      </c>
      <c r="AR341" s="3">
        <v>1</v>
      </c>
      <c r="AS341" s="3">
        <v>0</v>
      </c>
      <c r="AT341" s="3">
        <v>0</v>
      </c>
      <c r="AU341" s="3">
        <v>0</v>
      </c>
      <c r="AV341" s="3">
        <v>1</v>
      </c>
      <c r="AW341" s="3">
        <v>0</v>
      </c>
      <c r="AX341" s="3">
        <v>1</v>
      </c>
      <c r="AY341" s="3">
        <v>0</v>
      </c>
      <c r="AZ341" s="3">
        <v>0</v>
      </c>
      <c r="BA341" s="3">
        <v>0</v>
      </c>
      <c r="BB341" s="3">
        <v>0</v>
      </c>
      <c r="BC341" s="3">
        <v>1</v>
      </c>
      <c r="BD341" s="3">
        <v>0</v>
      </c>
      <c r="BE341" s="3">
        <v>0</v>
      </c>
      <c r="BG341" s="2" t="s">
        <v>91</v>
      </c>
      <c r="BH341" s="3">
        <v>3</v>
      </c>
      <c r="BI341" s="2" t="s">
        <v>122</v>
      </c>
      <c r="BJ341" s="2" t="s">
        <v>96</v>
      </c>
      <c r="BL341" s="2" t="s">
        <v>184</v>
      </c>
      <c r="BM341" s="2" t="s">
        <v>184</v>
      </c>
      <c r="BN341" s="2" t="s">
        <v>124</v>
      </c>
      <c r="BO341" s="2" t="s">
        <v>125</v>
      </c>
      <c r="BP341" s="2" t="s">
        <v>242</v>
      </c>
      <c r="BQ341" s="2" t="s">
        <v>124</v>
      </c>
      <c r="BR341" s="2" t="s">
        <v>126</v>
      </c>
      <c r="BS341" s="2" t="s">
        <v>127</v>
      </c>
      <c r="BT341" s="2" t="s">
        <v>185</v>
      </c>
      <c r="BU341" s="2" t="s">
        <v>186</v>
      </c>
      <c r="BV341" s="2" t="s">
        <v>150</v>
      </c>
      <c r="BW341" s="2" t="s">
        <v>151</v>
      </c>
      <c r="BX341" s="2" t="s">
        <v>91</v>
      </c>
      <c r="BY34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41" s="2">
        <f>IF(AND(Cases[[#This Row],[Priority Level]]&gt;=3,Cases[[#This Row],[System Role]]&lt;&gt;"Productive"),1,0)</f>
        <v>0</v>
      </c>
      <c r="CA341" s="2">
        <f>IFERROR(IF(Cases[[#This Row],[Days at Customer]]&gt;MAX(1,Cases[[#This Row],[Days at SAP]]*2),1,0),0)</f>
        <v>1</v>
      </c>
      <c r="CB341" s="2">
        <f>IF(AND(Cases[[#This Row],[Initial Component]]&lt;&gt;"",Cases[[#This Row],[Component]]&lt;&gt;"",Cases[[#This Row],[Initial Component]]&lt;&gt;Cases[[#This Row],[Component]]),1,0)</f>
        <v>0</v>
      </c>
      <c r="CC341" s="2">
        <f>IF(OR(Cases[[#This Row],[Is Reopened]]="X",Cases[[#This Row],[No. of Reopenings]]&gt;0),1,0)</f>
        <v>0</v>
      </c>
      <c r="CD341" s="2">
        <f>IF(Cases[[#This Row],[Confirmation Type]]="Automatic",1,0)</f>
        <v>1</v>
      </c>
      <c r="CE341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42" spans="1:83" x14ac:dyDescent="0.2">
      <c r="A342" s="1" t="s">
        <v>3451</v>
      </c>
      <c r="B342" s="2" t="s">
        <v>3452</v>
      </c>
      <c r="C342" s="2" t="s">
        <v>111</v>
      </c>
      <c r="D342" s="2" t="s">
        <v>238</v>
      </c>
      <c r="E342" s="3">
        <v>0</v>
      </c>
      <c r="F342" s="3">
        <v>33.47</v>
      </c>
      <c r="G342" s="2" t="s">
        <v>112</v>
      </c>
      <c r="H342" s="2" t="s">
        <v>113</v>
      </c>
      <c r="I342" s="3" t="s">
        <v>114</v>
      </c>
      <c r="J342" s="3">
        <v>209</v>
      </c>
      <c r="K342" s="2" t="s">
        <v>3453</v>
      </c>
      <c r="L342" s="4">
        <v>46047</v>
      </c>
      <c r="M342" s="4">
        <v>45952</v>
      </c>
      <c r="N342" s="2" t="s">
        <v>2727</v>
      </c>
      <c r="O342" s="2" t="s">
        <v>1805</v>
      </c>
      <c r="P342" s="2" t="s">
        <v>2887</v>
      </c>
      <c r="Q342" s="2" t="s">
        <v>1806</v>
      </c>
      <c r="R342" s="2" t="s">
        <v>116</v>
      </c>
      <c r="S342" s="4">
        <v>45918</v>
      </c>
      <c r="T342" s="2" t="s">
        <v>3264</v>
      </c>
      <c r="U342" s="2" t="s">
        <v>3265</v>
      </c>
      <c r="V342" s="2" t="s">
        <v>3423</v>
      </c>
      <c r="W342" s="2" t="s">
        <v>1806</v>
      </c>
      <c r="X342" s="2" t="s">
        <v>117</v>
      </c>
      <c r="Y342" s="3" t="s">
        <v>118</v>
      </c>
      <c r="Z342" s="3">
        <v>33.47</v>
      </c>
      <c r="AA342" s="2" t="s">
        <v>90</v>
      </c>
      <c r="AB342" s="2" t="s">
        <v>116</v>
      </c>
      <c r="AC342" s="2" t="s">
        <v>111</v>
      </c>
      <c r="AD342" t="str" cm="1">
        <f t="array" ref="AD34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342" s="2" t="s">
        <v>91</v>
      </c>
      <c r="AF342" s="2" t="s">
        <v>92</v>
      </c>
      <c r="AG342" s="2" t="s">
        <v>119</v>
      </c>
      <c r="AH342" s="2" t="s">
        <v>120</v>
      </c>
      <c r="AK342" s="2" t="s">
        <v>3454</v>
      </c>
      <c r="AN342" s="3">
        <v>1</v>
      </c>
      <c r="AO342" s="3">
        <v>0</v>
      </c>
      <c r="AP342" s="3">
        <v>1</v>
      </c>
      <c r="AQ342" s="3">
        <v>1</v>
      </c>
      <c r="AR342" s="3">
        <v>1</v>
      </c>
      <c r="AS342" s="3">
        <v>0</v>
      </c>
      <c r="AT342" s="3">
        <v>0</v>
      </c>
      <c r="AU342" s="3">
        <v>0</v>
      </c>
      <c r="AV342" s="3">
        <v>1</v>
      </c>
      <c r="AW342" s="3">
        <v>0</v>
      </c>
      <c r="AX342" s="3">
        <v>1</v>
      </c>
      <c r="AY342" s="3">
        <v>0</v>
      </c>
      <c r="AZ342" s="3">
        <v>0</v>
      </c>
      <c r="BA342" s="3">
        <v>0</v>
      </c>
      <c r="BB342" s="3">
        <v>0</v>
      </c>
      <c r="BC342" s="3">
        <v>1</v>
      </c>
      <c r="BD342" s="3">
        <v>0</v>
      </c>
      <c r="BE342" s="3">
        <v>0</v>
      </c>
      <c r="BG342" s="2" t="s">
        <v>91</v>
      </c>
      <c r="BH342" s="3">
        <v>3</v>
      </c>
      <c r="BI342" s="2" t="s">
        <v>122</v>
      </c>
      <c r="BJ342" s="2" t="s">
        <v>96</v>
      </c>
      <c r="BL342" s="2" t="s">
        <v>123</v>
      </c>
      <c r="BM342" s="2" t="s">
        <v>123</v>
      </c>
      <c r="BN342" s="2" t="s">
        <v>124</v>
      </c>
      <c r="BO342" s="2" t="s">
        <v>125</v>
      </c>
      <c r="BP342" s="2" t="s">
        <v>242</v>
      </c>
      <c r="BQ342" s="2" t="s">
        <v>124</v>
      </c>
      <c r="BR342" s="2" t="s">
        <v>126</v>
      </c>
      <c r="BS342" s="2" t="s">
        <v>127</v>
      </c>
      <c r="BT342" s="2" t="s">
        <v>207</v>
      </c>
      <c r="BU342" s="2" t="s">
        <v>208</v>
      </c>
      <c r="BV342" s="2" t="s">
        <v>150</v>
      </c>
      <c r="BW342" s="2" t="s">
        <v>151</v>
      </c>
      <c r="BX342" s="2" t="s">
        <v>91</v>
      </c>
      <c r="BY34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42" s="2">
        <f>IF(AND(Cases[[#This Row],[Priority Level]]&gt;=3,Cases[[#This Row],[System Role]]&lt;&gt;"Productive"),1,0)</f>
        <v>0</v>
      </c>
      <c r="CA342" s="2">
        <f>IFERROR(IF(Cases[[#This Row],[Days at Customer]]&gt;MAX(1,Cases[[#This Row],[Days at SAP]]*2),1,0),0)</f>
        <v>1</v>
      </c>
      <c r="CB342" s="2">
        <f>IF(AND(Cases[[#This Row],[Initial Component]]&lt;&gt;"",Cases[[#This Row],[Component]]&lt;&gt;"",Cases[[#This Row],[Initial Component]]&lt;&gt;Cases[[#This Row],[Component]]),1,0)</f>
        <v>0</v>
      </c>
      <c r="CC342" s="2">
        <f>IF(OR(Cases[[#This Row],[Is Reopened]]="X",Cases[[#This Row],[No. of Reopenings]]&gt;0),1,0)</f>
        <v>0</v>
      </c>
      <c r="CD342" s="2">
        <f>IF(Cases[[#This Row],[Confirmation Type]]="Automatic",1,0)</f>
        <v>1</v>
      </c>
      <c r="CE342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43" spans="1:83" x14ac:dyDescent="0.2">
      <c r="A343" s="1" t="s">
        <v>3889</v>
      </c>
      <c r="B343" s="2" t="s">
        <v>3890</v>
      </c>
      <c r="C343" s="2" t="s">
        <v>3891</v>
      </c>
      <c r="D343" s="2" t="s">
        <v>238</v>
      </c>
      <c r="E343" s="3">
        <v>27.02</v>
      </c>
      <c r="F343" s="3">
        <v>97.36</v>
      </c>
      <c r="G343" s="2" t="s">
        <v>79</v>
      </c>
      <c r="H343" s="2" t="s">
        <v>80</v>
      </c>
      <c r="I343" s="3" t="s">
        <v>114</v>
      </c>
      <c r="J343" s="3">
        <v>308</v>
      </c>
      <c r="K343" s="2" t="s">
        <v>3892</v>
      </c>
      <c r="L343" s="4">
        <v>46047</v>
      </c>
      <c r="M343" s="4">
        <v>45943</v>
      </c>
      <c r="N343" s="2" t="s">
        <v>2727</v>
      </c>
      <c r="O343" s="2" t="s">
        <v>1805</v>
      </c>
      <c r="P343" s="2" t="s">
        <v>2936</v>
      </c>
      <c r="Q343" s="2" t="s">
        <v>1806</v>
      </c>
      <c r="R343" s="2" t="s">
        <v>3893</v>
      </c>
      <c r="S343" s="4">
        <v>45819</v>
      </c>
      <c r="T343" s="2" t="s">
        <v>3867</v>
      </c>
      <c r="U343" s="2" t="s">
        <v>3868</v>
      </c>
      <c r="V343" s="2" t="s">
        <v>3887</v>
      </c>
      <c r="W343" s="2" t="s">
        <v>1806</v>
      </c>
      <c r="X343" s="2" t="s">
        <v>117</v>
      </c>
      <c r="Y343" s="3" t="s">
        <v>118</v>
      </c>
      <c r="Z343" s="3">
        <v>124.38</v>
      </c>
      <c r="AA343" s="2" t="s">
        <v>90</v>
      </c>
      <c r="AB343" s="2" t="s">
        <v>3894</v>
      </c>
      <c r="AC343" s="2" t="s">
        <v>3895</v>
      </c>
      <c r="AD343" t="str" cm="1">
        <f t="array" ref="AD34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343" s="2" t="s">
        <v>139</v>
      </c>
      <c r="AF343" s="2" t="s">
        <v>92</v>
      </c>
      <c r="AG343" s="2" t="s">
        <v>119</v>
      </c>
      <c r="AH343" s="2" t="s">
        <v>120</v>
      </c>
      <c r="AJ343" s="2" t="s">
        <v>122</v>
      </c>
      <c r="AK343" s="2" t="s">
        <v>3896</v>
      </c>
      <c r="AN343" s="3">
        <v>1</v>
      </c>
      <c r="AO343" s="3">
        <v>0</v>
      </c>
      <c r="AP343" s="3">
        <v>1</v>
      </c>
      <c r="AQ343" s="3">
        <v>1</v>
      </c>
      <c r="AR343" s="3">
        <v>0</v>
      </c>
      <c r="AS343" s="3">
        <v>0</v>
      </c>
      <c r="AT343" s="3">
        <v>1</v>
      </c>
      <c r="AU343" s="3">
        <v>0</v>
      </c>
      <c r="AV343" s="3">
        <v>1</v>
      </c>
      <c r="AW343" s="3">
        <v>0</v>
      </c>
      <c r="AX343" s="3">
        <v>0</v>
      </c>
      <c r="AY343" s="3">
        <v>0</v>
      </c>
      <c r="AZ343" s="3">
        <v>1</v>
      </c>
      <c r="BA343" s="3">
        <v>1</v>
      </c>
      <c r="BB343" s="3">
        <v>0</v>
      </c>
      <c r="BC343" s="3">
        <v>0</v>
      </c>
      <c r="BD343" s="3">
        <v>1</v>
      </c>
      <c r="BE343" s="3">
        <v>0</v>
      </c>
      <c r="BG343" s="2" t="s">
        <v>139</v>
      </c>
      <c r="BH343" s="3">
        <v>2</v>
      </c>
      <c r="BJ343" s="2" t="s">
        <v>96</v>
      </c>
      <c r="BL343" s="2" t="s">
        <v>123</v>
      </c>
      <c r="BM343" s="2" t="s">
        <v>123</v>
      </c>
      <c r="BN343" s="2" t="s">
        <v>124</v>
      </c>
      <c r="BO343" s="2" t="s">
        <v>125</v>
      </c>
      <c r="BP343" s="2" t="s">
        <v>242</v>
      </c>
      <c r="BQ343" s="2" t="s">
        <v>124</v>
      </c>
      <c r="BR343" s="2" t="s">
        <v>126</v>
      </c>
      <c r="BS343" s="2" t="s">
        <v>127</v>
      </c>
      <c r="BT343" s="2" t="s">
        <v>1395</v>
      </c>
      <c r="BU343" s="2" t="s">
        <v>1396</v>
      </c>
      <c r="BV343" s="2" t="s">
        <v>107</v>
      </c>
      <c r="BW343" s="2" t="s">
        <v>108</v>
      </c>
      <c r="BX343" s="2" t="s">
        <v>139</v>
      </c>
      <c r="BY34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43" s="2">
        <f>IF(AND(Cases[[#This Row],[Priority Level]]&gt;=3,Cases[[#This Row],[System Role]]&lt;&gt;"Productive"),1,0)</f>
        <v>0</v>
      </c>
      <c r="CA343" s="2">
        <f>IFERROR(IF(Cases[[#This Row],[Days at Customer]]&gt;MAX(1,Cases[[#This Row],[Days at SAP]]*2),1,0),0)</f>
        <v>1</v>
      </c>
      <c r="CB343" s="2">
        <f>IF(AND(Cases[[#This Row],[Initial Component]]&lt;&gt;"",Cases[[#This Row],[Component]]&lt;&gt;"",Cases[[#This Row],[Initial Component]]&lt;&gt;Cases[[#This Row],[Component]]),1,0)</f>
        <v>1</v>
      </c>
      <c r="CC343" s="2">
        <f>IF(OR(Cases[[#This Row],[Is Reopened]]="X",Cases[[#This Row],[No. of Reopenings]]&gt;0),1,0)</f>
        <v>1</v>
      </c>
      <c r="CD343" s="2">
        <f>IF(Cases[[#This Row],[Confirmation Type]]="Automatic",1,0)</f>
        <v>1</v>
      </c>
      <c r="CE343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344" spans="1:83" x14ac:dyDescent="0.2">
      <c r="A344" s="1" t="s">
        <v>2109</v>
      </c>
      <c r="B344" s="2" t="s">
        <v>2110</v>
      </c>
      <c r="C344" s="2" t="s">
        <v>77</v>
      </c>
      <c r="D344" s="2" t="s">
        <v>238</v>
      </c>
      <c r="E344" s="3">
        <v>6.18</v>
      </c>
      <c r="F344" s="3">
        <v>21.64</v>
      </c>
      <c r="G344" s="2" t="s">
        <v>79</v>
      </c>
      <c r="H344" s="2" t="s">
        <v>178</v>
      </c>
      <c r="I344" s="3" t="s">
        <v>114</v>
      </c>
      <c r="J344" s="3">
        <v>127</v>
      </c>
      <c r="K344" s="2" t="s">
        <v>2111</v>
      </c>
      <c r="L344" s="4">
        <v>46033</v>
      </c>
      <c r="M344" s="4">
        <v>46028</v>
      </c>
      <c r="N344" s="2" t="s">
        <v>1334</v>
      </c>
      <c r="O344" s="2" t="s">
        <v>181</v>
      </c>
      <c r="P344" s="2" t="s">
        <v>677</v>
      </c>
      <c r="Q344" s="2" t="s">
        <v>86</v>
      </c>
      <c r="R344" s="2" t="s">
        <v>87</v>
      </c>
      <c r="S344" s="4">
        <v>46000</v>
      </c>
      <c r="T344" s="2" t="s">
        <v>1804</v>
      </c>
      <c r="U344" s="2" t="s">
        <v>1805</v>
      </c>
      <c r="V344" s="2" t="s">
        <v>2037</v>
      </c>
      <c r="W344" s="2" t="s">
        <v>1806</v>
      </c>
      <c r="X344" s="2" t="s">
        <v>117</v>
      </c>
      <c r="Y344" s="3" t="s">
        <v>118</v>
      </c>
      <c r="Z344" s="3">
        <v>27.82</v>
      </c>
      <c r="AA344" s="2" t="s">
        <v>90</v>
      </c>
      <c r="AB344" s="2" t="s">
        <v>87</v>
      </c>
      <c r="AC344" s="2" t="s">
        <v>77</v>
      </c>
      <c r="AD344" t="str" cm="1">
        <f t="array" ref="AD34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344" s="2" t="s">
        <v>91</v>
      </c>
      <c r="AF344" s="2" t="s">
        <v>92</v>
      </c>
      <c r="AG344" s="2" t="s">
        <v>119</v>
      </c>
      <c r="AH344" s="2" t="s">
        <v>120</v>
      </c>
      <c r="AK344" s="2" t="s">
        <v>2112</v>
      </c>
      <c r="AN344" s="3">
        <v>1</v>
      </c>
      <c r="AO344" s="3">
        <v>1</v>
      </c>
      <c r="AP344" s="3">
        <v>1</v>
      </c>
      <c r="AQ344" s="3">
        <v>1</v>
      </c>
      <c r="AR344" s="3">
        <v>1</v>
      </c>
      <c r="AS344" s="3">
        <v>0</v>
      </c>
      <c r="AT344" s="3">
        <v>0</v>
      </c>
      <c r="AU344" s="3">
        <v>0</v>
      </c>
      <c r="AV344" s="3">
        <v>1</v>
      </c>
      <c r="AW344" s="3">
        <v>0</v>
      </c>
      <c r="AX344" s="3">
        <v>1</v>
      </c>
      <c r="AY344" s="3">
        <v>0</v>
      </c>
      <c r="AZ344" s="3">
        <v>0</v>
      </c>
      <c r="BA344" s="3">
        <v>1</v>
      </c>
      <c r="BB344" s="3">
        <v>0</v>
      </c>
      <c r="BC344" s="3">
        <v>0</v>
      </c>
      <c r="BD344" s="3">
        <v>0</v>
      </c>
      <c r="BE344" s="3">
        <v>0</v>
      </c>
      <c r="BG344" s="2" t="s">
        <v>91</v>
      </c>
      <c r="BH344" s="3">
        <v>3</v>
      </c>
      <c r="BJ344" s="2" t="s">
        <v>96</v>
      </c>
      <c r="BL344" s="2" t="s">
        <v>123</v>
      </c>
      <c r="BM344" s="2" t="s">
        <v>123</v>
      </c>
      <c r="BN344" s="2" t="s">
        <v>124</v>
      </c>
      <c r="BO344" s="2" t="s">
        <v>125</v>
      </c>
      <c r="BP344" s="2" t="s">
        <v>242</v>
      </c>
      <c r="BQ344" s="2" t="s">
        <v>124</v>
      </c>
      <c r="BR344" s="2" t="s">
        <v>126</v>
      </c>
      <c r="BS344" s="2" t="s">
        <v>127</v>
      </c>
      <c r="BT344" s="2" t="s">
        <v>199</v>
      </c>
      <c r="BU344" s="2" t="s">
        <v>200</v>
      </c>
      <c r="BV344" s="2" t="s">
        <v>166</v>
      </c>
      <c r="BW344" s="2" t="s">
        <v>167</v>
      </c>
      <c r="BX344" s="2" t="s">
        <v>91</v>
      </c>
      <c r="BY34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44" s="2">
        <f>IF(AND(Cases[[#This Row],[Priority Level]]&gt;=3,Cases[[#This Row],[System Role]]&lt;&gt;"Productive"),1,0)</f>
        <v>1</v>
      </c>
      <c r="CA344" s="2">
        <f>IFERROR(IF(Cases[[#This Row],[Days at Customer]]&gt;MAX(1,Cases[[#This Row],[Days at SAP]]*2),1,0),0)</f>
        <v>1</v>
      </c>
      <c r="CB344" s="2">
        <f>IF(AND(Cases[[#This Row],[Initial Component]]&lt;&gt;"",Cases[[#This Row],[Component]]&lt;&gt;"",Cases[[#This Row],[Initial Component]]&lt;&gt;Cases[[#This Row],[Component]]),1,0)</f>
        <v>0</v>
      </c>
      <c r="CC344" s="2">
        <f>IF(OR(Cases[[#This Row],[Is Reopened]]="X",Cases[[#This Row],[No. of Reopenings]]&gt;0),1,0)</f>
        <v>0</v>
      </c>
      <c r="CD344" s="2">
        <f>IF(Cases[[#This Row],[Confirmation Type]]="Automatic",1,0)</f>
        <v>1</v>
      </c>
      <c r="CE344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345" spans="1:83" x14ac:dyDescent="0.2">
      <c r="A345" s="1" t="s">
        <v>1669</v>
      </c>
      <c r="B345" s="2" t="s">
        <v>1670</v>
      </c>
      <c r="C345" s="2" t="s">
        <v>203</v>
      </c>
      <c r="D345" s="2" t="s">
        <v>238</v>
      </c>
      <c r="E345" s="3">
        <v>0</v>
      </c>
      <c r="F345" s="3">
        <v>21.57</v>
      </c>
      <c r="G345" s="2" t="s">
        <v>112</v>
      </c>
      <c r="H345" s="2" t="s">
        <v>113</v>
      </c>
      <c r="I345" s="3" t="s">
        <v>114</v>
      </c>
      <c r="J345" s="3">
        <v>96</v>
      </c>
      <c r="K345" s="2" t="s">
        <v>1671</v>
      </c>
      <c r="L345" s="4">
        <v>46054</v>
      </c>
      <c r="M345" s="4">
        <v>46053</v>
      </c>
      <c r="N345" s="2" t="s">
        <v>1334</v>
      </c>
      <c r="O345" s="2" t="s">
        <v>181</v>
      </c>
      <c r="P345" s="2" t="s">
        <v>1335</v>
      </c>
      <c r="Q345" s="2" t="s">
        <v>86</v>
      </c>
      <c r="R345" s="2" t="s">
        <v>205</v>
      </c>
      <c r="S345" s="4">
        <v>46031</v>
      </c>
      <c r="T345" s="2" t="s">
        <v>1334</v>
      </c>
      <c r="U345" s="2" t="s">
        <v>181</v>
      </c>
      <c r="V345" s="2" t="s">
        <v>677</v>
      </c>
      <c r="W345" s="2" t="s">
        <v>86</v>
      </c>
      <c r="X345" s="2" t="s">
        <v>117</v>
      </c>
      <c r="Y345" s="3" t="s">
        <v>118</v>
      </c>
      <c r="Z345" s="3">
        <v>21.57</v>
      </c>
      <c r="AA345" s="2" t="s">
        <v>90</v>
      </c>
      <c r="AB345" s="2" t="s">
        <v>205</v>
      </c>
      <c r="AC345" s="2" t="s">
        <v>203</v>
      </c>
      <c r="AD345" t="str" cm="1">
        <f t="array" ref="AD34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345" s="2" t="s">
        <v>139</v>
      </c>
      <c r="AF345" s="2" t="s">
        <v>92</v>
      </c>
      <c r="AG345" s="2" t="s">
        <v>119</v>
      </c>
      <c r="AH345" s="2" t="s">
        <v>120</v>
      </c>
      <c r="AK345" s="2" t="s">
        <v>1672</v>
      </c>
      <c r="AN345" s="3">
        <v>1</v>
      </c>
      <c r="AO345" s="3">
        <v>1</v>
      </c>
      <c r="AP345" s="3">
        <v>1</v>
      </c>
      <c r="AQ345" s="3">
        <v>1</v>
      </c>
      <c r="AR345" s="3">
        <v>0</v>
      </c>
      <c r="AS345" s="3">
        <v>0</v>
      </c>
      <c r="AT345" s="3">
        <v>1</v>
      </c>
      <c r="AU345" s="3">
        <v>0</v>
      </c>
      <c r="AV345" s="3">
        <v>1</v>
      </c>
      <c r="AW345" s="3">
        <v>0</v>
      </c>
      <c r="AX345" s="3">
        <v>0</v>
      </c>
      <c r="AY345" s="3">
        <v>0</v>
      </c>
      <c r="AZ345" s="3">
        <v>1</v>
      </c>
      <c r="BA345" s="3">
        <v>0</v>
      </c>
      <c r="BB345" s="3">
        <v>0</v>
      </c>
      <c r="BC345" s="3">
        <v>1</v>
      </c>
      <c r="BD345" s="3">
        <v>0</v>
      </c>
      <c r="BE345" s="3">
        <v>0</v>
      </c>
      <c r="BG345" s="2" t="s">
        <v>139</v>
      </c>
      <c r="BH345" s="3">
        <v>2</v>
      </c>
      <c r="BI345" s="2" t="s">
        <v>122</v>
      </c>
      <c r="BJ345" s="2" t="s">
        <v>96</v>
      </c>
      <c r="BL345" s="2" t="s">
        <v>123</v>
      </c>
      <c r="BM345" s="2" t="s">
        <v>123</v>
      </c>
      <c r="BN345" s="2" t="s">
        <v>124</v>
      </c>
      <c r="BO345" s="2" t="s">
        <v>125</v>
      </c>
      <c r="BP345" s="2" t="s">
        <v>242</v>
      </c>
      <c r="BQ345" s="2" t="s">
        <v>124</v>
      </c>
      <c r="BR345" s="2" t="s">
        <v>126</v>
      </c>
      <c r="BS345" s="2" t="s">
        <v>127</v>
      </c>
      <c r="BT345" s="2" t="s">
        <v>207</v>
      </c>
      <c r="BU345" s="2" t="s">
        <v>208</v>
      </c>
      <c r="BV345" s="2" t="s">
        <v>150</v>
      </c>
      <c r="BW345" s="2" t="s">
        <v>151</v>
      </c>
      <c r="BX345" s="2" t="s">
        <v>139</v>
      </c>
      <c r="BY34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45" s="2">
        <f>IF(AND(Cases[[#This Row],[Priority Level]]&gt;=3,Cases[[#This Row],[System Role]]&lt;&gt;"Productive"),1,0)</f>
        <v>0</v>
      </c>
      <c r="CA345" s="2">
        <f>IFERROR(IF(Cases[[#This Row],[Days at Customer]]&gt;MAX(1,Cases[[#This Row],[Days at SAP]]*2),1,0),0)</f>
        <v>1</v>
      </c>
      <c r="CB345" s="2">
        <f>IF(AND(Cases[[#This Row],[Initial Component]]&lt;&gt;"",Cases[[#This Row],[Component]]&lt;&gt;"",Cases[[#This Row],[Initial Component]]&lt;&gt;Cases[[#This Row],[Component]]),1,0)</f>
        <v>0</v>
      </c>
      <c r="CC345" s="2">
        <f>IF(OR(Cases[[#This Row],[Is Reopened]]="X",Cases[[#This Row],[No. of Reopenings]]&gt;0),1,0)</f>
        <v>0</v>
      </c>
      <c r="CD345" s="2">
        <f>IF(Cases[[#This Row],[Confirmation Type]]="Automatic",1,0)</f>
        <v>1</v>
      </c>
      <c r="CE345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46" spans="1:83" x14ac:dyDescent="0.2">
      <c r="A346" s="1" t="s">
        <v>2117</v>
      </c>
      <c r="B346" s="2" t="s">
        <v>2118</v>
      </c>
      <c r="C346" s="2" t="s">
        <v>2078</v>
      </c>
      <c r="D346" s="2" t="s">
        <v>78</v>
      </c>
      <c r="E346" s="3">
        <v>0.68</v>
      </c>
      <c r="F346" s="3">
        <v>0</v>
      </c>
      <c r="G346" s="2" t="s">
        <v>133</v>
      </c>
      <c r="H346" s="2" t="s">
        <v>134</v>
      </c>
      <c r="I346" s="3" t="s">
        <v>114</v>
      </c>
      <c r="J346" s="3">
        <v>127</v>
      </c>
      <c r="K346" s="2" t="s">
        <v>2119</v>
      </c>
      <c r="L346" s="4">
        <v>46009</v>
      </c>
      <c r="M346" s="4">
        <v>46001</v>
      </c>
      <c r="N346" s="2" t="s">
        <v>1804</v>
      </c>
      <c r="O346" s="2" t="s">
        <v>1805</v>
      </c>
      <c r="P346" s="2" t="s">
        <v>2037</v>
      </c>
      <c r="Q346" s="2" t="s">
        <v>1806</v>
      </c>
      <c r="R346" s="2" t="s">
        <v>1383</v>
      </c>
      <c r="S346" s="4">
        <v>46000</v>
      </c>
      <c r="T346" s="2" t="s">
        <v>1804</v>
      </c>
      <c r="U346" s="2" t="s">
        <v>1805</v>
      </c>
      <c r="V346" s="2" t="s">
        <v>2037</v>
      </c>
      <c r="W346" s="2" t="s">
        <v>1806</v>
      </c>
      <c r="X346" s="2" t="s">
        <v>117</v>
      </c>
      <c r="Y346" s="3" t="s">
        <v>118</v>
      </c>
      <c r="Z346" s="3">
        <v>0.68</v>
      </c>
      <c r="AA346" s="2" t="s">
        <v>90</v>
      </c>
      <c r="AB346" s="2" t="s">
        <v>1383</v>
      </c>
      <c r="AC346" s="2" t="s">
        <v>2078</v>
      </c>
      <c r="AD346" t="str" cm="1">
        <f t="array" ref="AD34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346" s="2" t="s">
        <v>139</v>
      </c>
      <c r="AF346" s="2" t="s">
        <v>92</v>
      </c>
      <c r="AG346" s="2" t="s">
        <v>119</v>
      </c>
      <c r="AH346" s="2" t="s">
        <v>120</v>
      </c>
      <c r="AK346" s="2" t="s">
        <v>2120</v>
      </c>
      <c r="AN346" s="3">
        <v>1</v>
      </c>
      <c r="AO346" s="3">
        <v>1</v>
      </c>
      <c r="AP346" s="3">
        <v>1</v>
      </c>
      <c r="AQ346" s="3">
        <v>1</v>
      </c>
      <c r="AR346" s="3">
        <v>0</v>
      </c>
      <c r="AS346" s="3">
        <v>0</v>
      </c>
      <c r="AT346" s="3">
        <v>1</v>
      </c>
      <c r="AU346" s="3">
        <v>0</v>
      </c>
      <c r="AV346" s="3">
        <v>0</v>
      </c>
      <c r="AW346" s="3">
        <v>1</v>
      </c>
      <c r="AX346" s="3">
        <v>0</v>
      </c>
      <c r="AY346" s="3">
        <v>0</v>
      </c>
      <c r="AZ346" s="3">
        <v>1</v>
      </c>
      <c r="BA346" s="3">
        <v>0</v>
      </c>
      <c r="BB346" s="3">
        <v>0</v>
      </c>
      <c r="BC346" s="3">
        <v>1</v>
      </c>
      <c r="BD346" s="3">
        <v>0</v>
      </c>
      <c r="BE346" s="3">
        <v>0</v>
      </c>
      <c r="BG346" s="2" t="s">
        <v>139</v>
      </c>
      <c r="BH346" s="3">
        <v>2</v>
      </c>
      <c r="BJ346" s="2" t="s">
        <v>96</v>
      </c>
      <c r="BL346" s="2" t="s">
        <v>123</v>
      </c>
      <c r="BM346" s="2" t="s">
        <v>123</v>
      </c>
      <c r="BN346" s="2" t="s">
        <v>124</v>
      </c>
      <c r="BO346" s="2" t="s">
        <v>125</v>
      </c>
      <c r="BP346" s="2" t="s">
        <v>101</v>
      </c>
      <c r="BQ346" s="2" t="s">
        <v>124</v>
      </c>
      <c r="BR346" s="2" t="s">
        <v>126</v>
      </c>
      <c r="BS346" s="2" t="s">
        <v>127</v>
      </c>
      <c r="BT346" s="2" t="s">
        <v>207</v>
      </c>
      <c r="BU346" s="2" t="s">
        <v>208</v>
      </c>
      <c r="BV346" s="2" t="s">
        <v>150</v>
      </c>
      <c r="BW346" s="2" t="s">
        <v>151</v>
      </c>
      <c r="BX346" s="2" t="s">
        <v>139</v>
      </c>
      <c r="BY34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46" s="2">
        <f>IF(AND(Cases[[#This Row],[Priority Level]]&gt;=3,Cases[[#This Row],[System Role]]&lt;&gt;"Productive"),1,0)</f>
        <v>0</v>
      </c>
      <c r="CA346" s="2">
        <f>IFERROR(IF(Cases[[#This Row],[Days at Customer]]&gt;MAX(1,Cases[[#This Row],[Days at SAP]]*2),1,0),0)</f>
        <v>0</v>
      </c>
      <c r="CB346" s="2">
        <f>IF(AND(Cases[[#This Row],[Initial Component]]&lt;&gt;"",Cases[[#This Row],[Component]]&lt;&gt;"",Cases[[#This Row],[Initial Component]]&lt;&gt;Cases[[#This Row],[Component]]),1,0)</f>
        <v>0</v>
      </c>
      <c r="CC346" s="2">
        <f>IF(OR(Cases[[#This Row],[Is Reopened]]="X",Cases[[#This Row],[No. of Reopenings]]&gt;0),1,0)</f>
        <v>0</v>
      </c>
      <c r="CD346" s="2">
        <f>IF(Cases[[#This Row],[Confirmation Type]]="Automatic",1,0)</f>
        <v>0</v>
      </c>
      <c r="CE346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347" spans="1:83" x14ac:dyDescent="0.2">
      <c r="A347" s="1" t="s">
        <v>2121</v>
      </c>
      <c r="B347" s="2" t="s">
        <v>2122</v>
      </c>
      <c r="C347" s="2" t="s">
        <v>2123</v>
      </c>
      <c r="D347" s="2" t="s">
        <v>238</v>
      </c>
      <c r="E347" s="3">
        <v>9.0299999999999994</v>
      </c>
      <c r="F347" s="3">
        <v>41.33</v>
      </c>
      <c r="G347" s="2" t="s">
        <v>79</v>
      </c>
      <c r="H347" s="2" t="s">
        <v>80</v>
      </c>
      <c r="I347" s="3" t="s">
        <v>114</v>
      </c>
      <c r="J347" s="3">
        <v>127</v>
      </c>
      <c r="K347" s="2" t="s">
        <v>2124</v>
      </c>
      <c r="L347" s="4">
        <v>46054</v>
      </c>
      <c r="M347" s="4">
        <v>46051</v>
      </c>
      <c r="N347" s="2" t="s">
        <v>1334</v>
      </c>
      <c r="O347" s="2" t="s">
        <v>181</v>
      </c>
      <c r="P347" s="2" t="s">
        <v>1335</v>
      </c>
      <c r="Q347" s="2" t="s">
        <v>86</v>
      </c>
      <c r="R347" s="2" t="s">
        <v>2125</v>
      </c>
      <c r="S347" s="4">
        <v>46000</v>
      </c>
      <c r="T347" s="2" t="s">
        <v>1804</v>
      </c>
      <c r="U347" s="2" t="s">
        <v>1805</v>
      </c>
      <c r="V347" s="2" t="s">
        <v>2037</v>
      </c>
      <c r="W347" s="2" t="s">
        <v>1806</v>
      </c>
      <c r="X347" s="2" t="s">
        <v>117</v>
      </c>
      <c r="Y347" s="3" t="s">
        <v>118</v>
      </c>
      <c r="Z347" s="3">
        <v>50.36</v>
      </c>
      <c r="AA347" s="2" t="s">
        <v>90</v>
      </c>
      <c r="AB347" s="2" t="s">
        <v>2125</v>
      </c>
      <c r="AC347" s="2" t="s">
        <v>2123</v>
      </c>
      <c r="AD347" t="str" cm="1">
        <f t="array" ref="AD34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347" s="2" t="s">
        <v>139</v>
      </c>
      <c r="AF347" s="2" t="s">
        <v>92</v>
      </c>
      <c r="AG347" s="2" t="s">
        <v>553</v>
      </c>
      <c r="AH347" s="2" t="s">
        <v>554</v>
      </c>
      <c r="AK347" s="2" t="s">
        <v>2126</v>
      </c>
      <c r="AN347" s="3">
        <v>1</v>
      </c>
      <c r="AO347" s="3">
        <v>1</v>
      </c>
      <c r="AP347" s="3">
        <v>1</v>
      </c>
      <c r="AQ347" s="3">
        <v>1</v>
      </c>
      <c r="AR347" s="3">
        <v>1</v>
      </c>
      <c r="AS347" s="3">
        <v>0</v>
      </c>
      <c r="AT347" s="3">
        <v>0</v>
      </c>
      <c r="AU347" s="3">
        <v>0</v>
      </c>
      <c r="AV347" s="3">
        <v>1</v>
      </c>
      <c r="AW347" s="3">
        <v>0</v>
      </c>
      <c r="AX347" s="3">
        <v>1</v>
      </c>
      <c r="AY347" s="3">
        <v>0</v>
      </c>
      <c r="AZ347" s="3">
        <v>0</v>
      </c>
      <c r="BA347" s="3">
        <v>0</v>
      </c>
      <c r="BB347" s="3">
        <v>0</v>
      </c>
      <c r="BC347" s="3">
        <v>1</v>
      </c>
      <c r="BD347" s="3">
        <v>0</v>
      </c>
      <c r="BE347" s="3">
        <v>0</v>
      </c>
      <c r="BG347" s="2" t="s">
        <v>91</v>
      </c>
      <c r="BH347" s="3">
        <v>3</v>
      </c>
      <c r="BJ347" s="2" t="s">
        <v>96</v>
      </c>
      <c r="BL347" s="2" t="s">
        <v>556</v>
      </c>
      <c r="BM347" s="2" t="s">
        <v>557</v>
      </c>
      <c r="BN347" s="2" t="s">
        <v>99</v>
      </c>
      <c r="BO347" s="2" t="s">
        <v>100</v>
      </c>
      <c r="BP347" s="2" t="s">
        <v>242</v>
      </c>
      <c r="BQ347" s="2" t="s">
        <v>102</v>
      </c>
      <c r="BR347" s="2" t="s">
        <v>103</v>
      </c>
      <c r="BS347" s="2" t="s">
        <v>127</v>
      </c>
      <c r="BT347" s="2" t="s">
        <v>1171</v>
      </c>
      <c r="BU347" s="2" t="s">
        <v>1172</v>
      </c>
      <c r="BV347" s="2" t="s">
        <v>150</v>
      </c>
      <c r="BW347" s="2" t="s">
        <v>151</v>
      </c>
      <c r="BX347" s="2" t="s">
        <v>91</v>
      </c>
      <c r="BY34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47" s="2">
        <f>IF(AND(Cases[[#This Row],[Priority Level]]&gt;=3,Cases[[#This Row],[System Role]]&lt;&gt;"Productive"),1,0)</f>
        <v>0</v>
      </c>
      <c r="CA347" s="2">
        <f>IFERROR(IF(Cases[[#This Row],[Days at Customer]]&gt;MAX(1,Cases[[#This Row],[Days at SAP]]*2),1,0),0)</f>
        <v>1</v>
      </c>
      <c r="CB347" s="2">
        <f>IF(AND(Cases[[#This Row],[Initial Component]]&lt;&gt;"",Cases[[#This Row],[Component]]&lt;&gt;"",Cases[[#This Row],[Initial Component]]&lt;&gt;Cases[[#This Row],[Component]]),1,0)</f>
        <v>0</v>
      </c>
      <c r="CC347" s="2">
        <f>IF(OR(Cases[[#This Row],[Is Reopened]]="X",Cases[[#This Row],[No. of Reopenings]]&gt;0),1,0)</f>
        <v>0</v>
      </c>
      <c r="CD347" s="2">
        <f>IF(Cases[[#This Row],[Confirmation Type]]="Automatic",1,0)</f>
        <v>1</v>
      </c>
      <c r="CE347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48" spans="1:83" x14ac:dyDescent="0.2">
      <c r="A348" s="1" t="s">
        <v>1736</v>
      </c>
      <c r="B348" s="2" t="s">
        <v>1737</v>
      </c>
      <c r="C348" s="2" t="s">
        <v>203</v>
      </c>
      <c r="D348" s="2" t="s">
        <v>238</v>
      </c>
      <c r="E348" s="3">
        <v>0</v>
      </c>
      <c r="F348" s="3">
        <v>21.42</v>
      </c>
      <c r="G348" s="2" t="s">
        <v>112</v>
      </c>
      <c r="H348" s="2" t="s">
        <v>113</v>
      </c>
      <c r="I348" s="3" t="s">
        <v>114</v>
      </c>
      <c r="J348" s="3">
        <v>98</v>
      </c>
      <c r="K348" s="2" t="s">
        <v>1738</v>
      </c>
      <c r="L348" s="4">
        <v>46054</v>
      </c>
      <c r="M348" s="4">
        <v>46051</v>
      </c>
      <c r="N348" s="2" t="s">
        <v>1334</v>
      </c>
      <c r="O348" s="2" t="s">
        <v>181</v>
      </c>
      <c r="P348" s="2" t="s">
        <v>1335</v>
      </c>
      <c r="Q348" s="2" t="s">
        <v>86</v>
      </c>
      <c r="R348" s="2" t="s">
        <v>205</v>
      </c>
      <c r="S348" s="4">
        <v>46029</v>
      </c>
      <c r="T348" s="2" t="s">
        <v>1334</v>
      </c>
      <c r="U348" s="2" t="s">
        <v>181</v>
      </c>
      <c r="V348" s="2" t="s">
        <v>677</v>
      </c>
      <c r="W348" s="2" t="s">
        <v>86</v>
      </c>
      <c r="X348" s="2" t="s">
        <v>117</v>
      </c>
      <c r="Y348" s="3" t="s">
        <v>118</v>
      </c>
      <c r="Z348" s="3">
        <v>21.42</v>
      </c>
      <c r="AA348" s="2" t="s">
        <v>90</v>
      </c>
      <c r="AB348" s="2" t="s">
        <v>205</v>
      </c>
      <c r="AC348" s="2" t="s">
        <v>203</v>
      </c>
      <c r="AD348" t="str" cm="1">
        <f t="array" ref="AD34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348" s="2" t="s">
        <v>139</v>
      </c>
      <c r="AF348" s="2" t="s">
        <v>92</v>
      </c>
      <c r="AG348" s="2" t="s">
        <v>119</v>
      </c>
      <c r="AH348" s="2" t="s">
        <v>120</v>
      </c>
      <c r="AK348" s="2" t="s">
        <v>1739</v>
      </c>
      <c r="AN348" s="3">
        <v>1</v>
      </c>
      <c r="AO348" s="3">
        <v>1</v>
      </c>
      <c r="AP348" s="3">
        <v>1</v>
      </c>
      <c r="AQ348" s="3">
        <v>1</v>
      </c>
      <c r="AR348" s="3">
        <v>0</v>
      </c>
      <c r="AS348" s="3">
        <v>0</v>
      </c>
      <c r="AT348" s="3">
        <v>1</v>
      </c>
      <c r="AU348" s="3">
        <v>0</v>
      </c>
      <c r="AV348" s="3">
        <v>1</v>
      </c>
      <c r="AW348" s="3">
        <v>0</v>
      </c>
      <c r="AX348" s="3">
        <v>0</v>
      </c>
      <c r="AY348" s="3">
        <v>0</v>
      </c>
      <c r="AZ348" s="3">
        <v>1</v>
      </c>
      <c r="BA348" s="3">
        <v>0</v>
      </c>
      <c r="BB348" s="3">
        <v>0</v>
      </c>
      <c r="BC348" s="3">
        <v>1</v>
      </c>
      <c r="BD348" s="3">
        <v>0</v>
      </c>
      <c r="BE348" s="3">
        <v>0</v>
      </c>
      <c r="BG348" s="2" t="s">
        <v>139</v>
      </c>
      <c r="BH348" s="3">
        <v>2</v>
      </c>
      <c r="BI348" s="2" t="s">
        <v>122</v>
      </c>
      <c r="BJ348" s="2" t="s">
        <v>96</v>
      </c>
      <c r="BL348" s="2" t="s">
        <v>123</v>
      </c>
      <c r="BM348" s="2" t="s">
        <v>123</v>
      </c>
      <c r="BN348" s="2" t="s">
        <v>124</v>
      </c>
      <c r="BO348" s="2" t="s">
        <v>125</v>
      </c>
      <c r="BP348" s="2" t="s">
        <v>242</v>
      </c>
      <c r="BQ348" s="2" t="s">
        <v>124</v>
      </c>
      <c r="BR348" s="2" t="s">
        <v>126</v>
      </c>
      <c r="BS348" s="2" t="s">
        <v>127</v>
      </c>
      <c r="BT348" s="2" t="s">
        <v>207</v>
      </c>
      <c r="BU348" s="2" t="s">
        <v>208</v>
      </c>
      <c r="BV348" s="2" t="s">
        <v>150</v>
      </c>
      <c r="BW348" s="2" t="s">
        <v>151</v>
      </c>
      <c r="BX348" s="2" t="s">
        <v>139</v>
      </c>
      <c r="BY34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48" s="2">
        <f>IF(AND(Cases[[#This Row],[Priority Level]]&gt;=3,Cases[[#This Row],[System Role]]&lt;&gt;"Productive"),1,0)</f>
        <v>0</v>
      </c>
      <c r="CA348" s="2">
        <f>IFERROR(IF(Cases[[#This Row],[Days at Customer]]&gt;MAX(1,Cases[[#This Row],[Days at SAP]]*2),1,0),0)</f>
        <v>1</v>
      </c>
      <c r="CB348" s="2">
        <f>IF(AND(Cases[[#This Row],[Initial Component]]&lt;&gt;"",Cases[[#This Row],[Component]]&lt;&gt;"",Cases[[#This Row],[Initial Component]]&lt;&gt;Cases[[#This Row],[Component]]),1,0)</f>
        <v>0</v>
      </c>
      <c r="CC348" s="2">
        <f>IF(OR(Cases[[#This Row],[Is Reopened]]="X",Cases[[#This Row],[No. of Reopenings]]&gt;0),1,0)</f>
        <v>0</v>
      </c>
      <c r="CD348" s="2">
        <f>IF(Cases[[#This Row],[Confirmation Type]]="Automatic",1,0)</f>
        <v>1</v>
      </c>
      <c r="CE34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49" spans="1:83" x14ac:dyDescent="0.2">
      <c r="A349" s="1" t="s">
        <v>2131</v>
      </c>
      <c r="B349" s="2" t="s">
        <v>2132</v>
      </c>
      <c r="C349" s="2" t="s">
        <v>1635</v>
      </c>
      <c r="D349" s="2" t="s">
        <v>238</v>
      </c>
      <c r="E349" s="3">
        <v>45.58</v>
      </c>
      <c r="F349" s="3">
        <v>38.22</v>
      </c>
      <c r="G349" s="2" t="s">
        <v>133</v>
      </c>
      <c r="H349" s="2" t="s">
        <v>324</v>
      </c>
      <c r="I349" s="3" t="s">
        <v>114</v>
      </c>
      <c r="J349" s="3">
        <v>127</v>
      </c>
      <c r="K349" s="2" t="s">
        <v>2133</v>
      </c>
      <c r="L349" s="4">
        <v>46089</v>
      </c>
      <c r="M349" s="4">
        <v>46084</v>
      </c>
      <c r="N349" s="2" t="s">
        <v>180</v>
      </c>
      <c r="O349" s="2" t="s">
        <v>181</v>
      </c>
      <c r="P349" s="2" t="s">
        <v>526</v>
      </c>
      <c r="Q349" s="2" t="s">
        <v>86</v>
      </c>
      <c r="R349" s="2" t="s">
        <v>1637</v>
      </c>
      <c r="S349" s="4">
        <v>46000</v>
      </c>
      <c r="T349" s="2" t="s">
        <v>1804</v>
      </c>
      <c r="U349" s="2" t="s">
        <v>1805</v>
      </c>
      <c r="V349" s="2" t="s">
        <v>2037</v>
      </c>
      <c r="W349" s="2" t="s">
        <v>1806</v>
      </c>
      <c r="X349" s="2" t="s">
        <v>117</v>
      </c>
      <c r="Y349" s="3" t="s">
        <v>118</v>
      </c>
      <c r="Z349" s="3">
        <v>83.8</v>
      </c>
      <c r="AA349" s="2" t="s">
        <v>90</v>
      </c>
      <c r="AB349" s="2" t="s">
        <v>1637</v>
      </c>
      <c r="AC349" s="2" t="s">
        <v>1635</v>
      </c>
      <c r="AD349" t="str" cm="1">
        <f t="array" ref="AD34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349" s="2" t="s">
        <v>139</v>
      </c>
      <c r="AF349" s="2" t="s">
        <v>92</v>
      </c>
      <c r="AG349" s="2" t="s">
        <v>119</v>
      </c>
      <c r="AH349" s="2" t="s">
        <v>120</v>
      </c>
      <c r="AK349" s="2" t="s">
        <v>2134</v>
      </c>
      <c r="AN349" s="3">
        <v>1</v>
      </c>
      <c r="AO349" s="3">
        <v>1</v>
      </c>
      <c r="AP349" s="3">
        <v>1</v>
      </c>
      <c r="AQ349" s="3">
        <v>1</v>
      </c>
      <c r="AR349" s="3">
        <v>1</v>
      </c>
      <c r="AS349" s="3">
        <v>0</v>
      </c>
      <c r="AT349" s="3">
        <v>0</v>
      </c>
      <c r="AU349" s="3">
        <v>0</v>
      </c>
      <c r="AV349" s="3">
        <v>1</v>
      </c>
      <c r="AW349" s="3">
        <v>0</v>
      </c>
      <c r="AX349" s="3">
        <v>1</v>
      </c>
      <c r="AY349" s="3">
        <v>0</v>
      </c>
      <c r="AZ349" s="3">
        <v>0</v>
      </c>
      <c r="BA349" s="3">
        <v>0</v>
      </c>
      <c r="BB349" s="3">
        <v>0</v>
      </c>
      <c r="BC349" s="3">
        <v>1</v>
      </c>
      <c r="BD349" s="3">
        <v>0</v>
      </c>
      <c r="BE349" s="3">
        <v>0</v>
      </c>
      <c r="BG349" s="2" t="s">
        <v>91</v>
      </c>
      <c r="BH349" s="3">
        <v>3</v>
      </c>
      <c r="BJ349" s="2" t="s">
        <v>96</v>
      </c>
      <c r="BL349" s="2" t="s">
        <v>123</v>
      </c>
      <c r="BM349" s="2" t="s">
        <v>123</v>
      </c>
      <c r="BN349" s="2" t="s">
        <v>124</v>
      </c>
      <c r="BO349" s="2" t="s">
        <v>125</v>
      </c>
      <c r="BP349" s="2" t="s">
        <v>242</v>
      </c>
      <c r="BQ349" s="2" t="s">
        <v>124</v>
      </c>
      <c r="BR349" s="2" t="s">
        <v>126</v>
      </c>
      <c r="BS349" s="2" t="s">
        <v>127</v>
      </c>
      <c r="BT349" s="2" t="s">
        <v>207</v>
      </c>
      <c r="BU349" s="2" t="s">
        <v>208</v>
      </c>
      <c r="BV349" s="2" t="s">
        <v>150</v>
      </c>
      <c r="BW349" s="2" t="s">
        <v>151</v>
      </c>
      <c r="BX349" s="2" t="s">
        <v>91</v>
      </c>
      <c r="BY34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49" s="2">
        <f>IF(AND(Cases[[#This Row],[Priority Level]]&gt;=3,Cases[[#This Row],[System Role]]&lt;&gt;"Productive"),1,0)</f>
        <v>0</v>
      </c>
      <c r="CA349" s="2">
        <f>IFERROR(IF(Cases[[#This Row],[Days at Customer]]&gt;MAX(1,Cases[[#This Row],[Days at SAP]]*2),1,0),0)</f>
        <v>0</v>
      </c>
      <c r="CB349" s="2">
        <f>IF(AND(Cases[[#This Row],[Initial Component]]&lt;&gt;"",Cases[[#This Row],[Component]]&lt;&gt;"",Cases[[#This Row],[Initial Component]]&lt;&gt;Cases[[#This Row],[Component]]),1,0)</f>
        <v>0</v>
      </c>
      <c r="CC349" s="2">
        <f>IF(OR(Cases[[#This Row],[Is Reopened]]="X",Cases[[#This Row],[No. of Reopenings]]&gt;0),1,0)</f>
        <v>0</v>
      </c>
      <c r="CD349" s="2">
        <f>IF(Cases[[#This Row],[Confirmation Type]]="Automatic",1,0)</f>
        <v>1</v>
      </c>
      <c r="CE349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350" spans="1:83" x14ac:dyDescent="0.2">
      <c r="A350" s="1" t="s">
        <v>2135</v>
      </c>
      <c r="B350" s="2" t="s">
        <v>2136</v>
      </c>
      <c r="C350" s="2" t="s">
        <v>2137</v>
      </c>
      <c r="D350" s="2" t="s">
        <v>238</v>
      </c>
      <c r="E350" s="3">
        <v>1.19</v>
      </c>
      <c r="F350" s="3">
        <v>21.39</v>
      </c>
      <c r="G350" s="2" t="s">
        <v>79</v>
      </c>
      <c r="H350" s="2" t="s">
        <v>80</v>
      </c>
      <c r="I350" s="3" t="s">
        <v>81</v>
      </c>
      <c r="J350" s="3">
        <v>128</v>
      </c>
      <c r="K350" s="2" t="s">
        <v>2138</v>
      </c>
      <c r="L350" s="4">
        <v>46026</v>
      </c>
      <c r="M350" s="4">
        <v>46021</v>
      </c>
      <c r="N350" s="2" t="s">
        <v>1804</v>
      </c>
      <c r="O350" s="2" t="s">
        <v>1805</v>
      </c>
      <c r="P350" s="2" t="s">
        <v>1334</v>
      </c>
      <c r="Q350" s="2" t="s">
        <v>1806</v>
      </c>
      <c r="R350" s="2" t="s">
        <v>2139</v>
      </c>
      <c r="S350" s="4">
        <v>45999</v>
      </c>
      <c r="T350" s="2" t="s">
        <v>1804</v>
      </c>
      <c r="U350" s="2" t="s">
        <v>1805</v>
      </c>
      <c r="V350" s="2" t="s">
        <v>2037</v>
      </c>
      <c r="W350" s="2" t="s">
        <v>1806</v>
      </c>
      <c r="X350" s="2" t="s">
        <v>88</v>
      </c>
      <c r="Y350" s="3" t="s">
        <v>89</v>
      </c>
      <c r="Z350" s="3">
        <v>22.58</v>
      </c>
      <c r="AA350" s="2" t="s">
        <v>90</v>
      </c>
      <c r="AB350" s="2" t="s">
        <v>2139</v>
      </c>
      <c r="AC350" s="2" t="s">
        <v>2137</v>
      </c>
      <c r="AD350" t="str" cm="1">
        <f t="array" ref="AD35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350" s="2" t="s">
        <v>139</v>
      </c>
      <c r="AF350" s="2" t="s">
        <v>92</v>
      </c>
      <c r="AG350" s="2" t="s">
        <v>93</v>
      </c>
      <c r="AH350" s="2" t="s">
        <v>94</v>
      </c>
      <c r="AJ350" s="2" t="s">
        <v>122</v>
      </c>
      <c r="AK350" s="2" t="s">
        <v>2140</v>
      </c>
      <c r="AN350" s="3">
        <v>1</v>
      </c>
      <c r="AO350" s="3">
        <v>1</v>
      </c>
      <c r="AP350" s="3">
        <v>1</v>
      </c>
      <c r="AQ350" s="3">
        <v>1</v>
      </c>
      <c r="AR350" s="3">
        <v>0</v>
      </c>
      <c r="AS350" s="3">
        <v>0</v>
      </c>
      <c r="AT350" s="3">
        <v>1</v>
      </c>
      <c r="AU350" s="3">
        <v>0</v>
      </c>
      <c r="AV350" s="3">
        <v>1</v>
      </c>
      <c r="AW350" s="3">
        <v>0</v>
      </c>
      <c r="AX350" s="3">
        <v>0</v>
      </c>
      <c r="AY350" s="3">
        <v>0</v>
      </c>
      <c r="AZ350" s="3">
        <v>1</v>
      </c>
      <c r="BA350" s="3">
        <v>0</v>
      </c>
      <c r="BB350" s="3">
        <v>0</v>
      </c>
      <c r="BC350" s="3">
        <v>1</v>
      </c>
      <c r="BD350" s="3">
        <v>1</v>
      </c>
      <c r="BE350" s="3">
        <v>0</v>
      </c>
      <c r="BG350" s="2" t="s">
        <v>139</v>
      </c>
      <c r="BH350" s="3">
        <v>2</v>
      </c>
      <c r="BJ350" s="2" t="s">
        <v>96</v>
      </c>
      <c r="BL350" s="2" t="s">
        <v>184</v>
      </c>
      <c r="BM350" s="2" t="s">
        <v>184</v>
      </c>
      <c r="BN350" s="2" t="s">
        <v>124</v>
      </c>
      <c r="BO350" s="2" t="s">
        <v>125</v>
      </c>
      <c r="BP350" s="2" t="s">
        <v>242</v>
      </c>
      <c r="BQ350" s="2" t="s">
        <v>124</v>
      </c>
      <c r="BR350" s="2" t="s">
        <v>126</v>
      </c>
      <c r="BS350" s="2" t="s">
        <v>127</v>
      </c>
      <c r="BT350" s="2" t="s">
        <v>185</v>
      </c>
      <c r="BU350" s="2" t="s">
        <v>186</v>
      </c>
      <c r="BV350" s="2" t="s">
        <v>150</v>
      </c>
      <c r="BW350" s="2" t="s">
        <v>151</v>
      </c>
      <c r="BX350" s="2" t="s">
        <v>139</v>
      </c>
      <c r="BY35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50" s="2">
        <f>IF(AND(Cases[[#This Row],[Priority Level]]&gt;=3,Cases[[#This Row],[System Role]]&lt;&gt;"Productive"),1,0)</f>
        <v>0</v>
      </c>
      <c r="CA350" s="2">
        <f>IFERROR(IF(Cases[[#This Row],[Days at Customer]]&gt;MAX(1,Cases[[#This Row],[Days at SAP]]*2),1,0),0)</f>
        <v>1</v>
      </c>
      <c r="CB350" s="2">
        <f>IF(AND(Cases[[#This Row],[Initial Component]]&lt;&gt;"",Cases[[#This Row],[Component]]&lt;&gt;"",Cases[[#This Row],[Initial Component]]&lt;&gt;Cases[[#This Row],[Component]]),1,0)</f>
        <v>0</v>
      </c>
      <c r="CC350" s="2">
        <f>IF(OR(Cases[[#This Row],[Is Reopened]]="X",Cases[[#This Row],[No. of Reopenings]]&gt;0),1,0)</f>
        <v>1</v>
      </c>
      <c r="CD350" s="2">
        <f>IF(Cases[[#This Row],[Confirmation Type]]="Automatic",1,0)</f>
        <v>1</v>
      </c>
      <c r="CE35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51" spans="1:83" x14ac:dyDescent="0.2">
      <c r="A351" s="1" t="s">
        <v>2141</v>
      </c>
      <c r="B351" s="2" t="s">
        <v>2142</v>
      </c>
      <c r="C351" s="2" t="s">
        <v>1534</v>
      </c>
      <c r="D351" s="2" t="s">
        <v>238</v>
      </c>
      <c r="E351" s="3">
        <v>0.35</v>
      </c>
      <c r="F351" s="3">
        <v>22.23</v>
      </c>
      <c r="G351" s="2" t="s">
        <v>79</v>
      </c>
      <c r="H351" s="2" t="s">
        <v>155</v>
      </c>
      <c r="I351" s="3" t="s">
        <v>114</v>
      </c>
      <c r="J351" s="3">
        <v>128</v>
      </c>
      <c r="K351" s="2" t="s">
        <v>2143</v>
      </c>
      <c r="L351" s="4">
        <v>46026</v>
      </c>
      <c r="M351" s="4">
        <v>46022</v>
      </c>
      <c r="N351" s="2" t="s">
        <v>1804</v>
      </c>
      <c r="O351" s="2" t="s">
        <v>1805</v>
      </c>
      <c r="P351" s="2" t="s">
        <v>1334</v>
      </c>
      <c r="Q351" s="2" t="s">
        <v>1806</v>
      </c>
      <c r="R351" s="2" t="s">
        <v>1536</v>
      </c>
      <c r="S351" s="4">
        <v>45999</v>
      </c>
      <c r="T351" s="2" t="s">
        <v>1804</v>
      </c>
      <c r="U351" s="2" t="s">
        <v>1805</v>
      </c>
      <c r="V351" s="2" t="s">
        <v>2037</v>
      </c>
      <c r="W351" s="2" t="s">
        <v>1806</v>
      </c>
      <c r="X351" s="2" t="s">
        <v>117</v>
      </c>
      <c r="Y351" s="3" t="s">
        <v>118</v>
      </c>
      <c r="Z351" s="3">
        <v>22.57</v>
      </c>
      <c r="AA351" s="2" t="s">
        <v>138</v>
      </c>
      <c r="AB351" s="2" t="s">
        <v>443</v>
      </c>
      <c r="AC351" s="2" t="s">
        <v>444</v>
      </c>
      <c r="AD351" t="str" cm="1">
        <f t="array" ref="AD35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351" s="2" t="s">
        <v>91</v>
      </c>
      <c r="AF351" s="2" t="s">
        <v>92</v>
      </c>
      <c r="AG351" s="2" t="s">
        <v>274</v>
      </c>
      <c r="AH351" s="2" t="s">
        <v>275</v>
      </c>
      <c r="AJ351" s="2" t="s">
        <v>122</v>
      </c>
      <c r="AK351" s="2" t="s">
        <v>2144</v>
      </c>
      <c r="AN351" s="3">
        <v>1</v>
      </c>
      <c r="AO351" s="3">
        <v>1</v>
      </c>
      <c r="AP351" s="3">
        <v>1</v>
      </c>
      <c r="AQ351" s="3">
        <v>1</v>
      </c>
      <c r="AR351" s="3">
        <v>1</v>
      </c>
      <c r="AS351" s="3">
        <v>0</v>
      </c>
      <c r="AT351" s="3">
        <v>0</v>
      </c>
      <c r="AU351" s="3">
        <v>0</v>
      </c>
      <c r="AV351" s="3">
        <v>1</v>
      </c>
      <c r="AW351" s="3">
        <v>0</v>
      </c>
      <c r="AX351" s="3">
        <v>1</v>
      </c>
      <c r="AY351" s="3">
        <v>0</v>
      </c>
      <c r="AZ351" s="3">
        <v>0</v>
      </c>
      <c r="BA351" s="3">
        <v>1</v>
      </c>
      <c r="BB351" s="3">
        <v>0</v>
      </c>
      <c r="BC351" s="3">
        <v>0</v>
      </c>
      <c r="BD351" s="3">
        <v>1</v>
      </c>
      <c r="BE351" s="3">
        <v>0</v>
      </c>
      <c r="BG351" s="2" t="s">
        <v>91</v>
      </c>
      <c r="BH351" s="3">
        <v>3</v>
      </c>
      <c r="BJ351" s="2" t="s">
        <v>96</v>
      </c>
      <c r="BL351" s="2" t="s">
        <v>446</v>
      </c>
      <c r="BM351" s="2" t="s">
        <v>447</v>
      </c>
      <c r="BN351" s="2" t="s">
        <v>279</v>
      </c>
      <c r="BO351" s="2" t="s">
        <v>280</v>
      </c>
      <c r="BP351" s="2" t="s">
        <v>242</v>
      </c>
      <c r="BQ351" s="2" t="s">
        <v>448</v>
      </c>
      <c r="BR351" s="2" t="s">
        <v>449</v>
      </c>
      <c r="BS351" s="2" t="s">
        <v>450</v>
      </c>
      <c r="BT351" s="2" t="s">
        <v>1030</v>
      </c>
      <c r="BU351" s="2" t="s">
        <v>1031</v>
      </c>
      <c r="BV351" s="2" t="s">
        <v>166</v>
      </c>
      <c r="BW351" s="2" t="s">
        <v>167</v>
      </c>
      <c r="BX351" s="2" t="s">
        <v>91</v>
      </c>
      <c r="BY35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51" s="2">
        <f>IF(AND(Cases[[#This Row],[Priority Level]]&gt;=3,Cases[[#This Row],[System Role]]&lt;&gt;"Productive"),1,0)</f>
        <v>1</v>
      </c>
      <c r="CA351" s="2">
        <f>IFERROR(IF(Cases[[#This Row],[Days at Customer]]&gt;MAX(1,Cases[[#This Row],[Days at SAP]]*2),1,0),0)</f>
        <v>1</v>
      </c>
      <c r="CB351" s="2">
        <f>IF(AND(Cases[[#This Row],[Initial Component]]&lt;&gt;"",Cases[[#This Row],[Component]]&lt;&gt;"",Cases[[#This Row],[Initial Component]]&lt;&gt;Cases[[#This Row],[Component]]),1,0)</f>
        <v>1</v>
      </c>
      <c r="CC351" s="2">
        <f>IF(OR(Cases[[#This Row],[Is Reopened]]="X",Cases[[#This Row],[No. of Reopenings]]&gt;0),1,0)</f>
        <v>1</v>
      </c>
      <c r="CD351" s="2">
        <f>IF(Cases[[#This Row],[Confirmation Type]]="Automatic",1,0)</f>
        <v>1</v>
      </c>
      <c r="CE351" s="2">
        <f>Cases[[#This Row],[Flag_HowToOrConsulting]]+Cases[[#This Row],[Flag_PriorityInflation]]+Cases[[#This Row],[Flag_CustomerDelay]]+Cases[[#This Row],[Flag_ComponentMismatch]]+Cases[[#This Row],[Flag_Reopened]]</f>
        <v>5</v>
      </c>
    </row>
    <row r="352" spans="1:83" x14ac:dyDescent="0.2">
      <c r="A352" s="1" t="s">
        <v>2145</v>
      </c>
      <c r="B352" s="2" t="s">
        <v>2146</v>
      </c>
      <c r="C352" s="2" t="s">
        <v>2147</v>
      </c>
      <c r="D352" s="2" t="s">
        <v>238</v>
      </c>
      <c r="E352" s="3">
        <v>0.81</v>
      </c>
      <c r="F352" s="3">
        <v>21.66</v>
      </c>
      <c r="G352" s="2" t="s">
        <v>79</v>
      </c>
      <c r="H352" s="2" t="s">
        <v>178</v>
      </c>
      <c r="I352" s="3" t="s">
        <v>114</v>
      </c>
      <c r="J352" s="3">
        <v>128</v>
      </c>
      <c r="K352" s="2" t="s">
        <v>2148</v>
      </c>
      <c r="L352" s="4">
        <v>46026</v>
      </c>
      <c r="M352" s="4">
        <v>46022</v>
      </c>
      <c r="N352" s="2" t="s">
        <v>1804</v>
      </c>
      <c r="O352" s="2" t="s">
        <v>1805</v>
      </c>
      <c r="P352" s="2" t="s">
        <v>1334</v>
      </c>
      <c r="Q352" s="2" t="s">
        <v>1806</v>
      </c>
      <c r="R352" s="2" t="s">
        <v>2149</v>
      </c>
      <c r="S352" s="4">
        <v>45999</v>
      </c>
      <c r="T352" s="2" t="s">
        <v>1804</v>
      </c>
      <c r="U352" s="2" t="s">
        <v>1805</v>
      </c>
      <c r="V352" s="2" t="s">
        <v>2037</v>
      </c>
      <c r="W352" s="2" t="s">
        <v>1806</v>
      </c>
      <c r="X352" s="2" t="s">
        <v>117</v>
      </c>
      <c r="Y352" s="3" t="s">
        <v>118</v>
      </c>
      <c r="Z352" s="3">
        <v>22.47</v>
      </c>
      <c r="AA352" s="2" t="s">
        <v>90</v>
      </c>
      <c r="AB352" s="2" t="s">
        <v>2149</v>
      </c>
      <c r="AC352" s="2" t="s">
        <v>2147</v>
      </c>
      <c r="AD352" t="str" cm="1">
        <f t="array" ref="AD35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352" s="2" t="s">
        <v>91</v>
      </c>
      <c r="AF352" s="2" t="s">
        <v>92</v>
      </c>
      <c r="AG352" s="2" t="s">
        <v>119</v>
      </c>
      <c r="AH352" s="2" t="s">
        <v>120</v>
      </c>
      <c r="AK352" s="2" t="s">
        <v>2150</v>
      </c>
      <c r="AN352" s="3">
        <v>1</v>
      </c>
      <c r="AO352" s="3">
        <v>1</v>
      </c>
      <c r="AP352" s="3">
        <v>1</v>
      </c>
      <c r="AQ352" s="3">
        <v>1</v>
      </c>
      <c r="AR352" s="3">
        <v>1</v>
      </c>
      <c r="AS352" s="3">
        <v>0</v>
      </c>
      <c r="AT352" s="3">
        <v>0</v>
      </c>
      <c r="AU352" s="3">
        <v>0</v>
      </c>
      <c r="AV352" s="3">
        <v>1</v>
      </c>
      <c r="AW352" s="3">
        <v>0</v>
      </c>
      <c r="AX352" s="3">
        <v>1</v>
      </c>
      <c r="AY352" s="3">
        <v>0</v>
      </c>
      <c r="AZ352" s="3">
        <v>0</v>
      </c>
      <c r="BA352" s="3">
        <v>0</v>
      </c>
      <c r="BB352" s="3">
        <v>0</v>
      </c>
      <c r="BC352" s="3">
        <v>1</v>
      </c>
      <c r="BD352" s="3">
        <v>0</v>
      </c>
      <c r="BE352" s="3">
        <v>0</v>
      </c>
      <c r="BG352" s="2" t="s">
        <v>91</v>
      </c>
      <c r="BH352" s="3">
        <v>3</v>
      </c>
      <c r="BJ352" s="2" t="s">
        <v>96</v>
      </c>
      <c r="BL352" s="2" t="s">
        <v>123</v>
      </c>
      <c r="BM352" s="2" t="s">
        <v>123</v>
      </c>
      <c r="BN352" s="2" t="s">
        <v>124</v>
      </c>
      <c r="BO352" s="2" t="s">
        <v>125</v>
      </c>
      <c r="BP352" s="2" t="s">
        <v>242</v>
      </c>
      <c r="BQ352" s="2" t="s">
        <v>124</v>
      </c>
      <c r="BR352" s="2" t="s">
        <v>126</v>
      </c>
      <c r="BS352" s="2" t="s">
        <v>127</v>
      </c>
      <c r="BT352" s="2" t="s">
        <v>420</v>
      </c>
      <c r="BU352" s="2" t="s">
        <v>421</v>
      </c>
      <c r="BV352" s="2" t="s">
        <v>150</v>
      </c>
      <c r="BW352" s="2" t="s">
        <v>151</v>
      </c>
      <c r="BX352" s="2" t="s">
        <v>91</v>
      </c>
      <c r="BY35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52" s="2">
        <f>IF(AND(Cases[[#This Row],[Priority Level]]&gt;=3,Cases[[#This Row],[System Role]]&lt;&gt;"Productive"),1,0)</f>
        <v>0</v>
      </c>
      <c r="CA352" s="2">
        <f>IFERROR(IF(Cases[[#This Row],[Days at Customer]]&gt;MAX(1,Cases[[#This Row],[Days at SAP]]*2),1,0),0)</f>
        <v>1</v>
      </c>
      <c r="CB352" s="2">
        <f>IF(AND(Cases[[#This Row],[Initial Component]]&lt;&gt;"",Cases[[#This Row],[Component]]&lt;&gt;"",Cases[[#This Row],[Initial Component]]&lt;&gt;Cases[[#This Row],[Component]]),1,0)</f>
        <v>0</v>
      </c>
      <c r="CC352" s="2">
        <f>IF(OR(Cases[[#This Row],[Is Reopened]]="X",Cases[[#This Row],[No. of Reopenings]]&gt;0),1,0)</f>
        <v>0</v>
      </c>
      <c r="CD352" s="2">
        <f>IF(Cases[[#This Row],[Confirmation Type]]="Automatic",1,0)</f>
        <v>1</v>
      </c>
      <c r="CE352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53" spans="1:83" x14ac:dyDescent="0.2">
      <c r="A353" s="1" t="s">
        <v>2151</v>
      </c>
      <c r="B353" s="2" t="s">
        <v>2152</v>
      </c>
      <c r="C353" s="2" t="s">
        <v>655</v>
      </c>
      <c r="D353" s="2" t="s">
        <v>238</v>
      </c>
      <c r="E353" s="3">
        <v>1.38</v>
      </c>
      <c r="F353" s="3">
        <v>21.88</v>
      </c>
      <c r="G353" s="2" t="s">
        <v>79</v>
      </c>
      <c r="H353" s="2" t="s">
        <v>80</v>
      </c>
      <c r="I353" s="3" t="s">
        <v>114</v>
      </c>
      <c r="J353" s="3">
        <v>128</v>
      </c>
      <c r="K353" s="2" t="s">
        <v>2153</v>
      </c>
      <c r="L353" s="4">
        <v>46033</v>
      </c>
      <c r="M353" s="4">
        <v>46022</v>
      </c>
      <c r="N353" s="2" t="s">
        <v>1804</v>
      </c>
      <c r="O353" s="2" t="s">
        <v>1805</v>
      </c>
      <c r="P353" s="2" t="s">
        <v>1334</v>
      </c>
      <c r="Q353" s="2" t="s">
        <v>1806</v>
      </c>
      <c r="R353" s="2" t="s">
        <v>657</v>
      </c>
      <c r="S353" s="4">
        <v>45999</v>
      </c>
      <c r="T353" s="2" t="s">
        <v>1804</v>
      </c>
      <c r="U353" s="2" t="s">
        <v>1805</v>
      </c>
      <c r="V353" s="2" t="s">
        <v>2037</v>
      </c>
      <c r="W353" s="2" t="s">
        <v>1806</v>
      </c>
      <c r="X353" s="2" t="s">
        <v>117</v>
      </c>
      <c r="Y353" s="3" t="s">
        <v>118</v>
      </c>
      <c r="Z353" s="3">
        <v>23.26</v>
      </c>
      <c r="AA353" s="2" t="s">
        <v>90</v>
      </c>
      <c r="AB353" s="2" t="s">
        <v>657</v>
      </c>
      <c r="AC353" s="2" t="s">
        <v>655</v>
      </c>
      <c r="AD353" t="str" cm="1">
        <f t="array" ref="AD35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353" s="2" t="s">
        <v>91</v>
      </c>
      <c r="AF353" s="2" t="s">
        <v>92</v>
      </c>
      <c r="AG353" s="2" t="s">
        <v>159</v>
      </c>
      <c r="AH353" s="2" t="s">
        <v>160</v>
      </c>
      <c r="AK353" s="2" t="s">
        <v>2154</v>
      </c>
      <c r="AN353" s="3">
        <v>1</v>
      </c>
      <c r="AO353" s="3">
        <v>1</v>
      </c>
      <c r="AP353" s="3">
        <v>1</v>
      </c>
      <c r="AQ353" s="3">
        <v>1</v>
      </c>
      <c r="AR353" s="3">
        <v>1</v>
      </c>
      <c r="AS353" s="3">
        <v>0</v>
      </c>
      <c r="AT353" s="3">
        <v>0</v>
      </c>
      <c r="AU353" s="3">
        <v>0</v>
      </c>
      <c r="AV353" s="3">
        <v>1</v>
      </c>
      <c r="AW353" s="3">
        <v>0</v>
      </c>
      <c r="AX353" s="3">
        <v>1</v>
      </c>
      <c r="AY353" s="3">
        <v>0</v>
      </c>
      <c r="AZ353" s="3">
        <v>0</v>
      </c>
      <c r="BA353" s="3">
        <v>1</v>
      </c>
      <c r="BB353" s="3">
        <v>0</v>
      </c>
      <c r="BC353" s="3">
        <v>0</v>
      </c>
      <c r="BD353" s="3">
        <v>0</v>
      </c>
      <c r="BE353" s="3">
        <v>0</v>
      </c>
      <c r="BG353" s="2" t="s">
        <v>91</v>
      </c>
      <c r="BH353" s="3">
        <v>3</v>
      </c>
      <c r="BJ353" s="2" t="s">
        <v>96</v>
      </c>
      <c r="BL353" s="2" t="s">
        <v>97</v>
      </c>
      <c r="BM353" s="2" t="s">
        <v>98</v>
      </c>
      <c r="BN353" s="2" t="s">
        <v>99</v>
      </c>
      <c r="BO353" s="2" t="s">
        <v>100</v>
      </c>
      <c r="BP353" s="2" t="s">
        <v>242</v>
      </c>
      <c r="BQ353" s="2" t="s">
        <v>102</v>
      </c>
      <c r="BR353" s="2" t="s">
        <v>103</v>
      </c>
      <c r="BS353" s="2" t="s">
        <v>713</v>
      </c>
      <c r="BT353" s="2" t="s">
        <v>1799</v>
      </c>
      <c r="BU353" s="2" t="s">
        <v>1800</v>
      </c>
      <c r="BV353" s="2" t="s">
        <v>107</v>
      </c>
      <c r="BW353" s="2" t="s">
        <v>108</v>
      </c>
      <c r="BX353" s="2" t="s">
        <v>91</v>
      </c>
      <c r="BY35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53" s="2">
        <f>IF(AND(Cases[[#This Row],[Priority Level]]&gt;=3,Cases[[#This Row],[System Role]]&lt;&gt;"Productive"),1,0)</f>
        <v>1</v>
      </c>
      <c r="CA353" s="2">
        <f>IFERROR(IF(Cases[[#This Row],[Days at Customer]]&gt;MAX(1,Cases[[#This Row],[Days at SAP]]*2),1,0),0)</f>
        <v>1</v>
      </c>
      <c r="CB353" s="2">
        <f>IF(AND(Cases[[#This Row],[Initial Component]]&lt;&gt;"",Cases[[#This Row],[Component]]&lt;&gt;"",Cases[[#This Row],[Initial Component]]&lt;&gt;Cases[[#This Row],[Component]]),1,0)</f>
        <v>0</v>
      </c>
      <c r="CC353" s="2">
        <f>IF(OR(Cases[[#This Row],[Is Reopened]]="X",Cases[[#This Row],[No. of Reopenings]]&gt;0),1,0)</f>
        <v>0</v>
      </c>
      <c r="CD353" s="2">
        <f>IF(Cases[[#This Row],[Confirmation Type]]="Automatic",1,0)</f>
        <v>1</v>
      </c>
      <c r="CE353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54" spans="1:83" x14ac:dyDescent="0.2">
      <c r="A354" s="1" t="s">
        <v>1762</v>
      </c>
      <c r="B354" s="2" t="s">
        <v>1763</v>
      </c>
      <c r="C354" s="2" t="s">
        <v>265</v>
      </c>
      <c r="D354" s="2" t="s">
        <v>238</v>
      </c>
      <c r="E354" s="3">
        <v>0.03</v>
      </c>
      <c r="F354" s="3">
        <v>21.2</v>
      </c>
      <c r="G354" s="2" t="s">
        <v>79</v>
      </c>
      <c r="H354" s="2" t="s">
        <v>732</v>
      </c>
      <c r="I354" s="3" t="s">
        <v>114</v>
      </c>
      <c r="J354" s="3">
        <v>99</v>
      </c>
      <c r="K354" s="2" t="s">
        <v>1764</v>
      </c>
      <c r="L354" s="4">
        <v>46054</v>
      </c>
      <c r="M354" s="4">
        <v>46049</v>
      </c>
      <c r="N354" s="2" t="s">
        <v>1334</v>
      </c>
      <c r="O354" s="2" t="s">
        <v>181</v>
      </c>
      <c r="P354" s="2" t="s">
        <v>1335</v>
      </c>
      <c r="Q354" s="2" t="s">
        <v>86</v>
      </c>
      <c r="R354" s="2" t="s">
        <v>267</v>
      </c>
      <c r="S354" s="4">
        <v>46028</v>
      </c>
      <c r="T354" s="2" t="s">
        <v>1334</v>
      </c>
      <c r="U354" s="2" t="s">
        <v>181</v>
      </c>
      <c r="V354" s="2" t="s">
        <v>677</v>
      </c>
      <c r="W354" s="2" t="s">
        <v>86</v>
      </c>
      <c r="X354" s="2" t="s">
        <v>117</v>
      </c>
      <c r="Y354" s="3" t="s">
        <v>118</v>
      </c>
      <c r="Z354" s="3">
        <v>21.23</v>
      </c>
      <c r="AA354" s="2" t="s">
        <v>90</v>
      </c>
      <c r="AB354" s="2" t="s">
        <v>267</v>
      </c>
      <c r="AC354" s="2" t="s">
        <v>265</v>
      </c>
      <c r="AD354" t="str" cm="1">
        <f t="array" ref="AD35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354" s="2" t="s">
        <v>91</v>
      </c>
      <c r="AF354" s="2" t="s">
        <v>92</v>
      </c>
      <c r="AG354" s="2" t="s">
        <v>119</v>
      </c>
      <c r="AH354" s="2" t="s">
        <v>120</v>
      </c>
      <c r="AK354" s="2" t="s">
        <v>1765</v>
      </c>
      <c r="AN354" s="3">
        <v>1</v>
      </c>
      <c r="AO354" s="3">
        <v>1</v>
      </c>
      <c r="AP354" s="3">
        <v>1</v>
      </c>
      <c r="AQ354" s="3">
        <v>1</v>
      </c>
      <c r="AR354" s="3">
        <v>1</v>
      </c>
      <c r="AS354" s="3">
        <v>0</v>
      </c>
      <c r="AT354" s="3">
        <v>0</v>
      </c>
      <c r="AU354" s="3">
        <v>0</v>
      </c>
      <c r="AV354" s="3">
        <v>1</v>
      </c>
      <c r="AW354" s="3">
        <v>0</v>
      </c>
      <c r="AX354" s="3">
        <v>1</v>
      </c>
      <c r="AY354" s="3">
        <v>0</v>
      </c>
      <c r="AZ354" s="3">
        <v>0</v>
      </c>
      <c r="BA354" s="3">
        <v>0</v>
      </c>
      <c r="BB354" s="3">
        <v>0</v>
      </c>
      <c r="BC354" s="3">
        <v>1</v>
      </c>
      <c r="BD354" s="3">
        <v>0</v>
      </c>
      <c r="BE354" s="3">
        <v>0</v>
      </c>
      <c r="BG354" s="2" t="s">
        <v>91</v>
      </c>
      <c r="BH354" s="3">
        <v>3</v>
      </c>
      <c r="BJ354" s="2" t="s">
        <v>96</v>
      </c>
      <c r="BL354" s="2" t="s">
        <v>123</v>
      </c>
      <c r="BM354" s="2" t="s">
        <v>123</v>
      </c>
      <c r="BN354" s="2" t="s">
        <v>124</v>
      </c>
      <c r="BO354" s="2" t="s">
        <v>125</v>
      </c>
      <c r="BP354" s="2" t="s">
        <v>242</v>
      </c>
      <c r="BQ354" s="2" t="s">
        <v>124</v>
      </c>
      <c r="BR354" s="2" t="s">
        <v>126</v>
      </c>
      <c r="BS354" s="2" t="s">
        <v>127</v>
      </c>
      <c r="BT354" s="2" t="s">
        <v>207</v>
      </c>
      <c r="BU354" s="2" t="s">
        <v>208</v>
      </c>
      <c r="BV354" s="2" t="s">
        <v>150</v>
      </c>
      <c r="BW354" s="2" t="s">
        <v>151</v>
      </c>
      <c r="BX354" s="2" t="s">
        <v>91</v>
      </c>
      <c r="BY35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54" s="2">
        <f>IF(AND(Cases[[#This Row],[Priority Level]]&gt;=3,Cases[[#This Row],[System Role]]&lt;&gt;"Productive"),1,0)</f>
        <v>0</v>
      </c>
      <c r="CA354" s="2">
        <f>IFERROR(IF(Cases[[#This Row],[Days at Customer]]&gt;MAX(1,Cases[[#This Row],[Days at SAP]]*2),1,0),0)</f>
        <v>1</v>
      </c>
      <c r="CB354" s="2">
        <f>IF(AND(Cases[[#This Row],[Initial Component]]&lt;&gt;"",Cases[[#This Row],[Component]]&lt;&gt;"",Cases[[#This Row],[Initial Component]]&lt;&gt;Cases[[#This Row],[Component]]),1,0)</f>
        <v>0</v>
      </c>
      <c r="CC354" s="2">
        <f>IF(OR(Cases[[#This Row],[Is Reopened]]="X",Cases[[#This Row],[No. of Reopenings]]&gt;0),1,0)</f>
        <v>0</v>
      </c>
      <c r="CD354" s="2">
        <f>IF(Cases[[#This Row],[Confirmation Type]]="Automatic",1,0)</f>
        <v>1</v>
      </c>
      <c r="CE35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55" spans="1:83" x14ac:dyDescent="0.2">
      <c r="A355" s="1" t="s">
        <v>2159</v>
      </c>
      <c r="B355" s="2" t="s">
        <v>2160</v>
      </c>
      <c r="C355" s="2" t="s">
        <v>2161</v>
      </c>
      <c r="D355" s="2" t="s">
        <v>78</v>
      </c>
      <c r="E355" s="3">
        <v>6.88</v>
      </c>
      <c r="F355" s="3">
        <v>7.76</v>
      </c>
      <c r="G355" s="2" t="s">
        <v>79</v>
      </c>
      <c r="H355" s="2" t="s">
        <v>155</v>
      </c>
      <c r="I355" s="3" t="s">
        <v>114</v>
      </c>
      <c r="J355" s="3">
        <v>128</v>
      </c>
      <c r="K355" s="2" t="s">
        <v>2162</v>
      </c>
      <c r="L355" s="4">
        <v>46019</v>
      </c>
      <c r="M355" s="4">
        <v>46014</v>
      </c>
      <c r="N355" s="2" t="s">
        <v>1804</v>
      </c>
      <c r="O355" s="2" t="s">
        <v>1805</v>
      </c>
      <c r="P355" s="2" t="s">
        <v>1868</v>
      </c>
      <c r="Q355" s="2" t="s">
        <v>1806</v>
      </c>
      <c r="R355" s="2" t="s">
        <v>2163</v>
      </c>
      <c r="S355" s="4">
        <v>45999</v>
      </c>
      <c r="T355" s="2" t="s">
        <v>1804</v>
      </c>
      <c r="U355" s="2" t="s">
        <v>1805</v>
      </c>
      <c r="V355" s="2" t="s">
        <v>2037</v>
      </c>
      <c r="W355" s="2" t="s">
        <v>1806</v>
      </c>
      <c r="X355" s="2" t="s">
        <v>117</v>
      </c>
      <c r="Y355" s="3" t="s">
        <v>118</v>
      </c>
      <c r="Z355" s="3">
        <v>14.64</v>
      </c>
      <c r="AA355" s="2" t="s">
        <v>90</v>
      </c>
      <c r="AB355" s="2" t="s">
        <v>2163</v>
      </c>
      <c r="AC355" s="2" t="s">
        <v>2164</v>
      </c>
      <c r="AD355" t="str" cm="1">
        <f t="array" ref="AD35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355" s="2" t="s">
        <v>139</v>
      </c>
      <c r="AF355" s="2" t="s">
        <v>92</v>
      </c>
      <c r="AG355" s="2" t="s">
        <v>119</v>
      </c>
      <c r="AH355" s="2" t="s">
        <v>120</v>
      </c>
      <c r="AK355" s="2" t="s">
        <v>2165</v>
      </c>
      <c r="AN355" s="3">
        <v>1</v>
      </c>
      <c r="AO355" s="3">
        <v>1</v>
      </c>
      <c r="AP355" s="3">
        <v>1</v>
      </c>
      <c r="AQ355" s="3">
        <v>1</v>
      </c>
      <c r="AR355" s="3">
        <v>1</v>
      </c>
      <c r="AS355" s="3">
        <v>0</v>
      </c>
      <c r="AT355" s="3">
        <v>0</v>
      </c>
      <c r="AU355" s="3">
        <v>0</v>
      </c>
      <c r="AV355" s="3">
        <v>0</v>
      </c>
      <c r="AW355" s="3">
        <v>1</v>
      </c>
      <c r="AX355" s="3">
        <v>1</v>
      </c>
      <c r="AY355" s="3">
        <v>0</v>
      </c>
      <c r="AZ355" s="3">
        <v>0</v>
      </c>
      <c r="BA355" s="3">
        <v>0</v>
      </c>
      <c r="BB355" s="3">
        <v>0</v>
      </c>
      <c r="BC355" s="3">
        <v>1</v>
      </c>
      <c r="BD355" s="3">
        <v>0</v>
      </c>
      <c r="BE355" s="3">
        <v>0</v>
      </c>
      <c r="BG355" s="2" t="s">
        <v>91</v>
      </c>
      <c r="BH355" s="3">
        <v>3</v>
      </c>
      <c r="BJ355" s="2" t="s">
        <v>96</v>
      </c>
      <c r="BL355" s="2" t="s">
        <v>123</v>
      </c>
      <c r="BM355" s="2" t="s">
        <v>123</v>
      </c>
      <c r="BN355" s="2" t="s">
        <v>124</v>
      </c>
      <c r="BO355" s="2" t="s">
        <v>125</v>
      </c>
      <c r="BP355" s="2" t="s">
        <v>101</v>
      </c>
      <c r="BQ355" s="2" t="s">
        <v>124</v>
      </c>
      <c r="BR355" s="2" t="s">
        <v>126</v>
      </c>
      <c r="BS355" s="2" t="s">
        <v>127</v>
      </c>
      <c r="BT355" s="2" t="s">
        <v>174</v>
      </c>
      <c r="BU355" s="2" t="s">
        <v>175</v>
      </c>
      <c r="BV355" s="2" t="s">
        <v>150</v>
      </c>
      <c r="BW355" s="2" t="s">
        <v>151</v>
      </c>
      <c r="BX355" s="2" t="s">
        <v>91</v>
      </c>
      <c r="BY35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55" s="2">
        <f>IF(AND(Cases[[#This Row],[Priority Level]]&gt;=3,Cases[[#This Row],[System Role]]&lt;&gt;"Productive"),1,0)</f>
        <v>0</v>
      </c>
      <c r="CA355" s="2">
        <f>IFERROR(IF(Cases[[#This Row],[Days at Customer]]&gt;MAX(1,Cases[[#This Row],[Days at SAP]]*2),1,0),0)</f>
        <v>0</v>
      </c>
      <c r="CB355" s="2">
        <f>IF(AND(Cases[[#This Row],[Initial Component]]&lt;&gt;"",Cases[[#This Row],[Component]]&lt;&gt;"",Cases[[#This Row],[Initial Component]]&lt;&gt;Cases[[#This Row],[Component]]),1,0)</f>
        <v>0</v>
      </c>
      <c r="CC355" s="2">
        <f>IF(OR(Cases[[#This Row],[Is Reopened]]="X",Cases[[#This Row],[No. of Reopenings]]&gt;0),1,0)</f>
        <v>0</v>
      </c>
      <c r="CD355" s="2">
        <f>IF(Cases[[#This Row],[Confirmation Type]]="Automatic",1,0)</f>
        <v>0</v>
      </c>
      <c r="CE355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56" spans="1:83" x14ac:dyDescent="0.2">
      <c r="A356" s="1" t="s">
        <v>2166</v>
      </c>
      <c r="B356" s="2" t="s">
        <v>2167</v>
      </c>
      <c r="C356" s="2" t="s">
        <v>444</v>
      </c>
      <c r="D356" s="2" t="s">
        <v>238</v>
      </c>
      <c r="E356" s="3">
        <v>7.81</v>
      </c>
      <c r="F356" s="3">
        <v>25.7</v>
      </c>
      <c r="G356" s="2" t="s">
        <v>79</v>
      </c>
      <c r="H356" s="2" t="s">
        <v>178</v>
      </c>
      <c r="I356" s="3" t="s">
        <v>114</v>
      </c>
      <c r="J356" s="3">
        <v>132</v>
      </c>
      <c r="K356" s="2" t="s">
        <v>2168</v>
      </c>
      <c r="L356" s="4">
        <v>46033</v>
      </c>
      <c r="M356" s="4">
        <v>46028</v>
      </c>
      <c r="N356" s="2" t="s">
        <v>1334</v>
      </c>
      <c r="O356" s="2" t="s">
        <v>181</v>
      </c>
      <c r="P356" s="2" t="s">
        <v>677</v>
      </c>
      <c r="Q356" s="2" t="s">
        <v>86</v>
      </c>
      <c r="R356" s="2" t="s">
        <v>443</v>
      </c>
      <c r="S356" s="4">
        <v>45995</v>
      </c>
      <c r="T356" s="2" t="s">
        <v>1804</v>
      </c>
      <c r="U356" s="2" t="s">
        <v>1805</v>
      </c>
      <c r="V356" s="2" t="s">
        <v>2169</v>
      </c>
      <c r="W356" s="2" t="s">
        <v>1806</v>
      </c>
      <c r="X356" s="2" t="s">
        <v>117</v>
      </c>
      <c r="Y356" s="3" t="s">
        <v>118</v>
      </c>
      <c r="Z356" s="3">
        <v>33.51</v>
      </c>
      <c r="AA356" s="2" t="s">
        <v>138</v>
      </c>
      <c r="AB356" s="2" t="s">
        <v>443</v>
      </c>
      <c r="AC356" s="2" t="s">
        <v>444</v>
      </c>
      <c r="AD356" t="str" cm="1">
        <f t="array" ref="AD35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356" s="2" t="s">
        <v>139</v>
      </c>
      <c r="AF356" s="2" t="s">
        <v>92</v>
      </c>
      <c r="AG356" s="2" t="s">
        <v>274</v>
      </c>
      <c r="AH356" s="2" t="s">
        <v>275</v>
      </c>
      <c r="AK356" s="2" t="s">
        <v>2170</v>
      </c>
      <c r="AN356" s="3">
        <v>1</v>
      </c>
      <c r="AO356" s="3">
        <v>1</v>
      </c>
      <c r="AP356" s="3">
        <v>1</v>
      </c>
      <c r="AQ356" s="3">
        <v>1</v>
      </c>
      <c r="AR356" s="3">
        <v>0</v>
      </c>
      <c r="AS356" s="3">
        <v>0</v>
      </c>
      <c r="AT356" s="3">
        <v>1</v>
      </c>
      <c r="AU356" s="3">
        <v>0</v>
      </c>
      <c r="AV356" s="3">
        <v>1</v>
      </c>
      <c r="AW356" s="3">
        <v>0</v>
      </c>
      <c r="AX356" s="3">
        <v>0</v>
      </c>
      <c r="AY356" s="3">
        <v>0</v>
      </c>
      <c r="AZ356" s="3">
        <v>1</v>
      </c>
      <c r="BA356" s="3">
        <v>1</v>
      </c>
      <c r="BB356" s="3">
        <v>0</v>
      </c>
      <c r="BC356" s="3">
        <v>0</v>
      </c>
      <c r="BD356" s="3">
        <v>0</v>
      </c>
      <c r="BE356" s="3">
        <v>0</v>
      </c>
      <c r="BG356" s="2" t="s">
        <v>139</v>
      </c>
      <c r="BH356" s="3">
        <v>2</v>
      </c>
      <c r="BJ356" s="2" t="s">
        <v>96</v>
      </c>
      <c r="BL356" s="2" t="s">
        <v>446</v>
      </c>
      <c r="BM356" s="2" t="s">
        <v>447</v>
      </c>
      <c r="BN356" s="2" t="s">
        <v>279</v>
      </c>
      <c r="BO356" s="2" t="s">
        <v>280</v>
      </c>
      <c r="BP356" s="2" t="s">
        <v>242</v>
      </c>
      <c r="BQ356" s="2" t="s">
        <v>448</v>
      </c>
      <c r="BR356" s="2" t="s">
        <v>449</v>
      </c>
      <c r="BS356" s="2" t="s">
        <v>450</v>
      </c>
      <c r="BT356" s="2" t="s">
        <v>1030</v>
      </c>
      <c r="BU356" s="2" t="s">
        <v>1031</v>
      </c>
      <c r="BV356" s="2" t="s">
        <v>166</v>
      </c>
      <c r="BW356" s="2" t="s">
        <v>167</v>
      </c>
      <c r="BX356" s="2" t="s">
        <v>139</v>
      </c>
      <c r="BY35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56" s="2">
        <f>IF(AND(Cases[[#This Row],[Priority Level]]&gt;=3,Cases[[#This Row],[System Role]]&lt;&gt;"Productive"),1,0)</f>
        <v>0</v>
      </c>
      <c r="CA356" s="2">
        <f>IFERROR(IF(Cases[[#This Row],[Days at Customer]]&gt;MAX(1,Cases[[#This Row],[Days at SAP]]*2),1,0),0)</f>
        <v>1</v>
      </c>
      <c r="CB356" s="2">
        <f>IF(AND(Cases[[#This Row],[Initial Component]]&lt;&gt;"",Cases[[#This Row],[Component]]&lt;&gt;"",Cases[[#This Row],[Initial Component]]&lt;&gt;Cases[[#This Row],[Component]]),1,0)</f>
        <v>0</v>
      </c>
      <c r="CC356" s="2">
        <f>IF(OR(Cases[[#This Row],[Is Reopened]]="X",Cases[[#This Row],[No. of Reopenings]]&gt;0),1,0)</f>
        <v>0</v>
      </c>
      <c r="CD356" s="2">
        <f>IF(Cases[[#This Row],[Confirmation Type]]="Automatic",1,0)</f>
        <v>1</v>
      </c>
      <c r="CE35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57" spans="1:83" x14ac:dyDescent="0.2">
      <c r="A357" s="1" t="s">
        <v>2171</v>
      </c>
      <c r="B357" s="2" t="s">
        <v>2172</v>
      </c>
      <c r="C357" s="2" t="s">
        <v>217</v>
      </c>
      <c r="D357" s="2" t="s">
        <v>238</v>
      </c>
      <c r="E357" s="3">
        <v>15.63</v>
      </c>
      <c r="F357" s="3">
        <v>21.17</v>
      </c>
      <c r="G357" s="2" t="s">
        <v>79</v>
      </c>
      <c r="H357" s="2" t="s">
        <v>178</v>
      </c>
      <c r="I357" s="3" t="s">
        <v>114</v>
      </c>
      <c r="J357" s="3">
        <v>132</v>
      </c>
      <c r="K357" s="2" t="s">
        <v>2173</v>
      </c>
      <c r="L357" s="4">
        <v>46033</v>
      </c>
      <c r="M357" s="4">
        <v>46031</v>
      </c>
      <c r="N357" s="2" t="s">
        <v>1334</v>
      </c>
      <c r="O357" s="2" t="s">
        <v>181</v>
      </c>
      <c r="P357" s="2" t="s">
        <v>677</v>
      </c>
      <c r="Q357" s="2" t="s">
        <v>86</v>
      </c>
      <c r="R357" s="2" t="s">
        <v>219</v>
      </c>
      <c r="S357" s="4">
        <v>45995</v>
      </c>
      <c r="T357" s="2" t="s">
        <v>1804</v>
      </c>
      <c r="U357" s="2" t="s">
        <v>1805</v>
      </c>
      <c r="V357" s="2" t="s">
        <v>2169</v>
      </c>
      <c r="W357" s="2" t="s">
        <v>1806</v>
      </c>
      <c r="X357" s="2" t="s">
        <v>117</v>
      </c>
      <c r="Y357" s="3" t="s">
        <v>118</v>
      </c>
      <c r="Z357" s="3">
        <v>36.81</v>
      </c>
      <c r="AA357" s="2" t="s">
        <v>138</v>
      </c>
      <c r="AB357" s="2" t="s">
        <v>443</v>
      </c>
      <c r="AC357" s="2" t="s">
        <v>444</v>
      </c>
      <c r="AD357" t="str" cm="1">
        <f t="array" ref="AD35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357" s="2" t="s">
        <v>91</v>
      </c>
      <c r="AF357" s="2" t="s">
        <v>92</v>
      </c>
      <c r="AG357" s="2" t="s">
        <v>274</v>
      </c>
      <c r="AH357" s="2" t="s">
        <v>275</v>
      </c>
      <c r="AK357" s="2" t="s">
        <v>2174</v>
      </c>
      <c r="AN357" s="3">
        <v>1</v>
      </c>
      <c r="AO357" s="3">
        <v>1</v>
      </c>
      <c r="AP357" s="3">
        <v>1</v>
      </c>
      <c r="AQ357" s="3">
        <v>1</v>
      </c>
      <c r="AR357" s="3">
        <v>1</v>
      </c>
      <c r="AS357" s="3">
        <v>0</v>
      </c>
      <c r="AT357" s="3">
        <v>0</v>
      </c>
      <c r="AU357" s="3">
        <v>0</v>
      </c>
      <c r="AV357" s="3">
        <v>1</v>
      </c>
      <c r="AW357" s="3">
        <v>0</v>
      </c>
      <c r="AX357" s="3">
        <v>1</v>
      </c>
      <c r="AY357" s="3">
        <v>0</v>
      </c>
      <c r="AZ357" s="3">
        <v>0</v>
      </c>
      <c r="BA357" s="3">
        <v>1</v>
      </c>
      <c r="BB357" s="3">
        <v>0</v>
      </c>
      <c r="BC357" s="3">
        <v>0</v>
      </c>
      <c r="BD357" s="3">
        <v>0</v>
      </c>
      <c r="BE357" s="3">
        <v>0</v>
      </c>
      <c r="BG357" s="2" t="s">
        <v>91</v>
      </c>
      <c r="BH357" s="3">
        <v>3</v>
      </c>
      <c r="BJ357" s="2" t="s">
        <v>96</v>
      </c>
      <c r="BL357" s="2" t="s">
        <v>446</v>
      </c>
      <c r="BM357" s="2" t="s">
        <v>447</v>
      </c>
      <c r="BN357" s="2" t="s">
        <v>279</v>
      </c>
      <c r="BO357" s="2" t="s">
        <v>280</v>
      </c>
      <c r="BP357" s="2" t="s">
        <v>242</v>
      </c>
      <c r="BQ357" s="2" t="s">
        <v>448</v>
      </c>
      <c r="BR357" s="2" t="s">
        <v>449</v>
      </c>
      <c r="BS357" s="2" t="s">
        <v>450</v>
      </c>
      <c r="BT357" s="2" t="s">
        <v>451</v>
      </c>
      <c r="BU357" s="2" t="s">
        <v>452</v>
      </c>
      <c r="BV357" s="2" t="s">
        <v>166</v>
      </c>
      <c r="BW357" s="2" t="s">
        <v>167</v>
      </c>
      <c r="BX357" s="2" t="s">
        <v>91</v>
      </c>
      <c r="BY35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57" s="2">
        <f>IF(AND(Cases[[#This Row],[Priority Level]]&gt;=3,Cases[[#This Row],[System Role]]&lt;&gt;"Productive"),1,0)</f>
        <v>1</v>
      </c>
      <c r="CA357" s="2">
        <f>IFERROR(IF(Cases[[#This Row],[Days at Customer]]&gt;MAX(1,Cases[[#This Row],[Days at SAP]]*2),1,0),0)</f>
        <v>0</v>
      </c>
      <c r="CB357" s="2">
        <f>IF(AND(Cases[[#This Row],[Initial Component]]&lt;&gt;"",Cases[[#This Row],[Component]]&lt;&gt;"",Cases[[#This Row],[Initial Component]]&lt;&gt;Cases[[#This Row],[Component]]),1,0)</f>
        <v>1</v>
      </c>
      <c r="CC357" s="2">
        <f>IF(OR(Cases[[#This Row],[Is Reopened]]="X",Cases[[#This Row],[No. of Reopenings]]&gt;0),1,0)</f>
        <v>0</v>
      </c>
      <c r="CD357" s="2">
        <f>IF(Cases[[#This Row],[Confirmation Type]]="Automatic",1,0)</f>
        <v>1</v>
      </c>
      <c r="CE357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358" spans="1:83" x14ac:dyDescent="0.2">
      <c r="A358" s="1" t="s">
        <v>2175</v>
      </c>
      <c r="B358" s="2" t="s">
        <v>2176</v>
      </c>
      <c r="C358" s="2" t="s">
        <v>364</v>
      </c>
      <c r="D358" s="2" t="s">
        <v>238</v>
      </c>
      <c r="E358" s="3">
        <v>12.05</v>
      </c>
      <c r="F358" s="3">
        <v>27.54</v>
      </c>
      <c r="G358" s="2" t="s">
        <v>190</v>
      </c>
      <c r="H358" s="2" t="s">
        <v>666</v>
      </c>
      <c r="I358" s="3" t="s">
        <v>114</v>
      </c>
      <c r="J358" s="3">
        <v>132</v>
      </c>
      <c r="K358" s="2" t="s">
        <v>2177</v>
      </c>
      <c r="L358" s="4">
        <v>46040</v>
      </c>
      <c r="M358" s="4">
        <v>46035</v>
      </c>
      <c r="N358" s="2" t="s">
        <v>1334</v>
      </c>
      <c r="O358" s="2" t="s">
        <v>181</v>
      </c>
      <c r="P358" s="2" t="s">
        <v>180</v>
      </c>
      <c r="Q358" s="2" t="s">
        <v>86</v>
      </c>
      <c r="R358" s="2" t="s">
        <v>363</v>
      </c>
      <c r="S358" s="4">
        <v>45995</v>
      </c>
      <c r="T358" s="2" t="s">
        <v>1804</v>
      </c>
      <c r="U358" s="2" t="s">
        <v>1805</v>
      </c>
      <c r="V358" s="2" t="s">
        <v>2169</v>
      </c>
      <c r="W358" s="2" t="s">
        <v>1806</v>
      </c>
      <c r="X358" s="2" t="s">
        <v>117</v>
      </c>
      <c r="Y358" s="3" t="s">
        <v>118</v>
      </c>
      <c r="Z358" s="3">
        <v>39.6</v>
      </c>
      <c r="AA358" s="2" t="s">
        <v>90</v>
      </c>
      <c r="AB358" s="2" t="s">
        <v>363</v>
      </c>
      <c r="AC358" s="2" t="s">
        <v>364</v>
      </c>
      <c r="AD358" t="str" cm="1">
        <f t="array" ref="AD35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358" s="2" t="s">
        <v>139</v>
      </c>
      <c r="AF358" s="2" t="s">
        <v>92</v>
      </c>
      <c r="AG358" s="2" t="s">
        <v>119</v>
      </c>
      <c r="AH358" s="2" t="s">
        <v>120</v>
      </c>
      <c r="AK358" s="2" t="s">
        <v>2178</v>
      </c>
      <c r="AN358" s="3">
        <v>1</v>
      </c>
      <c r="AO358" s="3">
        <v>1</v>
      </c>
      <c r="AP358" s="3">
        <v>1</v>
      </c>
      <c r="AQ358" s="3">
        <v>1</v>
      </c>
      <c r="AR358" s="3">
        <v>0</v>
      </c>
      <c r="AS358" s="3">
        <v>0</v>
      </c>
      <c r="AT358" s="3">
        <v>1</v>
      </c>
      <c r="AU358" s="3">
        <v>0</v>
      </c>
      <c r="AV358" s="3">
        <v>1</v>
      </c>
      <c r="AW358" s="3">
        <v>0</v>
      </c>
      <c r="AX358" s="3">
        <v>0</v>
      </c>
      <c r="AY358" s="3">
        <v>0</v>
      </c>
      <c r="AZ358" s="3">
        <v>1</v>
      </c>
      <c r="BA358" s="3">
        <v>1</v>
      </c>
      <c r="BB358" s="3">
        <v>0</v>
      </c>
      <c r="BC358" s="3">
        <v>0</v>
      </c>
      <c r="BD358" s="3">
        <v>0</v>
      </c>
      <c r="BE358" s="3">
        <v>0</v>
      </c>
      <c r="BG358" s="2" t="s">
        <v>139</v>
      </c>
      <c r="BH358" s="3">
        <v>2</v>
      </c>
      <c r="BJ358" s="2" t="s">
        <v>96</v>
      </c>
      <c r="BL358" s="2" t="s">
        <v>123</v>
      </c>
      <c r="BM358" s="2" t="s">
        <v>123</v>
      </c>
      <c r="BN358" s="2" t="s">
        <v>124</v>
      </c>
      <c r="BO358" s="2" t="s">
        <v>125</v>
      </c>
      <c r="BP358" s="2" t="s">
        <v>242</v>
      </c>
      <c r="BQ358" s="2" t="s">
        <v>124</v>
      </c>
      <c r="BR358" s="2" t="s">
        <v>126</v>
      </c>
      <c r="BS358" s="2" t="s">
        <v>127</v>
      </c>
      <c r="BT358" s="2" t="s">
        <v>199</v>
      </c>
      <c r="BU358" s="2" t="s">
        <v>200</v>
      </c>
      <c r="BV358" s="2" t="s">
        <v>166</v>
      </c>
      <c r="BW358" s="2" t="s">
        <v>167</v>
      </c>
      <c r="BX358" s="2" t="s">
        <v>139</v>
      </c>
      <c r="BY35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58" s="2">
        <f>IF(AND(Cases[[#This Row],[Priority Level]]&gt;=3,Cases[[#This Row],[System Role]]&lt;&gt;"Productive"),1,0)</f>
        <v>0</v>
      </c>
      <c r="CA358" s="2">
        <f>IFERROR(IF(Cases[[#This Row],[Days at Customer]]&gt;MAX(1,Cases[[#This Row],[Days at SAP]]*2),1,0),0)</f>
        <v>1</v>
      </c>
      <c r="CB358" s="2">
        <f>IF(AND(Cases[[#This Row],[Initial Component]]&lt;&gt;"",Cases[[#This Row],[Component]]&lt;&gt;"",Cases[[#This Row],[Initial Component]]&lt;&gt;Cases[[#This Row],[Component]]),1,0)</f>
        <v>0</v>
      </c>
      <c r="CC358" s="2">
        <f>IF(OR(Cases[[#This Row],[Is Reopened]]="X",Cases[[#This Row],[No. of Reopenings]]&gt;0),1,0)</f>
        <v>0</v>
      </c>
      <c r="CD358" s="2">
        <f>IF(Cases[[#This Row],[Confirmation Type]]="Automatic",1,0)</f>
        <v>1</v>
      </c>
      <c r="CE35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59" spans="1:83" x14ac:dyDescent="0.2">
      <c r="A359" s="1" t="s">
        <v>2179</v>
      </c>
      <c r="B359" s="2" t="s">
        <v>2180</v>
      </c>
      <c r="C359" s="2" t="s">
        <v>550</v>
      </c>
      <c r="D359" s="2" t="s">
        <v>238</v>
      </c>
      <c r="E359" s="3">
        <v>0.02</v>
      </c>
      <c r="F359" s="3">
        <v>21.64</v>
      </c>
      <c r="G359" s="2" t="s">
        <v>79</v>
      </c>
      <c r="H359" s="2" t="s">
        <v>155</v>
      </c>
      <c r="I359" s="3" t="s">
        <v>114</v>
      </c>
      <c r="J359" s="3">
        <v>133</v>
      </c>
      <c r="K359" s="2" t="s">
        <v>2181</v>
      </c>
      <c r="L359" s="4">
        <v>46019</v>
      </c>
      <c r="M359" s="4">
        <v>46016</v>
      </c>
      <c r="N359" s="2" t="s">
        <v>1804</v>
      </c>
      <c r="O359" s="2" t="s">
        <v>1805</v>
      </c>
      <c r="P359" s="2" t="s">
        <v>1868</v>
      </c>
      <c r="Q359" s="2" t="s">
        <v>1806</v>
      </c>
      <c r="R359" s="2" t="s">
        <v>552</v>
      </c>
      <c r="S359" s="4">
        <v>45994</v>
      </c>
      <c r="T359" s="2" t="s">
        <v>1804</v>
      </c>
      <c r="U359" s="2" t="s">
        <v>1805</v>
      </c>
      <c r="V359" s="2" t="s">
        <v>2169</v>
      </c>
      <c r="W359" s="2" t="s">
        <v>1806</v>
      </c>
      <c r="X359" s="2" t="s">
        <v>117</v>
      </c>
      <c r="Y359" s="3" t="s">
        <v>118</v>
      </c>
      <c r="Z359" s="3">
        <v>21.66</v>
      </c>
      <c r="AA359" s="2" t="s">
        <v>90</v>
      </c>
      <c r="AB359" s="2" t="s">
        <v>552</v>
      </c>
      <c r="AC359" s="2" t="s">
        <v>550</v>
      </c>
      <c r="AD359" t="str" cm="1">
        <f t="array" ref="AD35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359" s="2" t="s">
        <v>91</v>
      </c>
      <c r="AF359" s="2" t="s">
        <v>998</v>
      </c>
      <c r="AG359" s="2" t="s">
        <v>553</v>
      </c>
      <c r="AH359" s="2" t="s">
        <v>554</v>
      </c>
      <c r="AK359" s="2" t="s">
        <v>2182</v>
      </c>
      <c r="AN359" s="3">
        <v>1</v>
      </c>
      <c r="AO359" s="3">
        <v>1</v>
      </c>
      <c r="AP359" s="3">
        <v>1</v>
      </c>
      <c r="AQ359" s="3">
        <v>1</v>
      </c>
      <c r="AR359" s="3">
        <v>1</v>
      </c>
      <c r="AS359" s="3">
        <v>0</v>
      </c>
      <c r="AT359" s="3">
        <v>0</v>
      </c>
      <c r="AU359" s="3">
        <v>0</v>
      </c>
      <c r="AV359" s="3">
        <v>1</v>
      </c>
      <c r="AW359" s="3">
        <v>0</v>
      </c>
      <c r="AX359" s="3">
        <v>1</v>
      </c>
      <c r="AY359" s="3">
        <v>0</v>
      </c>
      <c r="AZ359" s="3">
        <v>0</v>
      </c>
      <c r="BA359" s="3">
        <v>0</v>
      </c>
      <c r="BB359" s="3">
        <v>0</v>
      </c>
      <c r="BC359" s="3">
        <v>1</v>
      </c>
      <c r="BD359" s="3">
        <v>0</v>
      </c>
      <c r="BE359" s="3">
        <v>0</v>
      </c>
      <c r="BG359" s="2" t="s">
        <v>91</v>
      </c>
      <c r="BH359" s="3">
        <v>3</v>
      </c>
      <c r="BJ359" s="2" t="s">
        <v>96</v>
      </c>
      <c r="BL359" s="2" t="s">
        <v>556</v>
      </c>
      <c r="BM359" s="2" t="s">
        <v>557</v>
      </c>
      <c r="BN359" s="2" t="s">
        <v>99</v>
      </c>
      <c r="BO359" s="2" t="s">
        <v>100</v>
      </c>
      <c r="BP359" s="2" t="s">
        <v>242</v>
      </c>
      <c r="BQ359" s="2" t="s">
        <v>102</v>
      </c>
      <c r="BR359" s="2" t="s">
        <v>103</v>
      </c>
      <c r="BS359" s="2" t="s">
        <v>127</v>
      </c>
      <c r="BT359" s="2" t="s">
        <v>1171</v>
      </c>
      <c r="BU359" s="2" t="s">
        <v>1172</v>
      </c>
      <c r="BV359" s="2" t="s">
        <v>150</v>
      </c>
      <c r="BW359" s="2" t="s">
        <v>151</v>
      </c>
      <c r="BX359" s="2" t="s">
        <v>91</v>
      </c>
      <c r="BY35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59" s="2">
        <f>IF(AND(Cases[[#This Row],[Priority Level]]&gt;=3,Cases[[#This Row],[System Role]]&lt;&gt;"Productive"),1,0)</f>
        <v>0</v>
      </c>
      <c r="CA359" s="2">
        <f>IFERROR(IF(Cases[[#This Row],[Days at Customer]]&gt;MAX(1,Cases[[#This Row],[Days at SAP]]*2),1,0),0)</f>
        <v>1</v>
      </c>
      <c r="CB359" s="2">
        <f>IF(AND(Cases[[#This Row],[Initial Component]]&lt;&gt;"",Cases[[#This Row],[Component]]&lt;&gt;"",Cases[[#This Row],[Initial Component]]&lt;&gt;Cases[[#This Row],[Component]]),1,0)</f>
        <v>0</v>
      </c>
      <c r="CC359" s="2">
        <f>IF(OR(Cases[[#This Row],[Is Reopened]]="X",Cases[[#This Row],[No. of Reopenings]]&gt;0),1,0)</f>
        <v>0</v>
      </c>
      <c r="CD359" s="2">
        <f>IF(Cases[[#This Row],[Confirmation Type]]="Automatic",1,0)</f>
        <v>1</v>
      </c>
      <c r="CE359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60" spans="1:83" x14ac:dyDescent="0.2">
      <c r="A360" s="1" t="s">
        <v>2183</v>
      </c>
      <c r="B360" s="2" t="s">
        <v>2184</v>
      </c>
      <c r="C360" s="2" t="s">
        <v>189</v>
      </c>
      <c r="D360" s="2" t="s">
        <v>238</v>
      </c>
      <c r="E360" s="3">
        <v>8.14</v>
      </c>
      <c r="F360" s="3">
        <v>28.87</v>
      </c>
      <c r="G360" s="2" t="s">
        <v>190</v>
      </c>
      <c r="H360" s="2" t="s">
        <v>1205</v>
      </c>
      <c r="I360" s="3" t="s">
        <v>114</v>
      </c>
      <c r="J360" s="3">
        <v>133</v>
      </c>
      <c r="K360" s="2" t="s">
        <v>2185</v>
      </c>
      <c r="L360" s="4">
        <v>46065</v>
      </c>
      <c r="M360" s="4">
        <v>46031</v>
      </c>
      <c r="N360" s="2" t="s">
        <v>1334</v>
      </c>
      <c r="O360" s="2" t="s">
        <v>181</v>
      </c>
      <c r="P360" s="2" t="s">
        <v>677</v>
      </c>
      <c r="Q360" s="2" t="s">
        <v>86</v>
      </c>
      <c r="R360" s="2" t="s">
        <v>194</v>
      </c>
      <c r="S360" s="4">
        <v>45994</v>
      </c>
      <c r="T360" s="2" t="s">
        <v>1804</v>
      </c>
      <c r="U360" s="2" t="s">
        <v>1805</v>
      </c>
      <c r="V360" s="2" t="s">
        <v>2169</v>
      </c>
      <c r="W360" s="2" t="s">
        <v>1806</v>
      </c>
      <c r="X360" s="2" t="s">
        <v>117</v>
      </c>
      <c r="Y360" s="3" t="s">
        <v>118</v>
      </c>
      <c r="Z360" s="3">
        <v>37.020000000000003</v>
      </c>
      <c r="AA360" s="2" t="s">
        <v>90</v>
      </c>
      <c r="AB360" s="2" t="s">
        <v>363</v>
      </c>
      <c r="AC360" s="2" t="s">
        <v>364</v>
      </c>
      <c r="AD360" t="str" cm="1">
        <f t="array" ref="AD36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360" s="2" t="s">
        <v>91</v>
      </c>
      <c r="AF360" s="2" t="s">
        <v>92</v>
      </c>
      <c r="AG360" s="2" t="s">
        <v>119</v>
      </c>
      <c r="AH360" s="2" t="s">
        <v>120</v>
      </c>
      <c r="AK360" s="2" t="s">
        <v>2186</v>
      </c>
      <c r="AN360" s="3">
        <v>1</v>
      </c>
      <c r="AO360" s="3">
        <v>1</v>
      </c>
      <c r="AP360" s="3">
        <v>1</v>
      </c>
      <c r="AQ360" s="3">
        <v>1</v>
      </c>
      <c r="AR360" s="3">
        <v>1</v>
      </c>
      <c r="AS360" s="3">
        <v>0</v>
      </c>
      <c r="AT360" s="3">
        <v>0</v>
      </c>
      <c r="AU360" s="3">
        <v>0</v>
      </c>
      <c r="AV360" s="3">
        <v>1</v>
      </c>
      <c r="AW360" s="3">
        <v>0</v>
      </c>
      <c r="AX360" s="3">
        <v>1</v>
      </c>
      <c r="AY360" s="3">
        <v>0</v>
      </c>
      <c r="AZ360" s="3">
        <v>0</v>
      </c>
      <c r="BA360" s="3">
        <v>0</v>
      </c>
      <c r="BB360" s="3">
        <v>0</v>
      </c>
      <c r="BC360" s="3">
        <v>1</v>
      </c>
      <c r="BD360" s="3">
        <v>0</v>
      </c>
      <c r="BE360" s="3">
        <v>0</v>
      </c>
      <c r="BG360" s="2" t="s">
        <v>91</v>
      </c>
      <c r="BH360" s="3">
        <v>3</v>
      </c>
      <c r="BJ360" s="2" t="s">
        <v>96</v>
      </c>
      <c r="BL360" s="2" t="s">
        <v>123</v>
      </c>
      <c r="BM360" s="2" t="s">
        <v>123</v>
      </c>
      <c r="BN360" s="2" t="s">
        <v>124</v>
      </c>
      <c r="BO360" s="2" t="s">
        <v>125</v>
      </c>
      <c r="BP360" s="2" t="s">
        <v>242</v>
      </c>
      <c r="BQ360" s="2" t="s">
        <v>124</v>
      </c>
      <c r="BR360" s="2" t="s">
        <v>126</v>
      </c>
      <c r="BS360" s="2" t="s">
        <v>127</v>
      </c>
      <c r="BT360" s="2" t="s">
        <v>207</v>
      </c>
      <c r="BU360" s="2" t="s">
        <v>208</v>
      </c>
      <c r="BV360" s="2" t="s">
        <v>150</v>
      </c>
      <c r="BW360" s="2" t="s">
        <v>151</v>
      </c>
      <c r="BX360" s="2" t="s">
        <v>91</v>
      </c>
      <c r="BY36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60" s="2">
        <f>IF(AND(Cases[[#This Row],[Priority Level]]&gt;=3,Cases[[#This Row],[System Role]]&lt;&gt;"Productive"),1,0)</f>
        <v>0</v>
      </c>
      <c r="CA360" s="2">
        <f>IFERROR(IF(Cases[[#This Row],[Days at Customer]]&gt;MAX(1,Cases[[#This Row],[Days at SAP]]*2),1,0),0)</f>
        <v>1</v>
      </c>
      <c r="CB360" s="2">
        <f>IF(AND(Cases[[#This Row],[Initial Component]]&lt;&gt;"",Cases[[#This Row],[Component]]&lt;&gt;"",Cases[[#This Row],[Initial Component]]&lt;&gt;Cases[[#This Row],[Component]]),1,0)</f>
        <v>1</v>
      </c>
      <c r="CC360" s="2">
        <f>IF(OR(Cases[[#This Row],[Is Reopened]]="X",Cases[[#This Row],[No. of Reopenings]]&gt;0),1,0)</f>
        <v>0</v>
      </c>
      <c r="CD360" s="2">
        <f>IF(Cases[[#This Row],[Confirmation Type]]="Automatic",1,0)</f>
        <v>1</v>
      </c>
      <c r="CE36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61" spans="1:83" x14ac:dyDescent="0.2">
      <c r="A361" s="1" t="s">
        <v>2187</v>
      </c>
      <c r="B361" s="2" t="s">
        <v>2188</v>
      </c>
      <c r="C361" s="2" t="s">
        <v>2045</v>
      </c>
      <c r="D361" s="2" t="s">
        <v>238</v>
      </c>
      <c r="E361" s="3">
        <v>0.38</v>
      </c>
      <c r="F361" s="3">
        <v>23.55</v>
      </c>
      <c r="G361" s="2" t="s">
        <v>133</v>
      </c>
      <c r="H361" s="2" t="s">
        <v>324</v>
      </c>
      <c r="I361" s="3" t="s">
        <v>81</v>
      </c>
      <c r="J361" s="3">
        <v>133</v>
      </c>
      <c r="K361" s="2" t="s">
        <v>2189</v>
      </c>
      <c r="L361" s="4">
        <v>46019</v>
      </c>
      <c r="M361" s="4">
        <v>46018</v>
      </c>
      <c r="N361" s="2" t="s">
        <v>1804</v>
      </c>
      <c r="O361" s="2" t="s">
        <v>1805</v>
      </c>
      <c r="P361" s="2" t="s">
        <v>1868</v>
      </c>
      <c r="Q361" s="2" t="s">
        <v>1806</v>
      </c>
      <c r="R361" s="2" t="s">
        <v>2047</v>
      </c>
      <c r="S361" s="4">
        <v>45994</v>
      </c>
      <c r="T361" s="2" t="s">
        <v>1804</v>
      </c>
      <c r="U361" s="2" t="s">
        <v>1805</v>
      </c>
      <c r="V361" s="2" t="s">
        <v>2169</v>
      </c>
      <c r="W361" s="2" t="s">
        <v>1806</v>
      </c>
      <c r="X361" s="2" t="s">
        <v>88</v>
      </c>
      <c r="Y361" s="3" t="s">
        <v>89</v>
      </c>
      <c r="Z361" s="3">
        <v>23.93</v>
      </c>
      <c r="AA361" s="2" t="s">
        <v>90</v>
      </c>
      <c r="AB361" s="2" t="s">
        <v>2190</v>
      </c>
      <c r="AC361" s="2" t="s">
        <v>2191</v>
      </c>
      <c r="AD361" t="str" cm="1">
        <f t="array" ref="AD36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OTC</v>
      </c>
      <c r="AE361" s="2" t="s">
        <v>91</v>
      </c>
      <c r="AF361" s="2" t="s">
        <v>92</v>
      </c>
      <c r="AG361" s="2" t="s">
        <v>93</v>
      </c>
      <c r="AH361" s="2" t="s">
        <v>94</v>
      </c>
      <c r="AK361" s="2" t="s">
        <v>2192</v>
      </c>
      <c r="AN361" s="3">
        <v>1</v>
      </c>
      <c r="AO361" s="3">
        <v>1</v>
      </c>
      <c r="AP361" s="3">
        <v>1</v>
      </c>
      <c r="AQ361" s="3">
        <v>1</v>
      </c>
      <c r="AR361" s="3">
        <v>1</v>
      </c>
      <c r="AS361" s="3">
        <v>0</v>
      </c>
      <c r="AT361" s="3">
        <v>0</v>
      </c>
      <c r="AU361" s="3">
        <v>0</v>
      </c>
      <c r="AV361" s="3">
        <v>1</v>
      </c>
      <c r="AW361" s="3">
        <v>0</v>
      </c>
      <c r="AX361" s="3">
        <v>1</v>
      </c>
      <c r="AY361" s="3">
        <v>0</v>
      </c>
      <c r="AZ361" s="3">
        <v>0</v>
      </c>
      <c r="BA361" s="3">
        <v>0</v>
      </c>
      <c r="BB361" s="3">
        <v>0</v>
      </c>
      <c r="BC361" s="3">
        <v>1</v>
      </c>
      <c r="BD361" s="3">
        <v>0</v>
      </c>
      <c r="BE361" s="3">
        <v>0</v>
      </c>
      <c r="BG361" s="2" t="s">
        <v>91</v>
      </c>
      <c r="BH361" s="3">
        <v>3</v>
      </c>
      <c r="BJ361" s="2" t="s">
        <v>96</v>
      </c>
      <c r="BL361" s="2" t="s">
        <v>184</v>
      </c>
      <c r="BM361" s="2" t="s">
        <v>184</v>
      </c>
      <c r="BN361" s="2" t="s">
        <v>124</v>
      </c>
      <c r="BO361" s="2" t="s">
        <v>125</v>
      </c>
      <c r="BP361" s="2" t="s">
        <v>242</v>
      </c>
      <c r="BQ361" s="2" t="s">
        <v>124</v>
      </c>
      <c r="BR361" s="2" t="s">
        <v>126</v>
      </c>
      <c r="BS361" s="2" t="s">
        <v>127</v>
      </c>
      <c r="BT361" s="2" t="s">
        <v>185</v>
      </c>
      <c r="BU361" s="2" t="s">
        <v>186</v>
      </c>
      <c r="BV361" s="2" t="s">
        <v>150</v>
      </c>
      <c r="BW361" s="2" t="s">
        <v>151</v>
      </c>
      <c r="BX361" s="2" t="s">
        <v>91</v>
      </c>
      <c r="BY36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61" s="2">
        <f>IF(AND(Cases[[#This Row],[Priority Level]]&gt;=3,Cases[[#This Row],[System Role]]&lt;&gt;"Productive"),1,0)</f>
        <v>0</v>
      </c>
      <c r="CA361" s="2">
        <f>IFERROR(IF(Cases[[#This Row],[Days at Customer]]&gt;MAX(1,Cases[[#This Row],[Days at SAP]]*2),1,0),0)</f>
        <v>1</v>
      </c>
      <c r="CB361" s="2">
        <f>IF(AND(Cases[[#This Row],[Initial Component]]&lt;&gt;"",Cases[[#This Row],[Component]]&lt;&gt;"",Cases[[#This Row],[Initial Component]]&lt;&gt;Cases[[#This Row],[Component]]),1,0)</f>
        <v>1</v>
      </c>
      <c r="CC361" s="2">
        <f>IF(OR(Cases[[#This Row],[Is Reopened]]="X",Cases[[#This Row],[No. of Reopenings]]&gt;0),1,0)</f>
        <v>0</v>
      </c>
      <c r="CD361" s="2">
        <f>IF(Cases[[#This Row],[Confirmation Type]]="Automatic",1,0)</f>
        <v>1</v>
      </c>
      <c r="CE361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62" spans="1:83" x14ac:dyDescent="0.2">
      <c r="A362" s="1" t="s">
        <v>2193</v>
      </c>
      <c r="B362" s="2" t="s">
        <v>2194</v>
      </c>
      <c r="C362" s="2" t="s">
        <v>2195</v>
      </c>
      <c r="D362" s="2" t="s">
        <v>238</v>
      </c>
      <c r="E362" s="3">
        <v>20.83</v>
      </c>
      <c r="F362" s="3">
        <v>98.93</v>
      </c>
      <c r="G362" s="2" t="s">
        <v>133</v>
      </c>
      <c r="H362" s="2" t="s">
        <v>324</v>
      </c>
      <c r="I362" s="3" t="s">
        <v>114</v>
      </c>
      <c r="J362" s="3">
        <v>133</v>
      </c>
      <c r="K362" s="2" t="s">
        <v>2196</v>
      </c>
      <c r="L362" s="4">
        <v>46117</v>
      </c>
      <c r="M362" s="4">
        <v>46114</v>
      </c>
      <c r="N362" s="2" t="s">
        <v>83</v>
      </c>
      <c r="O362" s="2" t="s">
        <v>84</v>
      </c>
      <c r="P362" s="2" t="s">
        <v>136</v>
      </c>
      <c r="Q362" s="2" t="s">
        <v>86</v>
      </c>
      <c r="R362" s="2" t="s">
        <v>913</v>
      </c>
      <c r="S362" s="4">
        <v>45994</v>
      </c>
      <c r="T362" s="2" t="s">
        <v>1804</v>
      </c>
      <c r="U362" s="2" t="s">
        <v>1805</v>
      </c>
      <c r="V362" s="2" t="s">
        <v>2169</v>
      </c>
      <c r="W362" s="2" t="s">
        <v>1806</v>
      </c>
      <c r="X362" s="2" t="s">
        <v>117</v>
      </c>
      <c r="Y362" s="3" t="s">
        <v>118</v>
      </c>
      <c r="Z362" s="3">
        <v>119.76</v>
      </c>
      <c r="AA362" s="2" t="s">
        <v>90</v>
      </c>
      <c r="AB362" s="2" t="s">
        <v>676</v>
      </c>
      <c r="AC362" s="2" t="s">
        <v>674</v>
      </c>
      <c r="AD362" t="str" cm="1">
        <f t="array" ref="AD36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362" s="2" t="s">
        <v>139</v>
      </c>
      <c r="AF362" s="2" t="s">
        <v>92</v>
      </c>
      <c r="AG362" s="2" t="s">
        <v>119</v>
      </c>
      <c r="AH362" s="2" t="s">
        <v>120</v>
      </c>
      <c r="AK362" s="2" t="s">
        <v>2197</v>
      </c>
      <c r="AN362" s="3">
        <v>1</v>
      </c>
      <c r="AO362" s="3">
        <v>1</v>
      </c>
      <c r="AP362" s="3">
        <v>1</v>
      </c>
      <c r="AQ362" s="3">
        <v>1</v>
      </c>
      <c r="AR362" s="3">
        <v>0</v>
      </c>
      <c r="AS362" s="3">
        <v>0</v>
      </c>
      <c r="AT362" s="3">
        <v>1</v>
      </c>
      <c r="AU362" s="3">
        <v>0</v>
      </c>
      <c r="AV362" s="3">
        <v>1</v>
      </c>
      <c r="AW362" s="3">
        <v>0</v>
      </c>
      <c r="AX362" s="3">
        <v>0</v>
      </c>
      <c r="AY362" s="3">
        <v>0</v>
      </c>
      <c r="AZ362" s="3">
        <v>1</v>
      </c>
      <c r="BA362" s="3">
        <v>0</v>
      </c>
      <c r="BB362" s="3">
        <v>0</v>
      </c>
      <c r="BC362" s="3">
        <v>1</v>
      </c>
      <c r="BD362" s="3">
        <v>0</v>
      </c>
      <c r="BE362" s="3">
        <v>0</v>
      </c>
      <c r="BG362" s="2" t="s">
        <v>139</v>
      </c>
      <c r="BH362" s="3">
        <v>2</v>
      </c>
      <c r="BJ362" s="2" t="s">
        <v>96</v>
      </c>
      <c r="BL362" s="2" t="s">
        <v>123</v>
      </c>
      <c r="BM362" s="2" t="s">
        <v>123</v>
      </c>
      <c r="BN362" s="2" t="s">
        <v>124</v>
      </c>
      <c r="BO362" s="2" t="s">
        <v>125</v>
      </c>
      <c r="BP362" s="2" t="s">
        <v>242</v>
      </c>
      <c r="BQ362" s="2" t="s">
        <v>124</v>
      </c>
      <c r="BR362" s="2" t="s">
        <v>126</v>
      </c>
      <c r="BS362" s="2" t="s">
        <v>127</v>
      </c>
      <c r="BT362" s="2" t="s">
        <v>207</v>
      </c>
      <c r="BU362" s="2" t="s">
        <v>208</v>
      </c>
      <c r="BV362" s="2" t="s">
        <v>150</v>
      </c>
      <c r="BW362" s="2" t="s">
        <v>151</v>
      </c>
      <c r="BX362" s="2" t="s">
        <v>139</v>
      </c>
      <c r="BY36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62" s="2">
        <f>IF(AND(Cases[[#This Row],[Priority Level]]&gt;=3,Cases[[#This Row],[System Role]]&lt;&gt;"Productive"),1,0)</f>
        <v>0</v>
      </c>
      <c r="CA362" s="2">
        <f>IFERROR(IF(Cases[[#This Row],[Days at Customer]]&gt;MAX(1,Cases[[#This Row],[Days at SAP]]*2),1,0),0)</f>
        <v>1</v>
      </c>
      <c r="CB362" s="2">
        <f>IF(AND(Cases[[#This Row],[Initial Component]]&lt;&gt;"",Cases[[#This Row],[Component]]&lt;&gt;"",Cases[[#This Row],[Initial Component]]&lt;&gt;Cases[[#This Row],[Component]]),1,0)</f>
        <v>1</v>
      </c>
      <c r="CC362" s="2">
        <f>IF(OR(Cases[[#This Row],[Is Reopened]]="X",Cases[[#This Row],[No. of Reopenings]]&gt;0),1,0)</f>
        <v>0</v>
      </c>
      <c r="CD362" s="2">
        <f>IF(Cases[[#This Row],[Confirmation Type]]="Automatic",1,0)</f>
        <v>1</v>
      </c>
      <c r="CE362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63" spans="1:83" x14ac:dyDescent="0.2">
      <c r="A363" s="1" t="s">
        <v>2198</v>
      </c>
      <c r="B363" s="2" t="s">
        <v>2199</v>
      </c>
      <c r="C363" s="2" t="s">
        <v>189</v>
      </c>
      <c r="D363" s="2" t="s">
        <v>238</v>
      </c>
      <c r="E363" s="3">
        <v>3.32</v>
      </c>
      <c r="F363" s="3">
        <v>24.23</v>
      </c>
      <c r="G363" s="2" t="s">
        <v>190</v>
      </c>
      <c r="H363" s="2" t="s">
        <v>1205</v>
      </c>
      <c r="I363" s="3" t="s">
        <v>114</v>
      </c>
      <c r="J363" s="3">
        <v>133</v>
      </c>
      <c r="K363" s="2" t="s">
        <v>2200</v>
      </c>
      <c r="L363" s="4">
        <v>46026</v>
      </c>
      <c r="M363" s="4">
        <v>46021</v>
      </c>
      <c r="N363" s="2" t="s">
        <v>1804</v>
      </c>
      <c r="O363" s="2" t="s">
        <v>1805</v>
      </c>
      <c r="P363" s="2" t="s">
        <v>1334</v>
      </c>
      <c r="Q363" s="2" t="s">
        <v>1806</v>
      </c>
      <c r="R363" s="2" t="s">
        <v>194</v>
      </c>
      <c r="S363" s="4">
        <v>45994</v>
      </c>
      <c r="T363" s="2" t="s">
        <v>1804</v>
      </c>
      <c r="U363" s="2" t="s">
        <v>1805</v>
      </c>
      <c r="V363" s="2" t="s">
        <v>2169</v>
      </c>
      <c r="W363" s="2" t="s">
        <v>1806</v>
      </c>
      <c r="X363" s="2" t="s">
        <v>117</v>
      </c>
      <c r="Y363" s="3" t="s">
        <v>118</v>
      </c>
      <c r="Z363" s="3">
        <v>27.55</v>
      </c>
      <c r="AA363" s="2" t="s">
        <v>90</v>
      </c>
      <c r="AB363" s="2" t="s">
        <v>408</v>
      </c>
      <c r="AC363" s="2" t="s">
        <v>406</v>
      </c>
      <c r="AD363" t="str" cm="1">
        <f t="array" ref="AD36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363" s="2" t="s">
        <v>91</v>
      </c>
      <c r="AF363" s="2" t="s">
        <v>92</v>
      </c>
      <c r="AG363" s="2" t="s">
        <v>119</v>
      </c>
      <c r="AH363" s="2" t="s">
        <v>120</v>
      </c>
      <c r="AK363" s="2" t="s">
        <v>2201</v>
      </c>
      <c r="AN363" s="3">
        <v>1</v>
      </c>
      <c r="AO363" s="3">
        <v>1</v>
      </c>
      <c r="AP363" s="3">
        <v>1</v>
      </c>
      <c r="AQ363" s="3">
        <v>1</v>
      </c>
      <c r="AR363" s="3">
        <v>1</v>
      </c>
      <c r="AS363" s="3">
        <v>0</v>
      </c>
      <c r="AT363" s="3">
        <v>0</v>
      </c>
      <c r="AU363" s="3">
        <v>0</v>
      </c>
      <c r="AV363" s="3">
        <v>1</v>
      </c>
      <c r="AW363" s="3">
        <v>0</v>
      </c>
      <c r="AX363" s="3">
        <v>1</v>
      </c>
      <c r="AY363" s="3">
        <v>0</v>
      </c>
      <c r="AZ363" s="3">
        <v>0</v>
      </c>
      <c r="BA363" s="3">
        <v>1</v>
      </c>
      <c r="BB363" s="3">
        <v>0</v>
      </c>
      <c r="BC363" s="3">
        <v>0</v>
      </c>
      <c r="BD363" s="3">
        <v>0</v>
      </c>
      <c r="BE363" s="3">
        <v>0</v>
      </c>
      <c r="BG363" s="2" t="s">
        <v>91</v>
      </c>
      <c r="BH363" s="3">
        <v>3</v>
      </c>
      <c r="BJ363" s="2" t="s">
        <v>96</v>
      </c>
      <c r="BL363" s="2" t="s">
        <v>123</v>
      </c>
      <c r="BM363" s="2" t="s">
        <v>123</v>
      </c>
      <c r="BN363" s="2" t="s">
        <v>124</v>
      </c>
      <c r="BO363" s="2" t="s">
        <v>125</v>
      </c>
      <c r="BP363" s="2" t="s">
        <v>242</v>
      </c>
      <c r="BQ363" s="2" t="s">
        <v>124</v>
      </c>
      <c r="BR363" s="2" t="s">
        <v>126</v>
      </c>
      <c r="BS363" s="2" t="s">
        <v>127</v>
      </c>
      <c r="BT363" s="2" t="s">
        <v>128</v>
      </c>
      <c r="BU363" s="2" t="s">
        <v>129</v>
      </c>
      <c r="BV363" s="2" t="s">
        <v>107</v>
      </c>
      <c r="BW363" s="2" t="s">
        <v>108</v>
      </c>
      <c r="BX363" s="2" t="s">
        <v>91</v>
      </c>
      <c r="BY36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63" s="2">
        <f>IF(AND(Cases[[#This Row],[Priority Level]]&gt;=3,Cases[[#This Row],[System Role]]&lt;&gt;"Productive"),1,0)</f>
        <v>1</v>
      </c>
      <c r="CA363" s="2">
        <f>IFERROR(IF(Cases[[#This Row],[Days at Customer]]&gt;MAX(1,Cases[[#This Row],[Days at SAP]]*2),1,0),0)</f>
        <v>1</v>
      </c>
      <c r="CB363" s="2">
        <f>IF(AND(Cases[[#This Row],[Initial Component]]&lt;&gt;"",Cases[[#This Row],[Component]]&lt;&gt;"",Cases[[#This Row],[Initial Component]]&lt;&gt;Cases[[#This Row],[Component]]),1,0)</f>
        <v>1</v>
      </c>
      <c r="CC363" s="2">
        <f>IF(OR(Cases[[#This Row],[Is Reopened]]="X",Cases[[#This Row],[No. of Reopenings]]&gt;0),1,0)</f>
        <v>0</v>
      </c>
      <c r="CD363" s="2">
        <f>IF(Cases[[#This Row],[Confirmation Type]]="Automatic",1,0)</f>
        <v>1</v>
      </c>
      <c r="CE363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364" spans="1:83" x14ac:dyDescent="0.2">
      <c r="A364" s="1" t="s">
        <v>2202</v>
      </c>
      <c r="B364" s="2" t="s">
        <v>2203</v>
      </c>
      <c r="C364" s="2" t="s">
        <v>311</v>
      </c>
      <c r="D364" s="2" t="s">
        <v>238</v>
      </c>
      <c r="E364" s="3">
        <v>1.42</v>
      </c>
      <c r="F364" s="3">
        <v>40.11</v>
      </c>
      <c r="G364" s="2" t="s">
        <v>588</v>
      </c>
      <c r="H364" s="2" t="s">
        <v>113</v>
      </c>
      <c r="I364" s="3" t="s">
        <v>114</v>
      </c>
      <c r="J364" s="3">
        <v>133</v>
      </c>
      <c r="K364" s="2" t="s">
        <v>2204</v>
      </c>
      <c r="L364" s="4">
        <v>46040</v>
      </c>
      <c r="M364" s="4">
        <v>46036</v>
      </c>
      <c r="N364" s="2" t="s">
        <v>1334</v>
      </c>
      <c r="O364" s="2" t="s">
        <v>181</v>
      </c>
      <c r="P364" s="2" t="s">
        <v>180</v>
      </c>
      <c r="Q364" s="2" t="s">
        <v>86</v>
      </c>
      <c r="R364" s="2" t="s">
        <v>310</v>
      </c>
      <c r="S364" s="4">
        <v>45994</v>
      </c>
      <c r="T364" s="2" t="s">
        <v>1804</v>
      </c>
      <c r="U364" s="2" t="s">
        <v>1805</v>
      </c>
      <c r="V364" s="2" t="s">
        <v>2169</v>
      </c>
      <c r="W364" s="2" t="s">
        <v>1806</v>
      </c>
      <c r="X364" s="2" t="s">
        <v>117</v>
      </c>
      <c r="Y364" s="3" t="s">
        <v>118</v>
      </c>
      <c r="Z364" s="3">
        <v>41.52</v>
      </c>
      <c r="AA364" s="2" t="s">
        <v>90</v>
      </c>
      <c r="AB364" s="2" t="s">
        <v>2205</v>
      </c>
      <c r="AC364" s="2" t="s">
        <v>2206</v>
      </c>
      <c r="AD364" t="str" cm="1">
        <f t="array" ref="AD36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364" s="2" t="s">
        <v>139</v>
      </c>
      <c r="AF364" s="2" t="s">
        <v>92</v>
      </c>
      <c r="AG364" s="2" t="s">
        <v>119</v>
      </c>
      <c r="AH364" s="2" t="s">
        <v>120</v>
      </c>
      <c r="AK364" s="2" t="s">
        <v>2207</v>
      </c>
      <c r="AN364" s="3">
        <v>1</v>
      </c>
      <c r="AO364" s="3">
        <v>1</v>
      </c>
      <c r="AP364" s="3">
        <v>1</v>
      </c>
      <c r="AQ364" s="3">
        <v>1</v>
      </c>
      <c r="AR364" s="3">
        <v>0</v>
      </c>
      <c r="AS364" s="3">
        <v>0</v>
      </c>
      <c r="AT364" s="3">
        <v>0</v>
      </c>
      <c r="AU364" s="3">
        <v>1</v>
      </c>
      <c r="AV364" s="3">
        <v>1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1</v>
      </c>
      <c r="BD364" s="3">
        <v>0</v>
      </c>
      <c r="BE364" s="3">
        <v>1</v>
      </c>
      <c r="BG364" s="2" t="s">
        <v>182</v>
      </c>
      <c r="BH364" s="3">
        <v>4</v>
      </c>
      <c r="BJ364" s="2" t="s">
        <v>96</v>
      </c>
      <c r="BL364" s="2" t="s">
        <v>123</v>
      </c>
      <c r="BM364" s="2" t="s">
        <v>123</v>
      </c>
      <c r="BN364" s="2" t="s">
        <v>124</v>
      </c>
      <c r="BO364" s="2" t="s">
        <v>125</v>
      </c>
      <c r="BP364" s="2" t="s">
        <v>242</v>
      </c>
      <c r="BQ364" s="2" t="s">
        <v>124</v>
      </c>
      <c r="BR364" s="2" t="s">
        <v>126</v>
      </c>
      <c r="BS364" s="2" t="s">
        <v>127</v>
      </c>
      <c r="BT364" s="2" t="s">
        <v>207</v>
      </c>
      <c r="BU364" s="2" t="s">
        <v>208</v>
      </c>
      <c r="BV364" s="2" t="s">
        <v>150</v>
      </c>
      <c r="BW364" s="2" t="s">
        <v>151</v>
      </c>
      <c r="BX364" s="2" t="s">
        <v>182</v>
      </c>
      <c r="BY36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64" s="2">
        <f>IF(AND(Cases[[#This Row],[Priority Level]]&gt;=3,Cases[[#This Row],[System Role]]&lt;&gt;"Productive"),1,0)</f>
        <v>0</v>
      </c>
      <c r="CA364" s="2">
        <f>IFERROR(IF(Cases[[#This Row],[Days at Customer]]&gt;MAX(1,Cases[[#This Row],[Days at SAP]]*2),1,0),0)</f>
        <v>1</v>
      </c>
      <c r="CB364" s="2">
        <f>IF(AND(Cases[[#This Row],[Initial Component]]&lt;&gt;"",Cases[[#This Row],[Component]]&lt;&gt;"",Cases[[#This Row],[Initial Component]]&lt;&gt;Cases[[#This Row],[Component]]),1,0)</f>
        <v>1</v>
      </c>
      <c r="CC364" s="2">
        <f>IF(OR(Cases[[#This Row],[Is Reopened]]="X",Cases[[#This Row],[No. of Reopenings]]&gt;0),1,0)</f>
        <v>0</v>
      </c>
      <c r="CD364" s="2">
        <f>IF(Cases[[#This Row],[Confirmation Type]]="Automatic",1,0)</f>
        <v>1</v>
      </c>
      <c r="CE364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65" spans="1:83" x14ac:dyDescent="0.2">
      <c r="A365" s="1" t="s">
        <v>2208</v>
      </c>
      <c r="B365" s="2" t="s">
        <v>2209</v>
      </c>
      <c r="C365" s="2" t="s">
        <v>1128</v>
      </c>
      <c r="D365" s="2" t="s">
        <v>238</v>
      </c>
      <c r="E365" s="3">
        <v>2.17</v>
      </c>
      <c r="F365" s="3">
        <v>21.17</v>
      </c>
      <c r="G365" s="2" t="s">
        <v>79</v>
      </c>
      <c r="H365" s="2" t="s">
        <v>80</v>
      </c>
      <c r="I365" s="3" t="s">
        <v>114</v>
      </c>
      <c r="J365" s="3">
        <v>133</v>
      </c>
      <c r="K365" s="2" t="s">
        <v>2210</v>
      </c>
      <c r="L365" s="4">
        <v>46019</v>
      </c>
      <c r="M365" s="4">
        <v>46018</v>
      </c>
      <c r="N365" s="2" t="s">
        <v>1804</v>
      </c>
      <c r="O365" s="2" t="s">
        <v>1805</v>
      </c>
      <c r="P365" s="2" t="s">
        <v>1868</v>
      </c>
      <c r="Q365" s="2" t="s">
        <v>1806</v>
      </c>
      <c r="R365" s="2" t="s">
        <v>1130</v>
      </c>
      <c r="S365" s="4">
        <v>45994</v>
      </c>
      <c r="T365" s="2" t="s">
        <v>1804</v>
      </c>
      <c r="U365" s="2" t="s">
        <v>1805</v>
      </c>
      <c r="V365" s="2" t="s">
        <v>2169</v>
      </c>
      <c r="W365" s="2" t="s">
        <v>1806</v>
      </c>
      <c r="X365" s="2" t="s">
        <v>117</v>
      </c>
      <c r="Y365" s="3" t="s">
        <v>118</v>
      </c>
      <c r="Z365" s="3">
        <v>23.34</v>
      </c>
      <c r="AA365" s="2" t="s">
        <v>90</v>
      </c>
      <c r="AB365" s="2" t="s">
        <v>1130</v>
      </c>
      <c r="AC365" s="2" t="s">
        <v>1128</v>
      </c>
      <c r="AD365" t="str" cm="1">
        <f t="array" ref="AD36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365" s="2" t="s">
        <v>139</v>
      </c>
      <c r="AF365" s="2" t="s">
        <v>92</v>
      </c>
      <c r="AG365" s="2" t="s">
        <v>119</v>
      </c>
      <c r="AH365" s="2" t="s">
        <v>120</v>
      </c>
      <c r="AK365" s="2" t="s">
        <v>2211</v>
      </c>
      <c r="AN365" s="3">
        <v>1</v>
      </c>
      <c r="AO365" s="3">
        <v>1</v>
      </c>
      <c r="AP365" s="3">
        <v>1</v>
      </c>
      <c r="AQ365" s="3">
        <v>1</v>
      </c>
      <c r="AR365" s="3">
        <v>0</v>
      </c>
      <c r="AS365" s="3">
        <v>0</v>
      </c>
      <c r="AT365" s="3">
        <v>1</v>
      </c>
      <c r="AU365" s="3">
        <v>0</v>
      </c>
      <c r="AV365" s="3">
        <v>1</v>
      </c>
      <c r="AW365" s="3">
        <v>0</v>
      </c>
      <c r="AX365" s="3">
        <v>0</v>
      </c>
      <c r="AY365" s="3">
        <v>0</v>
      </c>
      <c r="AZ365" s="3">
        <v>1</v>
      </c>
      <c r="BA365" s="3">
        <v>0</v>
      </c>
      <c r="BB365" s="3">
        <v>0</v>
      </c>
      <c r="BC365" s="3">
        <v>1</v>
      </c>
      <c r="BD365" s="3">
        <v>0</v>
      </c>
      <c r="BE365" s="3">
        <v>0</v>
      </c>
      <c r="BG365" s="2" t="s">
        <v>139</v>
      </c>
      <c r="BH365" s="3">
        <v>2</v>
      </c>
      <c r="BJ365" s="2" t="s">
        <v>96</v>
      </c>
      <c r="BL365" s="2" t="s">
        <v>123</v>
      </c>
      <c r="BM365" s="2" t="s">
        <v>123</v>
      </c>
      <c r="BN365" s="2" t="s">
        <v>124</v>
      </c>
      <c r="BO365" s="2" t="s">
        <v>125</v>
      </c>
      <c r="BP365" s="2" t="s">
        <v>242</v>
      </c>
      <c r="BQ365" s="2" t="s">
        <v>124</v>
      </c>
      <c r="BR365" s="2" t="s">
        <v>126</v>
      </c>
      <c r="BS365" s="2" t="s">
        <v>127</v>
      </c>
      <c r="BT365" s="2" t="s">
        <v>207</v>
      </c>
      <c r="BU365" s="2" t="s">
        <v>208</v>
      </c>
      <c r="BV365" s="2" t="s">
        <v>150</v>
      </c>
      <c r="BW365" s="2" t="s">
        <v>151</v>
      </c>
      <c r="BX365" s="2" t="s">
        <v>139</v>
      </c>
      <c r="BY36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65" s="2">
        <f>IF(AND(Cases[[#This Row],[Priority Level]]&gt;=3,Cases[[#This Row],[System Role]]&lt;&gt;"Productive"),1,0)</f>
        <v>0</v>
      </c>
      <c r="CA365" s="2">
        <f>IFERROR(IF(Cases[[#This Row],[Days at Customer]]&gt;MAX(1,Cases[[#This Row],[Days at SAP]]*2),1,0),0)</f>
        <v>1</v>
      </c>
      <c r="CB365" s="2">
        <f>IF(AND(Cases[[#This Row],[Initial Component]]&lt;&gt;"",Cases[[#This Row],[Component]]&lt;&gt;"",Cases[[#This Row],[Initial Component]]&lt;&gt;Cases[[#This Row],[Component]]),1,0)</f>
        <v>0</v>
      </c>
      <c r="CC365" s="2">
        <f>IF(OR(Cases[[#This Row],[Is Reopened]]="X",Cases[[#This Row],[No. of Reopenings]]&gt;0),1,0)</f>
        <v>0</v>
      </c>
      <c r="CD365" s="2">
        <f>IF(Cases[[#This Row],[Confirmation Type]]="Automatic",1,0)</f>
        <v>1</v>
      </c>
      <c r="CE365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66" spans="1:83" x14ac:dyDescent="0.2">
      <c r="A366" s="1" t="s">
        <v>2212</v>
      </c>
      <c r="B366" s="2" t="s">
        <v>2213</v>
      </c>
      <c r="C366" s="2" t="s">
        <v>975</v>
      </c>
      <c r="D366" s="2" t="s">
        <v>78</v>
      </c>
      <c r="E366" s="3">
        <v>5.59</v>
      </c>
      <c r="F366" s="3">
        <v>7.65</v>
      </c>
      <c r="G366" s="2" t="s">
        <v>133</v>
      </c>
      <c r="H366" s="2" t="s">
        <v>324</v>
      </c>
      <c r="I366" s="3" t="s">
        <v>114</v>
      </c>
      <c r="J366" s="3">
        <v>134</v>
      </c>
      <c r="K366" s="2" t="s">
        <v>2214</v>
      </c>
      <c r="L366" s="4">
        <v>46033</v>
      </c>
      <c r="M366" s="4">
        <v>46007</v>
      </c>
      <c r="N366" s="2" t="s">
        <v>1804</v>
      </c>
      <c r="O366" s="2" t="s">
        <v>1805</v>
      </c>
      <c r="P366" s="2" t="s">
        <v>1930</v>
      </c>
      <c r="Q366" s="2" t="s">
        <v>1806</v>
      </c>
      <c r="R366" s="2" t="s">
        <v>974</v>
      </c>
      <c r="S366" s="4">
        <v>45993</v>
      </c>
      <c r="T366" s="2" t="s">
        <v>1804</v>
      </c>
      <c r="U366" s="2" t="s">
        <v>1805</v>
      </c>
      <c r="V366" s="2" t="s">
        <v>2169</v>
      </c>
      <c r="W366" s="2" t="s">
        <v>1806</v>
      </c>
      <c r="X366" s="2" t="s">
        <v>117</v>
      </c>
      <c r="Y366" s="3" t="s">
        <v>118</v>
      </c>
      <c r="Z366" s="3">
        <v>13.24</v>
      </c>
      <c r="AA366" s="2" t="s">
        <v>90</v>
      </c>
      <c r="AB366" s="2" t="s">
        <v>974</v>
      </c>
      <c r="AC366" s="2" t="s">
        <v>975</v>
      </c>
      <c r="AD366" t="str" cm="1">
        <f t="array" ref="AD36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366" s="2" t="s">
        <v>91</v>
      </c>
      <c r="AF366" s="2" t="s">
        <v>1638</v>
      </c>
      <c r="AG366" s="2" t="s">
        <v>119</v>
      </c>
      <c r="AH366" s="2" t="s">
        <v>120</v>
      </c>
      <c r="AK366" s="2" t="s">
        <v>2215</v>
      </c>
      <c r="AN366" s="3">
        <v>1</v>
      </c>
      <c r="AO366" s="3">
        <v>1</v>
      </c>
      <c r="AP366" s="3">
        <v>1</v>
      </c>
      <c r="AQ366" s="3">
        <v>1</v>
      </c>
      <c r="AR366" s="3">
        <v>1</v>
      </c>
      <c r="AS366" s="3">
        <v>0</v>
      </c>
      <c r="AT366" s="3">
        <v>0</v>
      </c>
      <c r="AU366" s="3">
        <v>0</v>
      </c>
      <c r="AV366" s="3">
        <v>0</v>
      </c>
      <c r="AW366" s="3">
        <v>1</v>
      </c>
      <c r="AX366" s="3">
        <v>1</v>
      </c>
      <c r="AY366" s="3">
        <v>0</v>
      </c>
      <c r="AZ366" s="3">
        <v>0</v>
      </c>
      <c r="BA366" s="3">
        <v>1</v>
      </c>
      <c r="BB366" s="3">
        <v>0</v>
      </c>
      <c r="BC366" s="3">
        <v>0</v>
      </c>
      <c r="BD366" s="3">
        <v>0</v>
      </c>
      <c r="BE366" s="3">
        <v>0</v>
      </c>
      <c r="BG366" s="2" t="s">
        <v>91</v>
      </c>
      <c r="BH366" s="3">
        <v>3</v>
      </c>
      <c r="BJ366" s="2" t="s">
        <v>96</v>
      </c>
      <c r="BL366" s="2" t="s">
        <v>123</v>
      </c>
      <c r="BM366" s="2" t="s">
        <v>123</v>
      </c>
      <c r="BN366" s="2" t="s">
        <v>124</v>
      </c>
      <c r="BO366" s="2" t="s">
        <v>125</v>
      </c>
      <c r="BP366" s="2" t="s">
        <v>101</v>
      </c>
      <c r="BQ366" s="2" t="s">
        <v>124</v>
      </c>
      <c r="BR366" s="2" t="s">
        <v>126</v>
      </c>
      <c r="BS366" s="2" t="s">
        <v>127</v>
      </c>
      <c r="BT366" s="2" t="s">
        <v>199</v>
      </c>
      <c r="BU366" s="2" t="s">
        <v>200</v>
      </c>
      <c r="BV366" s="2" t="s">
        <v>166</v>
      </c>
      <c r="BW366" s="2" t="s">
        <v>167</v>
      </c>
      <c r="BX366" s="2" t="s">
        <v>91</v>
      </c>
      <c r="BY36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66" s="2">
        <f>IF(AND(Cases[[#This Row],[Priority Level]]&gt;=3,Cases[[#This Row],[System Role]]&lt;&gt;"Productive"),1,0)</f>
        <v>1</v>
      </c>
      <c r="CA366" s="2">
        <f>IFERROR(IF(Cases[[#This Row],[Days at Customer]]&gt;MAX(1,Cases[[#This Row],[Days at SAP]]*2),1,0),0)</f>
        <v>0</v>
      </c>
      <c r="CB366" s="2">
        <f>IF(AND(Cases[[#This Row],[Initial Component]]&lt;&gt;"",Cases[[#This Row],[Component]]&lt;&gt;"",Cases[[#This Row],[Initial Component]]&lt;&gt;Cases[[#This Row],[Component]]),1,0)</f>
        <v>0</v>
      </c>
      <c r="CC366" s="2">
        <f>IF(OR(Cases[[#This Row],[Is Reopened]]="X",Cases[[#This Row],[No. of Reopenings]]&gt;0),1,0)</f>
        <v>0</v>
      </c>
      <c r="CD366" s="2">
        <f>IF(Cases[[#This Row],[Confirmation Type]]="Automatic",1,0)</f>
        <v>0</v>
      </c>
      <c r="CE366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67" spans="1:83" x14ac:dyDescent="0.2">
      <c r="A367" s="1" t="s">
        <v>1776</v>
      </c>
      <c r="B367" s="2" t="s">
        <v>1777</v>
      </c>
      <c r="C367" s="2" t="s">
        <v>311</v>
      </c>
      <c r="D367" s="2" t="s">
        <v>238</v>
      </c>
      <c r="E367" s="3">
        <v>1.97</v>
      </c>
      <c r="F367" s="3">
        <v>21.55</v>
      </c>
      <c r="G367" s="2" t="s">
        <v>79</v>
      </c>
      <c r="H367" s="2" t="s">
        <v>290</v>
      </c>
      <c r="I367" s="3" t="s">
        <v>114</v>
      </c>
      <c r="J367" s="3">
        <v>100</v>
      </c>
      <c r="K367" s="2" t="s">
        <v>1778</v>
      </c>
      <c r="L367" s="4">
        <v>46054</v>
      </c>
      <c r="M367" s="4">
        <v>46051</v>
      </c>
      <c r="N367" s="2" t="s">
        <v>1334</v>
      </c>
      <c r="O367" s="2" t="s">
        <v>181</v>
      </c>
      <c r="P367" s="2" t="s">
        <v>1335</v>
      </c>
      <c r="Q367" s="2" t="s">
        <v>86</v>
      </c>
      <c r="R367" s="2" t="s">
        <v>310</v>
      </c>
      <c r="S367" s="4">
        <v>46027</v>
      </c>
      <c r="T367" s="2" t="s">
        <v>1334</v>
      </c>
      <c r="U367" s="2" t="s">
        <v>181</v>
      </c>
      <c r="V367" s="2" t="s">
        <v>677</v>
      </c>
      <c r="W367" s="2" t="s">
        <v>86</v>
      </c>
      <c r="X367" s="2" t="s">
        <v>117</v>
      </c>
      <c r="Y367" s="3" t="s">
        <v>118</v>
      </c>
      <c r="Z367" s="3">
        <v>23.53</v>
      </c>
      <c r="AA367" s="2" t="s">
        <v>90</v>
      </c>
      <c r="AB367" s="2" t="s">
        <v>310</v>
      </c>
      <c r="AC367" s="2" t="s">
        <v>311</v>
      </c>
      <c r="AD367" t="str" cm="1">
        <f t="array" ref="AD36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367" s="2" t="s">
        <v>91</v>
      </c>
      <c r="AF367" s="2" t="s">
        <v>92</v>
      </c>
      <c r="AG367" s="2" t="s">
        <v>119</v>
      </c>
      <c r="AH367" s="2" t="s">
        <v>120</v>
      </c>
      <c r="AK367" s="2" t="s">
        <v>1779</v>
      </c>
      <c r="AN367" s="3">
        <v>1</v>
      </c>
      <c r="AO367" s="3">
        <v>1</v>
      </c>
      <c r="AP367" s="3">
        <v>1</v>
      </c>
      <c r="AQ367" s="3">
        <v>1</v>
      </c>
      <c r="AR367" s="3">
        <v>1</v>
      </c>
      <c r="AS367" s="3">
        <v>0</v>
      </c>
      <c r="AT367" s="3">
        <v>0</v>
      </c>
      <c r="AU367" s="3">
        <v>0</v>
      </c>
      <c r="AV367" s="3">
        <v>1</v>
      </c>
      <c r="AW367" s="3">
        <v>0</v>
      </c>
      <c r="AX367" s="3">
        <v>1</v>
      </c>
      <c r="AY367" s="3">
        <v>0</v>
      </c>
      <c r="AZ367" s="3">
        <v>0</v>
      </c>
      <c r="BA367" s="3">
        <v>0</v>
      </c>
      <c r="BB367" s="3">
        <v>0</v>
      </c>
      <c r="BC367" s="3">
        <v>1</v>
      </c>
      <c r="BD367" s="3">
        <v>0</v>
      </c>
      <c r="BE367" s="3">
        <v>0</v>
      </c>
      <c r="BG367" s="2" t="s">
        <v>91</v>
      </c>
      <c r="BH367" s="3">
        <v>3</v>
      </c>
      <c r="BJ367" s="2" t="s">
        <v>96</v>
      </c>
      <c r="BL367" s="2" t="s">
        <v>123</v>
      </c>
      <c r="BM367" s="2" t="s">
        <v>123</v>
      </c>
      <c r="BN367" s="2" t="s">
        <v>124</v>
      </c>
      <c r="BO367" s="2" t="s">
        <v>125</v>
      </c>
      <c r="BP367" s="2" t="s">
        <v>242</v>
      </c>
      <c r="BQ367" s="2" t="s">
        <v>124</v>
      </c>
      <c r="BR367" s="2" t="s">
        <v>126</v>
      </c>
      <c r="BS367" s="2" t="s">
        <v>127</v>
      </c>
      <c r="BT367" s="2" t="s">
        <v>207</v>
      </c>
      <c r="BU367" s="2" t="s">
        <v>208</v>
      </c>
      <c r="BV367" s="2" t="s">
        <v>150</v>
      </c>
      <c r="BW367" s="2" t="s">
        <v>151</v>
      </c>
      <c r="BX367" s="2" t="s">
        <v>91</v>
      </c>
      <c r="BY36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67" s="2">
        <f>IF(AND(Cases[[#This Row],[Priority Level]]&gt;=3,Cases[[#This Row],[System Role]]&lt;&gt;"Productive"),1,0)</f>
        <v>0</v>
      </c>
      <c r="CA367" s="2">
        <f>IFERROR(IF(Cases[[#This Row],[Days at Customer]]&gt;MAX(1,Cases[[#This Row],[Days at SAP]]*2),1,0),0)</f>
        <v>1</v>
      </c>
      <c r="CB367" s="2">
        <f>IF(AND(Cases[[#This Row],[Initial Component]]&lt;&gt;"",Cases[[#This Row],[Component]]&lt;&gt;"",Cases[[#This Row],[Initial Component]]&lt;&gt;Cases[[#This Row],[Component]]),1,0)</f>
        <v>0</v>
      </c>
      <c r="CC367" s="2">
        <f>IF(OR(Cases[[#This Row],[Is Reopened]]="X",Cases[[#This Row],[No. of Reopenings]]&gt;0),1,0)</f>
        <v>0</v>
      </c>
      <c r="CD367" s="2">
        <f>IF(Cases[[#This Row],[Confirmation Type]]="Automatic",1,0)</f>
        <v>1</v>
      </c>
      <c r="CE36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68" spans="1:83" x14ac:dyDescent="0.2">
      <c r="A368" s="1" t="s">
        <v>2220</v>
      </c>
      <c r="B368" s="2" t="s">
        <v>2221</v>
      </c>
      <c r="C368" s="2" t="s">
        <v>2222</v>
      </c>
      <c r="D368" s="2" t="s">
        <v>238</v>
      </c>
      <c r="E368" s="3">
        <v>6.2</v>
      </c>
      <c r="F368" s="3">
        <v>21.68</v>
      </c>
      <c r="G368" s="2" t="s">
        <v>79</v>
      </c>
      <c r="H368" s="2" t="s">
        <v>80</v>
      </c>
      <c r="I368" s="3" t="s">
        <v>114</v>
      </c>
      <c r="J368" s="3">
        <v>134</v>
      </c>
      <c r="K368" s="2" t="s">
        <v>2223</v>
      </c>
      <c r="L368" s="4">
        <v>46026</v>
      </c>
      <c r="M368" s="4">
        <v>46021</v>
      </c>
      <c r="N368" s="2" t="s">
        <v>1804</v>
      </c>
      <c r="O368" s="2" t="s">
        <v>1805</v>
      </c>
      <c r="P368" s="2" t="s">
        <v>1334</v>
      </c>
      <c r="Q368" s="2" t="s">
        <v>1806</v>
      </c>
      <c r="R368" s="2" t="s">
        <v>2224</v>
      </c>
      <c r="S368" s="4">
        <v>45993</v>
      </c>
      <c r="T368" s="2" t="s">
        <v>1804</v>
      </c>
      <c r="U368" s="2" t="s">
        <v>1805</v>
      </c>
      <c r="V368" s="2" t="s">
        <v>2169</v>
      </c>
      <c r="W368" s="2" t="s">
        <v>1806</v>
      </c>
      <c r="X368" s="2" t="s">
        <v>117</v>
      </c>
      <c r="Y368" s="3" t="s">
        <v>118</v>
      </c>
      <c r="Z368" s="3">
        <v>27.88</v>
      </c>
      <c r="AA368" s="2" t="s">
        <v>90</v>
      </c>
      <c r="AB368" s="2" t="s">
        <v>2224</v>
      </c>
      <c r="AC368" s="2" t="s">
        <v>2222</v>
      </c>
      <c r="AD368" t="str" cm="1">
        <f t="array" ref="AD36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368" s="2" t="s">
        <v>158</v>
      </c>
      <c r="AF368" s="2" t="s">
        <v>92</v>
      </c>
      <c r="AG368" s="2" t="s">
        <v>119</v>
      </c>
      <c r="AH368" s="2" t="s">
        <v>120</v>
      </c>
      <c r="AK368" s="2" t="s">
        <v>2225</v>
      </c>
      <c r="AN368" s="3">
        <v>1</v>
      </c>
      <c r="AO368" s="3">
        <v>1</v>
      </c>
      <c r="AP368" s="3">
        <v>1</v>
      </c>
      <c r="AQ368" s="3">
        <v>1</v>
      </c>
      <c r="AR368" s="3">
        <v>0</v>
      </c>
      <c r="AS368" s="3">
        <v>1</v>
      </c>
      <c r="AT368" s="3">
        <v>0</v>
      </c>
      <c r="AU368" s="3">
        <v>0</v>
      </c>
      <c r="AV368" s="3">
        <v>1</v>
      </c>
      <c r="AW368" s="3">
        <v>0</v>
      </c>
      <c r="AX368" s="3">
        <v>0</v>
      </c>
      <c r="AY368" s="3">
        <v>1</v>
      </c>
      <c r="AZ368" s="3">
        <v>0</v>
      </c>
      <c r="BA368" s="3">
        <v>0</v>
      </c>
      <c r="BB368" s="3">
        <v>0</v>
      </c>
      <c r="BC368" s="3">
        <v>1</v>
      </c>
      <c r="BD368" s="3">
        <v>0</v>
      </c>
      <c r="BE368" s="3">
        <v>0</v>
      </c>
      <c r="BG368" s="2" t="s">
        <v>158</v>
      </c>
      <c r="BH368" s="3">
        <v>1</v>
      </c>
      <c r="BJ368" s="2" t="s">
        <v>96</v>
      </c>
      <c r="BL368" s="2" t="s">
        <v>123</v>
      </c>
      <c r="BM368" s="2" t="s">
        <v>123</v>
      </c>
      <c r="BN368" s="2" t="s">
        <v>124</v>
      </c>
      <c r="BO368" s="2" t="s">
        <v>125</v>
      </c>
      <c r="BP368" s="2" t="s">
        <v>242</v>
      </c>
      <c r="BQ368" s="2" t="s">
        <v>124</v>
      </c>
      <c r="BR368" s="2" t="s">
        <v>126</v>
      </c>
      <c r="BS368" s="2" t="s">
        <v>127</v>
      </c>
      <c r="BT368" s="2" t="s">
        <v>174</v>
      </c>
      <c r="BU368" s="2" t="s">
        <v>175</v>
      </c>
      <c r="BV368" s="2" t="s">
        <v>150</v>
      </c>
      <c r="BW368" s="2" t="s">
        <v>151</v>
      </c>
      <c r="BX368" s="2" t="s">
        <v>158</v>
      </c>
      <c r="BY36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68" s="2">
        <f>IF(AND(Cases[[#This Row],[Priority Level]]&gt;=3,Cases[[#This Row],[System Role]]&lt;&gt;"Productive"),1,0)</f>
        <v>0</v>
      </c>
      <c r="CA368" s="2">
        <f>IFERROR(IF(Cases[[#This Row],[Days at Customer]]&gt;MAX(1,Cases[[#This Row],[Days at SAP]]*2),1,0),0)</f>
        <v>1</v>
      </c>
      <c r="CB368" s="2">
        <f>IF(AND(Cases[[#This Row],[Initial Component]]&lt;&gt;"",Cases[[#This Row],[Component]]&lt;&gt;"",Cases[[#This Row],[Initial Component]]&lt;&gt;Cases[[#This Row],[Component]]),1,0)</f>
        <v>0</v>
      </c>
      <c r="CC368" s="2">
        <f>IF(OR(Cases[[#This Row],[Is Reopened]]="X",Cases[[#This Row],[No. of Reopenings]]&gt;0),1,0)</f>
        <v>0</v>
      </c>
      <c r="CD368" s="2">
        <f>IF(Cases[[#This Row],[Confirmation Type]]="Automatic",1,0)</f>
        <v>1</v>
      </c>
      <c r="CE36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69" spans="1:83" x14ac:dyDescent="0.2">
      <c r="A369" s="1" t="s">
        <v>2226</v>
      </c>
      <c r="B369" s="2" t="s">
        <v>2227</v>
      </c>
      <c r="C369" s="2" t="s">
        <v>231</v>
      </c>
      <c r="D369" s="2" t="s">
        <v>238</v>
      </c>
      <c r="E369" s="3">
        <v>15.65</v>
      </c>
      <c r="F369" s="3">
        <v>36.119999999999997</v>
      </c>
      <c r="G369" s="2" t="s">
        <v>79</v>
      </c>
      <c r="H369" s="2" t="s">
        <v>80</v>
      </c>
      <c r="I369" s="3" t="s">
        <v>114</v>
      </c>
      <c r="J369" s="3">
        <v>134</v>
      </c>
      <c r="K369" s="2" t="s">
        <v>2228</v>
      </c>
      <c r="L369" s="4">
        <v>46047</v>
      </c>
      <c r="M369" s="4">
        <v>46044</v>
      </c>
      <c r="N369" s="2" t="s">
        <v>1334</v>
      </c>
      <c r="O369" s="2" t="s">
        <v>181</v>
      </c>
      <c r="P369" s="2" t="s">
        <v>83</v>
      </c>
      <c r="Q369" s="2" t="s">
        <v>86</v>
      </c>
      <c r="R369" s="2" t="s">
        <v>233</v>
      </c>
      <c r="S369" s="4">
        <v>45993</v>
      </c>
      <c r="T369" s="2" t="s">
        <v>1804</v>
      </c>
      <c r="U369" s="2" t="s">
        <v>1805</v>
      </c>
      <c r="V369" s="2" t="s">
        <v>2169</v>
      </c>
      <c r="W369" s="2" t="s">
        <v>1806</v>
      </c>
      <c r="X369" s="2" t="s">
        <v>117</v>
      </c>
      <c r="Y369" s="3" t="s">
        <v>118</v>
      </c>
      <c r="Z369" s="3">
        <v>51.77</v>
      </c>
      <c r="AA369" s="2" t="s">
        <v>90</v>
      </c>
      <c r="AB369" s="2" t="s">
        <v>233</v>
      </c>
      <c r="AC369" s="2" t="s">
        <v>231</v>
      </c>
      <c r="AD369" t="str" cm="1">
        <f t="array" ref="AD36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369" s="2" t="s">
        <v>91</v>
      </c>
      <c r="AF369" s="2" t="s">
        <v>92</v>
      </c>
      <c r="AG369" s="2" t="s">
        <v>119</v>
      </c>
      <c r="AH369" s="2" t="s">
        <v>120</v>
      </c>
      <c r="AJ369" s="2" t="s">
        <v>122</v>
      </c>
      <c r="AK369" s="2" t="s">
        <v>2229</v>
      </c>
      <c r="AN369" s="3">
        <v>1</v>
      </c>
      <c r="AO369" s="3">
        <v>1</v>
      </c>
      <c r="AP369" s="3">
        <v>1</v>
      </c>
      <c r="AQ369" s="3">
        <v>1</v>
      </c>
      <c r="AR369" s="3">
        <v>1</v>
      </c>
      <c r="AS369" s="3">
        <v>0</v>
      </c>
      <c r="AT369" s="3">
        <v>0</v>
      </c>
      <c r="AU369" s="3">
        <v>0</v>
      </c>
      <c r="AV369" s="3">
        <v>1</v>
      </c>
      <c r="AW369" s="3">
        <v>0</v>
      </c>
      <c r="AX369" s="3">
        <v>1</v>
      </c>
      <c r="AY369" s="3">
        <v>0</v>
      </c>
      <c r="AZ369" s="3">
        <v>0</v>
      </c>
      <c r="BA369" s="3">
        <v>0</v>
      </c>
      <c r="BB369" s="3">
        <v>0</v>
      </c>
      <c r="BC369" s="3">
        <v>1</v>
      </c>
      <c r="BD369" s="3">
        <v>2</v>
      </c>
      <c r="BE369" s="3">
        <v>0</v>
      </c>
      <c r="BG369" s="2" t="s">
        <v>91</v>
      </c>
      <c r="BH369" s="3">
        <v>3</v>
      </c>
      <c r="BJ369" s="2" t="s">
        <v>96</v>
      </c>
      <c r="BL369" s="2" t="s">
        <v>123</v>
      </c>
      <c r="BM369" s="2" t="s">
        <v>123</v>
      </c>
      <c r="BN369" s="2" t="s">
        <v>124</v>
      </c>
      <c r="BO369" s="2" t="s">
        <v>125</v>
      </c>
      <c r="BP369" s="2" t="s">
        <v>242</v>
      </c>
      <c r="BQ369" s="2" t="s">
        <v>124</v>
      </c>
      <c r="BR369" s="2" t="s">
        <v>126</v>
      </c>
      <c r="BS369" s="2" t="s">
        <v>127</v>
      </c>
      <c r="BT369" s="2" t="s">
        <v>207</v>
      </c>
      <c r="BU369" s="2" t="s">
        <v>208</v>
      </c>
      <c r="BV369" s="2" t="s">
        <v>150</v>
      </c>
      <c r="BW369" s="2" t="s">
        <v>151</v>
      </c>
      <c r="BX369" s="2" t="s">
        <v>91</v>
      </c>
      <c r="BY36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69" s="2">
        <f>IF(AND(Cases[[#This Row],[Priority Level]]&gt;=3,Cases[[#This Row],[System Role]]&lt;&gt;"Productive"),1,0)</f>
        <v>0</v>
      </c>
      <c r="CA369" s="2">
        <f>IFERROR(IF(Cases[[#This Row],[Days at Customer]]&gt;MAX(1,Cases[[#This Row],[Days at SAP]]*2),1,0),0)</f>
        <v>1</v>
      </c>
      <c r="CB369" s="2">
        <f>IF(AND(Cases[[#This Row],[Initial Component]]&lt;&gt;"",Cases[[#This Row],[Component]]&lt;&gt;"",Cases[[#This Row],[Initial Component]]&lt;&gt;Cases[[#This Row],[Component]]),1,0)</f>
        <v>0</v>
      </c>
      <c r="CC369" s="2">
        <f>IF(OR(Cases[[#This Row],[Is Reopened]]="X",Cases[[#This Row],[No. of Reopenings]]&gt;0),1,0)</f>
        <v>1</v>
      </c>
      <c r="CD369" s="2">
        <f>IF(Cases[[#This Row],[Confirmation Type]]="Automatic",1,0)</f>
        <v>1</v>
      </c>
      <c r="CE369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70" spans="1:83" x14ac:dyDescent="0.2">
      <c r="A370" s="1" t="s">
        <v>2230</v>
      </c>
      <c r="B370" s="2" t="s">
        <v>2231</v>
      </c>
      <c r="C370" s="2" t="s">
        <v>746</v>
      </c>
      <c r="D370" s="2" t="s">
        <v>78</v>
      </c>
      <c r="E370" s="3">
        <v>6.73</v>
      </c>
      <c r="F370" s="3">
        <v>1.07</v>
      </c>
      <c r="G370" s="2" t="s">
        <v>79</v>
      </c>
      <c r="H370" s="2" t="s">
        <v>178</v>
      </c>
      <c r="I370" s="3" t="s">
        <v>114</v>
      </c>
      <c r="J370" s="3">
        <v>134</v>
      </c>
      <c r="K370" s="2" t="s">
        <v>2232</v>
      </c>
      <c r="L370" s="4">
        <v>46009</v>
      </c>
      <c r="M370" s="4">
        <v>46001</v>
      </c>
      <c r="N370" s="2" t="s">
        <v>1804</v>
      </c>
      <c r="O370" s="2" t="s">
        <v>1805</v>
      </c>
      <c r="P370" s="2" t="s">
        <v>2037</v>
      </c>
      <c r="Q370" s="2" t="s">
        <v>1806</v>
      </c>
      <c r="R370" s="2" t="s">
        <v>748</v>
      </c>
      <c r="S370" s="4">
        <v>45993</v>
      </c>
      <c r="T370" s="2" t="s">
        <v>1804</v>
      </c>
      <c r="U370" s="2" t="s">
        <v>1805</v>
      </c>
      <c r="V370" s="2" t="s">
        <v>2169</v>
      </c>
      <c r="W370" s="2" t="s">
        <v>1806</v>
      </c>
      <c r="X370" s="2" t="s">
        <v>117</v>
      </c>
      <c r="Y370" s="3" t="s">
        <v>118</v>
      </c>
      <c r="Z370" s="3">
        <v>7.8</v>
      </c>
      <c r="AA370" s="2" t="s">
        <v>90</v>
      </c>
      <c r="AB370" s="2" t="s">
        <v>748</v>
      </c>
      <c r="AC370" s="2" t="s">
        <v>746</v>
      </c>
      <c r="AD370" t="str" cm="1">
        <f t="array" ref="AD37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370" s="2" t="s">
        <v>158</v>
      </c>
      <c r="AF370" s="2" t="s">
        <v>92</v>
      </c>
      <c r="AG370" s="2" t="s">
        <v>159</v>
      </c>
      <c r="AH370" s="2" t="s">
        <v>160</v>
      </c>
      <c r="AK370" s="2" t="s">
        <v>2233</v>
      </c>
      <c r="AN370" s="3">
        <v>1</v>
      </c>
      <c r="AO370" s="3">
        <v>1</v>
      </c>
      <c r="AP370" s="3">
        <v>1</v>
      </c>
      <c r="AQ370" s="3">
        <v>1</v>
      </c>
      <c r="AR370" s="3">
        <v>0</v>
      </c>
      <c r="AS370" s="3">
        <v>1</v>
      </c>
      <c r="AT370" s="3">
        <v>0</v>
      </c>
      <c r="AU370" s="3">
        <v>0</v>
      </c>
      <c r="AV370" s="3">
        <v>0</v>
      </c>
      <c r="AW370" s="3">
        <v>1</v>
      </c>
      <c r="AX370" s="3">
        <v>0</v>
      </c>
      <c r="AY370" s="3">
        <v>1</v>
      </c>
      <c r="AZ370" s="3">
        <v>0</v>
      </c>
      <c r="BA370" s="3">
        <v>0</v>
      </c>
      <c r="BB370" s="3">
        <v>0</v>
      </c>
      <c r="BC370" s="3">
        <v>1</v>
      </c>
      <c r="BD370" s="3">
        <v>0</v>
      </c>
      <c r="BE370" s="3">
        <v>0</v>
      </c>
      <c r="BG370" s="2" t="s">
        <v>158</v>
      </c>
      <c r="BH370" s="3">
        <v>1</v>
      </c>
      <c r="BJ370" s="2" t="s">
        <v>96</v>
      </c>
      <c r="BL370" s="2" t="s">
        <v>162</v>
      </c>
      <c r="BM370" s="2" t="s">
        <v>163</v>
      </c>
      <c r="BN370" s="2" t="s">
        <v>99</v>
      </c>
      <c r="BO370" s="2" t="s">
        <v>100</v>
      </c>
      <c r="BP370" s="2" t="s">
        <v>101</v>
      </c>
      <c r="BQ370" s="2" t="s">
        <v>102</v>
      </c>
      <c r="BR370" s="2" t="s">
        <v>103</v>
      </c>
      <c r="BS370" s="2" t="s">
        <v>127</v>
      </c>
      <c r="BT370" s="2" t="s">
        <v>398</v>
      </c>
      <c r="BU370" s="2" t="s">
        <v>399</v>
      </c>
      <c r="BV370" s="2" t="s">
        <v>150</v>
      </c>
      <c r="BW370" s="2" t="s">
        <v>151</v>
      </c>
      <c r="BX370" s="2" t="s">
        <v>158</v>
      </c>
      <c r="BY37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70" s="2">
        <f>IF(AND(Cases[[#This Row],[Priority Level]]&gt;=3,Cases[[#This Row],[System Role]]&lt;&gt;"Productive"),1,0)</f>
        <v>0</v>
      </c>
      <c r="CA370" s="2">
        <f>IFERROR(IF(Cases[[#This Row],[Days at Customer]]&gt;MAX(1,Cases[[#This Row],[Days at SAP]]*2),1,0),0)</f>
        <v>0</v>
      </c>
      <c r="CB370" s="2">
        <f>IF(AND(Cases[[#This Row],[Initial Component]]&lt;&gt;"",Cases[[#This Row],[Component]]&lt;&gt;"",Cases[[#This Row],[Initial Component]]&lt;&gt;Cases[[#This Row],[Component]]),1,0)</f>
        <v>0</v>
      </c>
      <c r="CC370" s="2">
        <f>IF(OR(Cases[[#This Row],[Is Reopened]]="X",Cases[[#This Row],[No. of Reopenings]]&gt;0),1,0)</f>
        <v>0</v>
      </c>
      <c r="CD370" s="2">
        <f>IF(Cases[[#This Row],[Confirmation Type]]="Automatic",1,0)</f>
        <v>0</v>
      </c>
      <c r="CE370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71" spans="1:83" x14ac:dyDescent="0.2">
      <c r="A371" s="1" t="s">
        <v>2234</v>
      </c>
      <c r="B371" s="2" t="s">
        <v>2235</v>
      </c>
      <c r="C371" s="2" t="s">
        <v>2236</v>
      </c>
      <c r="D371" s="2" t="s">
        <v>238</v>
      </c>
      <c r="E371" s="3">
        <v>2.2200000000000002</v>
      </c>
      <c r="F371" s="3">
        <v>35.35</v>
      </c>
      <c r="G371" s="2" t="s">
        <v>190</v>
      </c>
      <c r="H371" s="2" t="s">
        <v>191</v>
      </c>
      <c r="I371" s="3" t="s">
        <v>114</v>
      </c>
      <c r="J371" s="3">
        <v>134</v>
      </c>
      <c r="K371" s="2" t="s">
        <v>2237</v>
      </c>
      <c r="L371" s="4">
        <v>46033</v>
      </c>
      <c r="M371" s="4">
        <v>46031</v>
      </c>
      <c r="N371" s="2" t="s">
        <v>1334</v>
      </c>
      <c r="O371" s="2" t="s">
        <v>181</v>
      </c>
      <c r="P371" s="2" t="s">
        <v>677</v>
      </c>
      <c r="Q371" s="2" t="s">
        <v>86</v>
      </c>
      <c r="R371" s="2" t="s">
        <v>2238</v>
      </c>
      <c r="S371" s="4">
        <v>45993</v>
      </c>
      <c r="T371" s="2" t="s">
        <v>1804</v>
      </c>
      <c r="U371" s="2" t="s">
        <v>1805</v>
      </c>
      <c r="V371" s="2" t="s">
        <v>2169</v>
      </c>
      <c r="W371" s="2" t="s">
        <v>1806</v>
      </c>
      <c r="X371" s="2" t="s">
        <v>117</v>
      </c>
      <c r="Y371" s="3" t="s">
        <v>118</v>
      </c>
      <c r="Z371" s="3">
        <v>37.57</v>
      </c>
      <c r="AA371" s="2" t="s">
        <v>90</v>
      </c>
      <c r="AB371" s="2" t="s">
        <v>2238</v>
      </c>
      <c r="AC371" s="2" t="s">
        <v>2236</v>
      </c>
      <c r="AD371" t="str" cm="1">
        <f t="array" ref="AD37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371" s="2" t="s">
        <v>139</v>
      </c>
      <c r="AF371" s="2" t="s">
        <v>92</v>
      </c>
      <c r="AG371" s="2" t="s">
        <v>119</v>
      </c>
      <c r="AH371" s="2" t="s">
        <v>120</v>
      </c>
      <c r="AK371" s="2" t="s">
        <v>2239</v>
      </c>
      <c r="AN371" s="3">
        <v>1</v>
      </c>
      <c r="AO371" s="3">
        <v>1</v>
      </c>
      <c r="AP371" s="3">
        <v>1</v>
      </c>
      <c r="AQ371" s="3">
        <v>1</v>
      </c>
      <c r="AR371" s="3">
        <v>0</v>
      </c>
      <c r="AS371" s="3">
        <v>0</v>
      </c>
      <c r="AT371" s="3">
        <v>1</v>
      </c>
      <c r="AU371" s="3">
        <v>0</v>
      </c>
      <c r="AV371" s="3">
        <v>1</v>
      </c>
      <c r="AW371" s="3">
        <v>0</v>
      </c>
      <c r="AX371" s="3">
        <v>0</v>
      </c>
      <c r="AY371" s="3">
        <v>0</v>
      </c>
      <c r="AZ371" s="3">
        <v>1</v>
      </c>
      <c r="BA371" s="3">
        <v>1</v>
      </c>
      <c r="BB371" s="3">
        <v>0</v>
      </c>
      <c r="BC371" s="3">
        <v>0</v>
      </c>
      <c r="BD371" s="3">
        <v>0</v>
      </c>
      <c r="BE371" s="3">
        <v>0</v>
      </c>
      <c r="BG371" s="2" t="s">
        <v>139</v>
      </c>
      <c r="BH371" s="3">
        <v>2</v>
      </c>
      <c r="BJ371" s="2" t="s">
        <v>96</v>
      </c>
      <c r="BL371" s="2" t="s">
        <v>123</v>
      </c>
      <c r="BM371" s="2" t="s">
        <v>123</v>
      </c>
      <c r="BN371" s="2" t="s">
        <v>124</v>
      </c>
      <c r="BO371" s="2" t="s">
        <v>125</v>
      </c>
      <c r="BP371" s="2" t="s">
        <v>242</v>
      </c>
      <c r="BQ371" s="2" t="s">
        <v>124</v>
      </c>
      <c r="BR371" s="2" t="s">
        <v>126</v>
      </c>
      <c r="BS371" s="2" t="s">
        <v>713</v>
      </c>
      <c r="BT371" s="2" t="s">
        <v>2240</v>
      </c>
      <c r="BU371" s="2" t="s">
        <v>2241</v>
      </c>
      <c r="BV371" s="2" t="s">
        <v>107</v>
      </c>
      <c r="BW371" s="2" t="s">
        <v>108</v>
      </c>
      <c r="BX371" s="2" t="s">
        <v>139</v>
      </c>
      <c r="BY37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71" s="2">
        <f>IF(AND(Cases[[#This Row],[Priority Level]]&gt;=3,Cases[[#This Row],[System Role]]&lt;&gt;"Productive"),1,0)</f>
        <v>0</v>
      </c>
      <c r="CA371" s="2">
        <f>IFERROR(IF(Cases[[#This Row],[Days at Customer]]&gt;MAX(1,Cases[[#This Row],[Days at SAP]]*2),1,0),0)</f>
        <v>1</v>
      </c>
      <c r="CB371" s="2">
        <f>IF(AND(Cases[[#This Row],[Initial Component]]&lt;&gt;"",Cases[[#This Row],[Component]]&lt;&gt;"",Cases[[#This Row],[Initial Component]]&lt;&gt;Cases[[#This Row],[Component]]),1,0)</f>
        <v>0</v>
      </c>
      <c r="CC371" s="2">
        <f>IF(OR(Cases[[#This Row],[Is Reopened]]="X",Cases[[#This Row],[No. of Reopenings]]&gt;0),1,0)</f>
        <v>0</v>
      </c>
      <c r="CD371" s="2">
        <f>IF(Cases[[#This Row],[Confirmation Type]]="Automatic",1,0)</f>
        <v>1</v>
      </c>
      <c r="CE371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72" spans="1:83" x14ac:dyDescent="0.2">
      <c r="A372" s="1" t="s">
        <v>2242</v>
      </c>
      <c r="B372" s="2" t="s">
        <v>2243</v>
      </c>
      <c r="C372" s="2" t="s">
        <v>1853</v>
      </c>
      <c r="D372" s="2" t="s">
        <v>238</v>
      </c>
      <c r="E372" s="3">
        <v>0.05</v>
      </c>
      <c r="F372" s="3">
        <v>21.39</v>
      </c>
      <c r="G372" s="2" t="s">
        <v>79</v>
      </c>
      <c r="H372" s="2" t="s">
        <v>178</v>
      </c>
      <c r="I372" s="3" t="s">
        <v>114</v>
      </c>
      <c r="J372" s="3">
        <v>134</v>
      </c>
      <c r="K372" s="2" t="s">
        <v>2244</v>
      </c>
      <c r="L372" s="4">
        <v>46019</v>
      </c>
      <c r="M372" s="4">
        <v>46014</v>
      </c>
      <c r="N372" s="2" t="s">
        <v>1804</v>
      </c>
      <c r="O372" s="2" t="s">
        <v>1805</v>
      </c>
      <c r="P372" s="2" t="s">
        <v>1868</v>
      </c>
      <c r="Q372" s="2" t="s">
        <v>1806</v>
      </c>
      <c r="R372" s="2" t="s">
        <v>1852</v>
      </c>
      <c r="S372" s="4">
        <v>45993</v>
      </c>
      <c r="T372" s="2" t="s">
        <v>1804</v>
      </c>
      <c r="U372" s="2" t="s">
        <v>1805</v>
      </c>
      <c r="V372" s="2" t="s">
        <v>2169</v>
      </c>
      <c r="W372" s="2" t="s">
        <v>1806</v>
      </c>
      <c r="X372" s="2" t="s">
        <v>117</v>
      </c>
      <c r="Y372" s="3" t="s">
        <v>118</v>
      </c>
      <c r="Z372" s="3">
        <v>21.44</v>
      </c>
      <c r="AA372" s="2" t="s">
        <v>90</v>
      </c>
      <c r="AB372" s="2" t="s">
        <v>1852</v>
      </c>
      <c r="AC372" s="2" t="s">
        <v>1853</v>
      </c>
      <c r="AD372" t="str" cm="1">
        <f t="array" ref="AD37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372" s="2" t="s">
        <v>158</v>
      </c>
      <c r="AF372" s="2" t="s">
        <v>92</v>
      </c>
      <c r="AG372" s="2" t="s">
        <v>119</v>
      </c>
      <c r="AH372" s="2" t="s">
        <v>120</v>
      </c>
      <c r="AK372" s="2" t="s">
        <v>2245</v>
      </c>
      <c r="AN372" s="3">
        <v>1</v>
      </c>
      <c r="AO372" s="3">
        <v>1</v>
      </c>
      <c r="AP372" s="3">
        <v>1</v>
      </c>
      <c r="AQ372" s="3">
        <v>1</v>
      </c>
      <c r="AR372" s="3">
        <v>0</v>
      </c>
      <c r="AS372" s="3">
        <v>1</v>
      </c>
      <c r="AT372" s="3">
        <v>0</v>
      </c>
      <c r="AU372" s="3">
        <v>0</v>
      </c>
      <c r="AV372" s="3">
        <v>1</v>
      </c>
      <c r="AW372" s="3">
        <v>0</v>
      </c>
      <c r="AX372" s="3">
        <v>0</v>
      </c>
      <c r="AY372" s="3">
        <v>1</v>
      </c>
      <c r="AZ372" s="3">
        <v>0</v>
      </c>
      <c r="BA372" s="3">
        <v>0</v>
      </c>
      <c r="BB372" s="3">
        <v>0</v>
      </c>
      <c r="BC372" s="3">
        <v>1</v>
      </c>
      <c r="BD372" s="3">
        <v>0</v>
      </c>
      <c r="BE372" s="3">
        <v>0</v>
      </c>
      <c r="BG372" s="2" t="s">
        <v>158</v>
      </c>
      <c r="BH372" s="3">
        <v>1</v>
      </c>
      <c r="BJ372" s="2" t="s">
        <v>96</v>
      </c>
      <c r="BL372" s="2" t="s">
        <v>382</v>
      </c>
      <c r="BM372" s="2" t="s">
        <v>382</v>
      </c>
      <c r="BN372" s="2" t="s">
        <v>99</v>
      </c>
      <c r="BO372" s="2" t="s">
        <v>100</v>
      </c>
      <c r="BP372" s="2" t="s">
        <v>242</v>
      </c>
      <c r="BQ372" s="2" t="s">
        <v>383</v>
      </c>
      <c r="BR372" s="2" t="s">
        <v>384</v>
      </c>
      <c r="BS372" s="2" t="s">
        <v>127</v>
      </c>
      <c r="BT372" s="2" t="s">
        <v>1000</v>
      </c>
      <c r="BU372" s="2" t="s">
        <v>1001</v>
      </c>
      <c r="BV372" s="2" t="s">
        <v>150</v>
      </c>
      <c r="BW372" s="2" t="s">
        <v>151</v>
      </c>
      <c r="BX372" s="2" t="s">
        <v>158</v>
      </c>
      <c r="BY37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72" s="2">
        <f>IF(AND(Cases[[#This Row],[Priority Level]]&gt;=3,Cases[[#This Row],[System Role]]&lt;&gt;"Productive"),1,0)</f>
        <v>0</v>
      </c>
      <c r="CA372" s="2">
        <f>IFERROR(IF(Cases[[#This Row],[Days at Customer]]&gt;MAX(1,Cases[[#This Row],[Days at SAP]]*2),1,0),0)</f>
        <v>1</v>
      </c>
      <c r="CB372" s="2">
        <f>IF(AND(Cases[[#This Row],[Initial Component]]&lt;&gt;"",Cases[[#This Row],[Component]]&lt;&gt;"",Cases[[#This Row],[Initial Component]]&lt;&gt;Cases[[#This Row],[Component]]),1,0)</f>
        <v>0</v>
      </c>
      <c r="CC372" s="2">
        <f>IF(OR(Cases[[#This Row],[Is Reopened]]="X",Cases[[#This Row],[No. of Reopenings]]&gt;0),1,0)</f>
        <v>0</v>
      </c>
      <c r="CD372" s="2">
        <f>IF(Cases[[#This Row],[Confirmation Type]]="Automatic",1,0)</f>
        <v>1</v>
      </c>
      <c r="CE372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73" spans="1:83" x14ac:dyDescent="0.2">
      <c r="A373" s="1" t="s">
        <v>2246</v>
      </c>
      <c r="B373" s="2" t="s">
        <v>2247</v>
      </c>
      <c r="C373" s="2" t="s">
        <v>925</v>
      </c>
      <c r="D373" s="2" t="s">
        <v>238</v>
      </c>
      <c r="E373" s="3">
        <v>5.67</v>
      </c>
      <c r="F373" s="3">
        <v>36.79</v>
      </c>
      <c r="G373" s="2" t="s">
        <v>79</v>
      </c>
      <c r="H373" s="2" t="s">
        <v>80</v>
      </c>
      <c r="I373" s="3" t="s">
        <v>114</v>
      </c>
      <c r="J373" s="3">
        <v>134</v>
      </c>
      <c r="K373" s="2" t="s">
        <v>2248</v>
      </c>
      <c r="L373" s="4">
        <v>46040</v>
      </c>
      <c r="M373" s="4">
        <v>46036</v>
      </c>
      <c r="N373" s="2" t="s">
        <v>1334</v>
      </c>
      <c r="O373" s="2" t="s">
        <v>181</v>
      </c>
      <c r="P373" s="2" t="s">
        <v>180</v>
      </c>
      <c r="Q373" s="2" t="s">
        <v>86</v>
      </c>
      <c r="R373" s="2" t="s">
        <v>927</v>
      </c>
      <c r="S373" s="4">
        <v>45993</v>
      </c>
      <c r="T373" s="2" t="s">
        <v>1804</v>
      </c>
      <c r="U373" s="2" t="s">
        <v>1805</v>
      </c>
      <c r="V373" s="2" t="s">
        <v>2169</v>
      </c>
      <c r="W373" s="2" t="s">
        <v>1806</v>
      </c>
      <c r="X373" s="2" t="s">
        <v>117</v>
      </c>
      <c r="Y373" s="3" t="s">
        <v>118</v>
      </c>
      <c r="Z373" s="3">
        <v>42.46</v>
      </c>
      <c r="AA373" s="2" t="s">
        <v>138</v>
      </c>
      <c r="AB373" s="2" t="s">
        <v>927</v>
      </c>
      <c r="AC373" s="2" t="s">
        <v>925</v>
      </c>
      <c r="AD373" t="str" cm="1">
        <f t="array" ref="AD37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EAM</v>
      </c>
      <c r="AE373" s="2" t="s">
        <v>139</v>
      </c>
      <c r="AF373" s="2" t="s">
        <v>92</v>
      </c>
      <c r="AG373" s="2" t="s">
        <v>274</v>
      </c>
      <c r="AH373" s="2" t="s">
        <v>275</v>
      </c>
      <c r="AK373" s="2" t="s">
        <v>2249</v>
      </c>
      <c r="AN373" s="3">
        <v>1</v>
      </c>
      <c r="AO373" s="3">
        <v>1</v>
      </c>
      <c r="AP373" s="3">
        <v>1</v>
      </c>
      <c r="AQ373" s="3">
        <v>1</v>
      </c>
      <c r="AR373" s="3">
        <v>0</v>
      </c>
      <c r="AS373" s="3">
        <v>0</v>
      </c>
      <c r="AT373" s="3">
        <v>1</v>
      </c>
      <c r="AU373" s="3">
        <v>0</v>
      </c>
      <c r="AV373" s="3">
        <v>1</v>
      </c>
      <c r="AW373" s="3">
        <v>0</v>
      </c>
      <c r="AX373" s="3">
        <v>0</v>
      </c>
      <c r="AY373" s="3">
        <v>0</v>
      </c>
      <c r="AZ373" s="3">
        <v>1</v>
      </c>
      <c r="BA373" s="3">
        <v>0</v>
      </c>
      <c r="BB373" s="3">
        <v>0</v>
      </c>
      <c r="BC373" s="3">
        <v>1</v>
      </c>
      <c r="BD373" s="3">
        <v>0</v>
      </c>
      <c r="BE373" s="3">
        <v>0</v>
      </c>
      <c r="BG373" s="2" t="s">
        <v>139</v>
      </c>
      <c r="BH373" s="3">
        <v>2</v>
      </c>
      <c r="BJ373" s="2" t="s">
        <v>96</v>
      </c>
      <c r="BL373" s="2" t="s">
        <v>931</v>
      </c>
      <c r="BM373" s="2" t="s">
        <v>932</v>
      </c>
      <c r="BN373" s="2" t="s">
        <v>279</v>
      </c>
      <c r="BO373" s="2" t="s">
        <v>280</v>
      </c>
      <c r="BP373" s="2" t="s">
        <v>242</v>
      </c>
      <c r="BQ373" s="2" t="s">
        <v>448</v>
      </c>
      <c r="BR373" s="2" t="s">
        <v>449</v>
      </c>
      <c r="BS373" s="2" t="s">
        <v>450</v>
      </c>
      <c r="BT373" s="2" t="s">
        <v>148</v>
      </c>
      <c r="BU373" s="2" t="s">
        <v>2250</v>
      </c>
      <c r="BV373" s="2" t="s">
        <v>150</v>
      </c>
      <c r="BW373" s="2" t="s">
        <v>151</v>
      </c>
      <c r="BX373" s="2" t="s">
        <v>139</v>
      </c>
      <c r="BY37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73" s="2">
        <f>IF(AND(Cases[[#This Row],[Priority Level]]&gt;=3,Cases[[#This Row],[System Role]]&lt;&gt;"Productive"),1,0)</f>
        <v>0</v>
      </c>
      <c r="CA373" s="2">
        <f>IFERROR(IF(Cases[[#This Row],[Days at Customer]]&gt;MAX(1,Cases[[#This Row],[Days at SAP]]*2),1,0),0)</f>
        <v>1</v>
      </c>
      <c r="CB373" s="2">
        <f>IF(AND(Cases[[#This Row],[Initial Component]]&lt;&gt;"",Cases[[#This Row],[Component]]&lt;&gt;"",Cases[[#This Row],[Initial Component]]&lt;&gt;Cases[[#This Row],[Component]]),1,0)</f>
        <v>0</v>
      </c>
      <c r="CC373" s="2">
        <f>IF(OR(Cases[[#This Row],[Is Reopened]]="X",Cases[[#This Row],[No. of Reopenings]]&gt;0),1,0)</f>
        <v>0</v>
      </c>
      <c r="CD373" s="2">
        <f>IF(Cases[[#This Row],[Confirmation Type]]="Automatic",1,0)</f>
        <v>1</v>
      </c>
      <c r="CE373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74" spans="1:83" x14ac:dyDescent="0.2">
      <c r="A374" s="1" t="s">
        <v>2251</v>
      </c>
      <c r="B374" s="2" t="s">
        <v>2252</v>
      </c>
      <c r="C374" s="2" t="s">
        <v>2253</v>
      </c>
      <c r="D374" s="2" t="s">
        <v>78</v>
      </c>
      <c r="E374" s="3">
        <v>3.35</v>
      </c>
      <c r="F374" s="3">
        <v>17.3</v>
      </c>
      <c r="G374" s="2" t="s">
        <v>79</v>
      </c>
      <c r="H374" s="2" t="s">
        <v>80</v>
      </c>
      <c r="I374" s="3" t="s">
        <v>81</v>
      </c>
      <c r="J374" s="3">
        <v>135</v>
      </c>
      <c r="K374" s="2" t="s">
        <v>2254</v>
      </c>
      <c r="L374" s="4">
        <v>46019</v>
      </c>
      <c r="M374" s="4">
        <v>46013</v>
      </c>
      <c r="N374" s="2" t="s">
        <v>1804</v>
      </c>
      <c r="O374" s="2" t="s">
        <v>1805</v>
      </c>
      <c r="P374" s="2" t="s">
        <v>1868</v>
      </c>
      <c r="Q374" s="2" t="s">
        <v>1806</v>
      </c>
      <c r="R374" s="2" t="s">
        <v>2255</v>
      </c>
      <c r="S374" s="4">
        <v>45992</v>
      </c>
      <c r="T374" s="2" t="s">
        <v>1804</v>
      </c>
      <c r="U374" s="2" t="s">
        <v>1805</v>
      </c>
      <c r="V374" s="2" t="s">
        <v>2169</v>
      </c>
      <c r="W374" s="2" t="s">
        <v>1806</v>
      </c>
      <c r="X374" s="2" t="s">
        <v>88</v>
      </c>
      <c r="Y374" s="3" t="s">
        <v>89</v>
      </c>
      <c r="Z374" s="3">
        <v>20.65</v>
      </c>
      <c r="AA374" s="2" t="s">
        <v>90</v>
      </c>
      <c r="AB374" s="2" t="s">
        <v>2255</v>
      </c>
      <c r="AC374" s="2" t="s">
        <v>2253</v>
      </c>
      <c r="AD374" t="str" cm="1">
        <f t="array" ref="AD37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374" s="2" t="s">
        <v>139</v>
      </c>
      <c r="AF374" s="2" t="s">
        <v>92</v>
      </c>
      <c r="AG374" s="2" t="s">
        <v>2070</v>
      </c>
      <c r="AH374" s="2" t="s">
        <v>2071</v>
      </c>
      <c r="AK374" s="2" t="s">
        <v>2256</v>
      </c>
      <c r="AN374" s="3">
        <v>1</v>
      </c>
      <c r="AO374" s="3">
        <v>1</v>
      </c>
      <c r="AP374" s="3">
        <v>1</v>
      </c>
      <c r="AQ374" s="3">
        <v>1</v>
      </c>
      <c r="AR374" s="3">
        <v>0</v>
      </c>
      <c r="AS374" s="3">
        <v>0</v>
      </c>
      <c r="AT374" s="3">
        <v>1</v>
      </c>
      <c r="AU374" s="3">
        <v>0</v>
      </c>
      <c r="AV374" s="3">
        <v>0</v>
      </c>
      <c r="AW374" s="3">
        <v>1</v>
      </c>
      <c r="AX374" s="3">
        <v>0</v>
      </c>
      <c r="AY374" s="3">
        <v>0</v>
      </c>
      <c r="AZ374" s="3">
        <v>1</v>
      </c>
      <c r="BA374" s="3">
        <v>0</v>
      </c>
      <c r="BB374" s="3">
        <v>0</v>
      </c>
      <c r="BC374" s="3">
        <v>1</v>
      </c>
      <c r="BD374" s="3">
        <v>0</v>
      </c>
      <c r="BE374" s="3">
        <v>0</v>
      </c>
      <c r="BG374" s="2" t="s">
        <v>139</v>
      </c>
      <c r="BH374" s="3">
        <v>2</v>
      </c>
      <c r="BJ374" s="2" t="s">
        <v>96</v>
      </c>
      <c r="BL374" s="2" t="s">
        <v>556</v>
      </c>
      <c r="BM374" s="2" t="s">
        <v>557</v>
      </c>
      <c r="BN374" s="2" t="s">
        <v>99</v>
      </c>
      <c r="BO374" s="2" t="s">
        <v>100</v>
      </c>
      <c r="BP374" s="2" t="s">
        <v>101</v>
      </c>
      <c r="BQ374" s="2" t="s">
        <v>102</v>
      </c>
      <c r="BR374" s="2" t="s">
        <v>103</v>
      </c>
      <c r="BS374" s="2" t="s">
        <v>127</v>
      </c>
      <c r="BT374" s="2" t="s">
        <v>2073</v>
      </c>
      <c r="BU374" s="2" t="s">
        <v>2074</v>
      </c>
      <c r="BV374" s="2" t="s">
        <v>150</v>
      </c>
      <c r="BW374" s="2" t="s">
        <v>151</v>
      </c>
      <c r="BX374" s="2" t="s">
        <v>139</v>
      </c>
      <c r="BY37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74" s="2">
        <f>IF(AND(Cases[[#This Row],[Priority Level]]&gt;=3,Cases[[#This Row],[System Role]]&lt;&gt;"Productive"),1,0)</f>
        <v>0</v>
      </c>
      <c r="CA374" s="2">
        <f>IFERROR(IF(Cases[[#This Row],[Days at Customer]]&gt;MAX(1,Cases[[#This Row],[Days at SAP]]*2),1,0),0)</f>
        <v>1</v>
      </c>
      <c r="CB374" s="2">
        <f>IF(AND(Cases[[#This Row],[Initial Component]]&lt;&gt;"",Cases[[#This Row],[Component]]&lt;&gt;"",Cases[[#This Row],[Initial Component]]&lt;&gt;Cases[[#This Row],[Component]]),1,0)</f>
        <v>0</v>
      </c>
      <c r="CC374" s="2">
        <f>IF(OR(Cases[[#This Row],[Is Reopened]]="X",Cases[[#This Row],[No. of Reopenings]]&gt;0),1,0)</f>
        <v>0</v>
      </c>
      <c r="CD374" s="2">
        <f>IF(Cases[[#This Row],[Confirmation Type]]="Automatic",1,0)</f>
        <v>0</v>
      </c>
      <c r="CE37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75" spans="1:83" x14ac:dyDescent="0.2">
      <c r="A375" s="1" t="s">
        <v>1827</v>
      </c>
      <c r="B375" s="2" t="s">
        <v>1828</v>
      </c>
      <c r="C375" s="2" t="s">
        <v>311</v>
      </c>
      <c r="D375" s="2" t="s">
        <v>238</v>
      </c>
      <c r="E375" s="3">
        <v>2.66</v>
      </c>
      <c r="F375" s="3">
        <v>27.81</v>
      </c>
      <c r="G375" s="2" t="s">
        <v>190</v>
      </c>
      <c r="H375" s="2" t="s">
        <v>191</v>
      </c>
      <c r="I375" s="3" t="s">
        <v>114</v>
      </c>
      <c r="J375" s="3">
        <v>106</v>
      </c>
      <c r="K375" s="2" t="s">
        <v>1829</v>
      </c>
      <c r="L375" s="4">
        <v>46054</v>
      </c>
      <c r="M375" s="4">
        <v>46052</v>
      </c>
      <c r="N375" s="2" t="s">
        <v>1334</v>
      </c>
      <c r="O375" s="2" t="s">
        <v>181</v>
      </c>
      <c r="P375" s="2" t="s">
        <v>1335</v>
      </c>
      <c r="Q375" s="2" t="s">
        <v>86</v>
      </c>
      <c r="R375" s="2" t="s">
        <v>310</v>
      </c>
      <c r="S375" s="4">
        <v>46021</v>
      </c>
      <c r="T375" s="2" t="s">
        <v>1804</v>
      </c>
      <c r="U375" s="2" t="s">
        <v>1805</v>
      </c>
      <c r="V375" s="2" t="s">
        <v>1334</v>
      </c>
      <c r="W375" s="2" t="s">
        <v>1806</v>
      </c>
      <c r="X375" s="2" t="s">
        <v>117</v>
      </c>
      <c r="Y375" s="3" t="s">
        <v>118</v>
      </c>
      <c r="Z375" s="3">
        <v>30.47</v>
      </c>
      <c r="AA375" s="2" t="s">
        <v>90</v>
      </c>
      <c r="AB375" s="2" t="s">
        <v>310</v>
      </c>
      <c r="AC375" s="2" t="s">
        <v>311</v>
      </c>
      <c r="AD375" t="str" cm="1">
        <f t="array" ref="AD37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375" s="2" t="s">
        <v>91</v>
      </c>
      <c r="AF375" s="2" t="s">
        <v>92</v>
      </c>
      <c r="AG375" s="2" t="s">
        <v>119</v>
      </c>
      <c r="AH375" s="2" t="s">
        <v>120</v>
      </c>
      <c r="AK375" s="2" t="s">
        <v>1830</v>
      </c>
      <c r="AN375" s="3">
        <v>1</v>
      </c>
      <c r="AO375" s="3">
        <v>1</v>
      </c>
      <c r="AP375" s="3">
        <v>1</v>
      </c>
      <c r="AQ375" s="3">
        <v>1</v>
      </c>
      <c r="AR375" s="3">
        <v>1</v>
      </c>
      <c r="AS375" s="3">
        <v>0</v>
      </c>
      <c r="AT375" s="3">
        <v>0</v>
      </c>
      <c r="AU375" s="3">
        <v>0</v>
      </c>
      <c r="AV375" s="3">
        <v>1</v>
      </c>
      <c r="AW375" s="3">
        <v>0</v>
      </c>
      <c r="AX375" s="3">
        <v>1</v>
      </c>
      <c r="AY375" s="3">
        <v>0</v>
      </c>
      <c r="AZ375" s="3">
        <v>0</v>
      </c>
      <c r="BA375" s="3">
        <v>0</v>
      </c>
      <c r="BB375" s="3">
        <v>0</v>
      </c>
      <c r="BC375" s="3">
        <v>1</v>
      </c>
      <c r="BD375" s="3">
        <v>0</v>
      </c>
      <c r="BE375" s="3">
        <v>0</v>
      </c>
      <c r="BG375" s="2" t="s">
        <v>91</v>
      </c>
      <c r="BH375" s="3">
        <v>3</v>
      </c>
      <c r="BJ375" s="2" t="s">
        <v>96</v>
      </c>
      <c r="BL375" s="2" t="s">
        <v>123</v>
      </c>
      <c r="BM375" s="2" t="s">
        <v>123</v>
      </c>
      <c r="BN375" s="2" t="s">
        <v>124</v>
      </c>
      <c r="BO375" s="2" t="s">
        <v>125</v>
      </c>
      <c r="BP375" s="2" t="s">
        <v>242</v>
      </c>
      <c r="BQ375" s="2" t="s">
        <v>124</v>
      </c>
      <c r="BR375" s="2" t="s">
        <v>126</v>
      </c>
      <c r="BS375" s="2" t="s">
        <v>127</v>
      </c>
      <c r="BT375" s="2" t="s">
        <v>207</v>
      </c>
      <c r="BU375" s="2" t="s">
        <v>208</v>
      </c>
      <c r="BV375" s="2" t="s">
        <v>150</v>
      </c>
      <c r="BW375" s="2" t="s">
        <v>151</v>
      </c>
      <c r="BX375" s="2" t="s">
        <v>91</v>
      </c>
      <c r="BY37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75" s="2">
        <f>IF(AND(Cases[[#This Row],[Priority Level]]&gt;=3,Cases[[#This Row],[System Role]]&lt;&gt;"Productive"),1,0)</f>
        <v>0</v>
      </c>
      <c r="CA375" s="2">
        <f>IFERROR(IF(Cases[[#This Row],[Days at Customer]]&gt;MAX(1,Cases[[#This Row],[Days at SAP]]*2),1,0),0)</f>
        <v>1</v>
      </c>
      <c r="CB375" s="2">
        <f>IF(AND(Cases[[#This Row],[Initial Component]]&lt;&gt;"",Cases[[#This Row],[Component]]&lt;&gt;"",Cases[[#This Row],[Initial Component]]&lt;&gt;Cases[[#This Row],[Component]]),1,0)</f>
        <v>0</v>
      </c>
      <c r="CC375" s="2">
        <f>IF(OR(Cases[[#This Row],[Is Reopened]]="X",Cases[[#This Row],[No. of Reopenings]]&gt;0),1,0)</f>
        <v>0</v>
      </c>
      <c r="CD375" s="2">
        <f>IF(Cases[[#This Row],[Confirmation Type]]="Automatic",1,0)</f>
        <v>1</v>
      </c>
      <c r="CE375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76" spans="1:83" x14ac:dyDescent="0.2">
      <c r="A376" s="1" t="s">
        <v>2261</v>
      </c>
      <c r="B376" s="2" t="s">
        <v>2262</v>
      </c>
      <c r="C376" s="2" t="s">
        <v>2263</v>
      </c>
      <c r="D376" s="2" t="s">
        <v>238</v>
      </c>
      <c r="E376" s="3">
        <v>13.36</v>
      </c>
      <c r="F376" s="3">
        <v>66.08</v>
      </c>
      <c r="G376" s="2" t="s">
        <v>190</v>
      </c>
      <c r="H376" s="2" t="s">
        <v>308</v>
      </c>
      <c r="I376" s="3" t="s">
        <v>114</v>
      </c>
      <c r="J376" s="3">
        <v>135</v>
      </c>
      <c r="K376" s="2" t="s">
        <v>2264</v>
      </c>
      <c r="L376" s="4">
        <v>46075</v>
      </c>
      <c r="M376" s="4">
        <v>46071</v>
      </c>
      <c r="N376" s="2" t="s">
        <v>677</v>
      </c>
      <c r="O376" s="2" t="s">
        <v>181</v>
      </c>
      <c r="P376" s="2" t="s">
        <v>895</v>
      </c>
      <c r="Q376" s="2" t="s">
        <v>86</v>
      </c>
      <c r="R376" s="2" t="s">
        <v>2265</v>
      </c>
      <c r="S376" s="4">
        <v>45992</v>
      </c>
      <c r="T376" s="2" t="s">
        <v>1804</v>
      </c>
      <c r="U376" s="2" t="s">
        <v>1805</v>
      </c>
      <c r="V376" s="2" t="s">
        <v>2169</v>
      </c>
      <c r="W376" s="2" t="s">
        <v>1806</v>
      </c>
      <c r="X376" s="2" t="s">
        <v>117</v>
      </c>
      <c r="Y376" s="3" t="s">
        <v>118</v>
      </c>
      <c r="Z376" s="3">
        <v>79.44</v>
      </c>
      <c r="AA376" s="2" t="s">
        <v>138</v>
      </c>
      <c r="AB376" s="2" t="s">
        <v>1114</v>
      </c>
      <c r="AC376" s="2" t="s">
        <v>1112</v>
      </c>
      <c r="AD376" t="str" cm="1">
        <f t="array" ref="AD37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376" s="2" t="s">
        <v>139</v>
      </c>
      <c r="AF376" s="2" t="s">
        <v>92</v>
      </c>
      <c r="AG376" s="2" t="s">
        <v>140</v>
      </c>
      <c r="AH376" s="2" t="s">
        <v>141</v>
      </c>
      <c r="AJ376" s="2" t="s">
        <v>122</v>
      </c>
      <c r="AK376" s="2" t="s">
        <v>2266</v>
      </c>
      <c r="AN376" s="3">
        <v>1</v>
      </c>
      <c r="AO376" s="3">
        <v>1</v>
      </c>
      <c r="AP376" s="3">
        <v>1</v>
      </c>
      <c r="AQ376" s="3">
        <v>1</v>
      </c>
      <c r="AR376" s="3">
        <v>1</v>
      </c>
      <c r="AS376" s="3">
        <v>0</v>
      </c>
      <c r="AT376" s="3">
        <v>0</v>
      </c>
      <c r="AU376" s="3">
        <v>0</v>
      </c>
      <c r="AV376" s="3">
        <v>1</v>
      </c>
      <c r="AW376" s="3">
        <v>0</v>
      </c>
      <c r="AX376" s="3">
        <v>1</v>
      </c>
      <c r="AY376" s="3">
        <v>0</v>
      </c>
      <c r="AZ376" s="3">
        <v>0</v>
      </c>
      <c r="BA376" s="3">
        <v>1</v>
      </c>
      <c r="BB376" s="3">
        <v>0</v>
      </c>
      <c r="BC376" s="3">
        <v>0</v>
      </c>
      <c r="BD376" s="3">
        <v>1</v>
      </c>
      <c r="BE376" s="3">
        <v>0</v>
      </c>
      <c r="BG376" s="2" t="s">
        <v>91</v>
      </c>
      <c r="BH376" s="3">
        <v>3</v>
      </c>
      <c r="BJ376" s="2" t="s">
        <v>96</v>
      </c>
      <c r="BL376" s="2" t="s">
        <v>143</v>
      </c>
      <c r="BM376" s="2" t="s">
        <v>144</v>
      </c>
      <c r="BN376" s="2" t="s">
        <v>99</v>
      </c>
      <c r="BO376" s="2" t="s">
        <v>100</v>
      </c>
      <c r="BP376" s="2" t="s">
        <v>242</v>
      </c>
      <c r="BQ376" s="2" t="s">
        <v>145</v>
      </c>
      <c r="BR376" s="2" t="s">
        <v>146</v>
      </c>
      <c r="BS376" s="2" t="s">
        <v>147</v>
      </c>
      <c r="BT376" s="2" t="s">
        <v>148</v>
      </c>
      <c r="BU376" s="2" t="s">
        <v>262</v>
      </c>
      <c r="BV376" s="2" t="s">
        <v>107</v>
      </c>
      <c r="BW376" s="2" t="s">
        <v>108</v>
      </c>
      <c r="BX376" s="2" t="s">
        <v>91</v>
      </c>
      <c r="BY37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76" s="2">
        <f>IF(AND(Cases[[#This Row],[Priority Level]]&gt;=3,Cases[[#This Row],[System Role]]&lt;&gt;"Productive"),1,0)</f>
        <v>1</v>
      </c>
      <c r="CA376" s="2">
        <f>IFERROR(IF(Cases[[#This Row],[Days at Customer]]&gt;MAX(1,Cases[[#This Row],[Days at SAP]]*2),1,0),0)</f>
        <v>1</v>
      </c>
      <c r="CB376" s="2">
        <f>IF(AND(Cases[[#This Row],[Initial Component]]&lt;&gt;"",Cases[[#This Row],[Component]]&lt;&gt;"",Cases[[#This Row],[Initial Component]]&lt;&gt;Cases[[#This Row],[Component]]),1,0)</f>
        <v>1</v>
      </c>
      <c r="CC376" s="2">
        <f>IF(OR(Cases[[#This Row],[Is Reopened]]="X",Cases[[#This Row],[No. of Reopenings]]&gt;0),1,0)</f>
        <v>1</v>
      </c>
      <c r="CD376" s="2">
        <f>IF(Cases[[#This Row],[Confirmation Type]]="Automatic",1,0)</f>
        <v>1</v>
      </c>
      <c r="CE376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377" spans="1:83" x14ac:dyDescent="0.2">
      <c r="A377" s="1" t="s">
        <v>2267</v>
      </c>
      <c r="B377" s="2" t="s">
        <v>2268</v>
      </c>
      <c r="C377" s="2" t="s">
        <v>1556</v>
      </c>
      <c r="D377" s="2" t="s">
        <v>78</v>
      </c>
      <c r="E377" s="3">
        <v>53.02</v>
      </c>
      <c r="F377" s="3">
        <v>47.65</v>
      </c>
      <c r="G377" s="2" t="s">
        <v>79</v>
      </c>
      <c r="H377" s="2" t="s">
        <v>80</v>
      </c>
      <c r="I377" s="3" t="s">
        <v>114</v>
      </c>
      <c r="J377" s="3">
        <v>135</v>
      </c>
      <c r="K377" s="2" t="s">
        <v>2269</v>
      </c>
      <c r="L377" s="4">
        <v>46096</v>
      </c>
      <c r="M377" s="4">
        <v>46093</v>
      </c>
      <c r="N377" s="2" t="s">
        <v>180</v>
      </c>
      <c r="O377" s="2" t="s">
        <v>181</v>
      </c>
      <c r="P377" s="2" t="s">
        <v>350</v>
      </c>
      <c r="Q377" s="2" t="s">
        <v>86</v>
      </c>
      <c r="R377" s="2" t="s">
        <v>1555</v>
      </c>
      <c r="S377" s="4">
        <v>45992</v>
      </c>
      <c r="T377" s="2" t="s">
        <v>1804</v>
      </c>
      <c r="U377" s="2" t="s">
        <v>1805</v>
      </c>
      <c r="V377" s="2" t="s">
        <v>2169</v>
      </c>
      <c r="W377" s="2" t="s">
        <v>1806</v>
      </c>
      <c r="X377" s="2" t="s">
        <v>117</v>
      </c>
      <c r="Y377" s="3" t="s">
        <v>118</v>
      </c>
      <c r="Z377" s="3">
        <v>100.67</v>
      </c>
      <c r="AA377" s="2" t="s">
        <v>90</v>
      </c>
      <c r="AB377" s="2" t="s">
        <v>1555</v>
      </c>
      <c r="AC377" s="2" t="s">
        <v>1556</v>
      </c>
      <c r="AD377" t="str" cm="1">
        <f t="array" ref="AD37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377" s="2" t="s">
        <v>139</v>
      </c>
      <c r="AF377" s="2" t="s">
        <v>92</v>
      </c>
      <c r="AG377" s="2" t="s">
        <v>119</v>
      </c>
      <c r="AH377" s="2" t="s">
        <v>120</v>
      </c>
      <c r="AJ377" s="2" t="s">
        <v>122</v>
      </c>
      <c r="AK377" s="2" t="s">
        <v>2270</v>
      </c>
      <c r="AN377" s="3">
        <v>1</v>
      </c>
      <c r="AO377" s="3">
        <v>1</v>
      </c>
      <c r="AP377" s="3">
        <v>1</v>
      </c>
      <c r="AQ377" s="3">
        <v>1</v>
      </c>
      <c r="AR377" s="3">
        <v>0</v>
      </c>
      <c r="AS377" s="3">
        <v>0</v>
      </c>
      <c r="AT377" s="3">
        <v>1</v>
      </c>
      <c r="AU377" s="3">
        <v>0</v>
      </c>
      <c r="AV377" s="3">
        <v>0</v>
      </c>
      <c r="AW377" s="3">
        <v>1</v>
      </c>
      <c r="AX377" s="3">
        <v>0</v>
      </c>
      <c r="AY377" s="3">
        <v>0</v>
      </c>
      <c r="AZ377" s="3">
        <v>1</v>
      </c>
      <c r="BA377" s="3">
        <v>1</v>
      </c>
      <c r="BB377" s="3">
        <v>0</v>
      </c>
      <c r="BC377" s="3">
        <v>0</v>
      </c>
      <c r="BD377" s="3">
        <v>2</v>
      </c>
      <c r="BE377" s="3">
        <v>0</v>
      </c>
      <c r="BG377" s="2" t="s">
        <v>139</v>
      </c>
      <c r="BH377" s="3">
        <v>2</v>
      </c>
      <c r="BJ377" s="2" t="s">
        <v>96</v>
      </c>
      <c r="BL377" s="2" t="s">
        <v>123</v>
      </c>
      <c r="BM377" s="2" t="s">
        <v>123</v>
      </c>
      <c r="BN377" s="2" t="s">
        <v>124</v>
      </c>
      <c r="BO377" s="2" t="s">
        <v>125</v>
      </c>
      <c r="BP377" s="2" t="s">
        <v>101</v>
      </c>
      <c r="BQ377" s="2" t="s">
        <v>124</v>
      </c>
      <c r="BR377" s="2" t="s">
        <v>126</v>
      </c>
      <c r="BS377" s="2" t="s">
        <v>127</v>
      </c>
      <c r="BT377" s="2" t="s">
        <v>1395</v>
      </c>
      <c r="BU377" s="2" t="s">
        <v>1396</v>
      </c>
      <c r="BV377" s="2" t="s">
        <v>107</v>
      </c>
      <c r="BW377" s="2" t="s">
        <v>108</v>
      </c>
      <c r="BX377" s="2" t="s">
        <v>139</v>
      </c>
      <c r="BY37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77" s="2">
        <f>IF(AND(Cases[[#This Row],[Priority Level]]&gt;=3,Cases[[#This Row],[System Role]]&lt;&gt;"Productive"),1,0)</f>
        <v>0</v>
      </c>
      <c r="CA377" s="2">
        <f>IFERROR(IF(Cases[[#This Row],[Days at Customer]]&gt;MAX(1,Cases[[#This Row],[Days at SAP]]*2),1,0),0)</f>
        <v>0</v>
      </c>
      <c r="CB377" s="2">
        <f>IF(AND(Cases[[#This Row],[Initial Component]]&lt;&gt;"",Cases[[#This Row],[Component]]&lt;&gt;"",Cases[[#This Row],[Initial Component]]&lt;&gt;Cases[[#This Row],[Component]]),1,0)</f>
        <v>0</v>
      </c>
      <c r="CC377" s="2">
        <f>IF(OR(Cases[[#This Row],[Is Reopened]]="X",Cases[[#This Row],[No. of Reopenings]]&gt;0),1,0)</f>
        <v>1</v>
      </c>
      <c r="CD377" s="2">
        <f>IF(Cases[[#This Row],[Confirmation Type]]="Automatic",1,0)</f>
        <v>0</v>
      </c>
      <c r="CE377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78" spans="1:83" x14ac:dyDescent="0.2">
      <c r="A378" s="1" t="s">
        <v>2271</v>
      </c>
      <c r="B378" s="2" t="s">
        <v>2272</v>
      </c>
      <c r="C378" s="2" t="s">
        <v>1441</v>
      </c>
      <c r="D378" s="2" t="s">
        <v>238</v>
      </c>
      <c r="E378" s="3">
        <v>15.46</v>
      </c>
      <c r="F378" s="3">
        <v>59.98</v>
      </c>
      <c r="G378" s="2" t="s">
        <v>79</v>
      </c>
      <c r="H378" s="2" t="s">
        <v>80</v>
      </c>
      <c r="I378" s="3" t="s">
        <v>114</v>
      </c>
      <c r="J378" s="3">
        <v>136</v>
      </c>
      <c r="K378" s="2" t="s">
        <v>2273</v>
      </c>
      <c r="L378" s="4">
        <v>46068</v>
      </c>
      <c r="M378" s="4">
        <v>46066</v>
      </c>
      <c r="N378" s="2" t="s">
        <v>677</v>
      </c>
      <c r="O378" s="2" t="s">
        <v>181</v>
      </c>
      <c r="P378" s="2" t="s">
        <v>1079</v>
      </c>
      <c r="Q378" s="2" t="s">
        <v>86</v>
      </c>
      <c r="R378" s="2" t="s">
        <v>1440</v>
      </c>
      <c r="S378" s="4">
        <v>45991</v>
      </c>
      <c r="T378" s="2" t="s">
        <v>2274</v>
      </c>
      <c r="U378" s="2" t="s">
        <v>1805</v>
      </c>
      <c r="V378" s="2" t="s">
        <v>2275</v>
      </c>
      <c r="W378" s="2" t="s">
        <v>1806</v>
      </c>
      <c r="X378" s="2" t="s">
        <v>117</v>
      </c>
      <c r="Y378" s="3" t="s">
        <v>118</v>
      </c>
      <c r="Z378" s="3">
        <v>75.430000000000007</v>
      </c>
      <c r="AA378" s="2" t="s">
        <v>90</v>
      </c>
      <c r="AB378" s="2" t="s">
        <v>1905</v>
      </c>
      <c r="AC378" s="2" t="s">
        <v>1903</v>
      </c>
      <c r="AD378" t="str" cm="1">
        <f t="array" ref="AD37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OTC</v>
      </c>
      <c r="AE378" s="2" t="s">
        <v>91</v>
      </c>
      <c r="AF378" s="2" t="s">
        <v>92</v>
      </c>
      <c r="AG378" s="2" t="s">
        <v>119</v>
      </c>
      <c r="AH378" s="2" t="s">
        <v>120</v>
      </c>
      <c r="AJ378" s="2" t="s">
        <v>122</v>
      </c>
      <c r="AK378" s="2" t="s">
        <v>2276</v>
      </c>
      <c r="AN378" s="3">
        <v>1</v>
      </c>
      <c r="AO378" s="3">
        <v>1</v>
      </c>
      <c r="AP378" s="3">
        <v>1</v>
      </c>
      <c r="AQ378" s="3">
        <v>1</v>
      </c>
      <c r="AR378" s="3">
        <v>1</v>
      </c>
      <c r="AS378" s="3">
        <v>0</v>
      </c>
      <c r="AT378" s="3">
        <v>0</v>
      </c>
      <c r="AU378" s="3">
        <v>0</v>
      </c>
      <c r="AV378" s="3">
        <v>1</v>
      </c>
      <c r="AW378" s="3">
        <v>0</v>
      </c>
      <c r="AX378" s="3">
        <v>1</v>
      </c>
      <c r="AY378" s="3">
        <v>0</v>
      </c>
      <c r="AZ378" s="3">
        <v>0</v>
      </c>
      <c r="BA378" s="3">
        <v>0</v>
      </c>
      <c r="BB378" s="3">
        <v>0</v>
      </c>
      <c r="BC378" s="3">
        <v>1</v>
      </c>
      <c r="BD378" s="3">
        <v>1</v>
      </c>
      <c r="BE378" s="3">
        <v>0</v>
      </c>
      <c r="BG378" s="2" t="s">
        <v>91</v>
      </c>
      <c r="BH378" s="3">
        <v>3</v>
      </c>
      <c r="BJ378" s="2" t="s">
        <v>96</v>
      </c>
      <c r="BL378" s="2" t="s">
        <v>123</v>
      </c>
      <c r="BM378" s="2" t="s">
        <v>123</v>
      </c>
      <c r="BN378" s="2" t="s">
        <v>124</v>
      </c>
      <c r="BO378" s="2" t="s">
        <v>125</v>
      </c>
      <c r="BP378" s="2" t="s">
        <v>242</v>
      </c>
      <c r="BQ378" s="2" t="s">
        <v>124</v>
      </c>
      <c r="BR378" s="2" t="s">
        <v>126</v>
      </c>
      <c r="BS378" s="2" t="s">
        <v>127</v>
      </c>
      <c r="BT378" s="2" t="s">
        <v>207</v>
      </c>
      <c r="BU378" s="2" t="s">
        <v>208</v>
      </c>
      <c r="BV378" s="2" t="s">
        <v>150</v>
      </c>
      <c r="BW378" s="2" t="s">
        <v>151</v>
      </c>
      <c r="BX378" s="2" t="s">
        <v>91</v>
      </c>
      <c r="BY37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78" s="2">
        <f>IF(AND(Cases[[#This Row],[Priority Level]]&gt;=3,Cases[[#This Row],[System Role]]&lt;&gt;"Productive"),1,0)</f>
        <v>0</v>
      </c>
      <c r="CA378" s="2">
        <f>IFERROR(IF(Cases[[#This Row],[Days at Customer]]&gt;MAX(1,Cases[[#This Row],[Days at SAP]]*2),1,0),0)</f>
        <v>1</v>
      </c>
      <c r="CB378" s="2">
        <f>IF(AND(Cases[[#This Row],[Initial Component]]&lt;&gt;"",Cases[[#This Row],[Component]]&lt;&gt;"",Cases[[#This Row],[Initial Component]]&lt;&gt;Cases[[#This Row],[Component]]),1,0)</f>
        <v>1</v>
      </c>
      <c r="CC378" s="2">
        <f>IF(OR(Cases[[#This Row],[Is Reopened]]="X",Cases[[#This Row],[No. of Reopenings]]&gt;0),1,0)</f>
        <v>1</v>
      </c>
      <c r="CD378" s="2">
        <f>IF(Cases[[#This Row],[Confirmation Type]]="Automatic",1,0)</f>
        <v>1</v>
      </c>
      <c r="CE378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379" spans="1:83" x14ac:dyDescent="0.2">
      <c r="A379" s="1" t="s">
        <v>2277</v>
      </c>
      <c r="B379" s="2" t="s">
        <v>2278</v>
      </c>
      <c r="C379" s="2" t="s">
        <v>2279</v>
      </c>
      <c r="D379" s="2" t="s">
        <v>238</v>
      </c>
      <c r="E379" s="3">
        <v>3.38</v>
      </c>
      <c r="F379" s="3">
        <v>22.72</v>
      </c>
      <c r="G379" s="2" t="s">
        <v>79</v>
      </c>
      <c r="H379" s="2" t="s">
        <v>178</v>
      </c>
      <c r="I379" s="3" t="s">
        <v>114</v>
      </c>
      <c r="J379" s="3">
        <v>137</v>
      </c>
      <c r="K379" s="2" t="s">
        <v>2280</v>
      </c>
      <c r="L379" s="4">
        <v>46019</v>
      </c>
      <c r="M379" s="4">
        <v>46017</v>
      </c>
      <c r="N379" s="2" t="s">
        <v>1804</v>
      </c>
      <c r="O379" s="2" t="s">
        <v>1805</v>
      </c>
      <c r="P379" s="2" t="s">
        <v>1868</v>
      </c>
      <c r="Q379" s="2" t="s">
        <v>1806</v>
      </c>
      <c r="R379" s="2" t="s">
        <v>2281</v>
      </c>
      <c r="S379" s="4">
        <v>45990</v>
      </c>
      <c r="T379" s="2" t="s">
        <v>2274</v>
      </c>
      <c r="U379" s="2" t="s">
        <v>1805</v>
      </c>
      <c r="V379" s="2" t="s">
        <v>2275</v>
      </c>
      <c r="W379" s="2" t="s">
        <v>1806</v>
      </c>
      <c r="X379" s="2" t="s">
        <v>117</v>
      </c>
      <c r="Y379" s="3" t="s">
        <v>118</v>
      </c>
      <c r="Z379" s="3">
        <v>26.1</v>
      </c>
      <c r="AA379" s="2" t="s">
        <v>138</v>
      </c>
      <c r="AB379" s="2" t="s">
        <v>443</v>
      </c>
      <c r="AC379" s="2" t="s">
        <v>444</v>
      </c>
      <c r="AD379" t="str" cm="1">
        <f t="array" ref="AD37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379" s="2" t="s">
        <v>91</v>
      </c>
      <c r="AF379" s="2" t="s">
        <v>92</v>
      </c>
      <c r="AG379" s="2" t="s">
        <v>274</v>
      </c>
      <c r="AH379" s="2" t="s">
        <v>275</v>
      </c>
      <c r="AJ379" s="2" t="s">
        <v>122</v>
      </c>
      <c r="AK379" s="2" t="s">
        <v>2282</v>
      </c>
      <c r="AN379" s="3">
        <v>1</v>
      </c>
      <c r="AO379" s="3">
        <v>1</v>
      </c>
      <c r="AP379" s="3">
        <v>1</v>
      </c>
      <c r="AQ379" s="3">
        <v>1</v>
      </c>
      <c r="AR379" s="3">
        <v>1</v>
      </c>
      <c r="AS379" s="3">
        <v>0</v>
      </c>
      <c r="AT379" s="3">
        <v>0</v>
      </c>
      <c r="AU379" s="3">
        <v>0</v>
      </c>
      <c r="AV379" s="3">
        <v>1</v>
      </c>
      <c r="AW379" s="3">
        <v>0</v>
      </c>
      <c r="AX379" s="3">
        <v>1</v>
      </c>
      <c r="AY379" s="3">
        <v>0</v>
      </c>
      <c r="AZ379" s="3">
        <v>0</v>
      </c>
      <c r="BA379" s="3">
        <v>1</v>
      </c>
      <c r="BB379" s="3">
        <v>0</v>
      </c>
      <c r="BC379" s="3">
        <v>0</v>
      </c>
      <c r="BD379" s="3">
        <v>1</v>
      </c>
      <c r="BE379" s="3">
        <v>0</v>
      </c>
      <c r="BG379" s="2" t="s">
        <v>91</v>
      </c>
      <c r="BH379" s="3">
        <v>3</v>
      </c>
      <c r="BJ379" s="2" t="s">
        <v>96</v>
      </c>
      <c r="BL379" s="2" t="s">
        <v>446</v>
      </c>
      <c r="BM379" s="2" t="s">
        <v>447</v>
      </c>
      <c r="BN379" s="2" t="s">
        <v>279</v>
      </c>
      <c r="BO379" s="2" t="s">
        <v>280</v>
      </c>
      <c r="BP379" s="2" t="s">
        <v>242</v>
      </c>
      <c r="BQ379" s="2" t="s">
        <v>448</v>
      </c>
      <c r="BR379" s="2" t="s">
        <v>449</v>
      </c>
      <c r="BS379" s="2" t="s">
        <v>450</v>
      </c>
      <c r="BT379" s="2" t="s">
        <v>1030</v>
      </c>
      <c r="BU379" s="2" t="s">
        <v>1031</v>
      </c>
      <c r="BV379" s="2" t="s">
        <v>166</v>
      </c>
      <c r="BW379" s="2" t="s">
        <v>167</v>
      </c>
      <c r="BX379" s="2" t="s">
        <v>91</v>
      </c>
      <c r="BY37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79" s="2">
        <f>IF(AND(Cases[[#This Row],[Priority Level]]&gt;=3,Cases[[#This Row],[System Role]]&lt;&gt;"Productive"),1,0)</f>
        <v>1</v>
      </c>
      <c r="CA379" s="2">
        <f>IFERROR(IF(Cases[[#This Row],[Days at Customer]]&gt;MAX(1,Cases[[#This Row],[Days at SAP]]*2),1,0),0)</f>
        <v>1</v>
      </c>
      <c r="CB379" s="2">
        <f>IF(AND(Cases[[#This Row],[Initial Component]]&lt;&gt;"",Cases[[#This Row],[Component]]&lt;&gt;"",Cases[[#This Row],[Initial Component]]&lt;&gt;Cases[[#This Row],[Component]]),1,0)</f>
        <v>1</v>
      </c>
      <c r="CC379" s="2">
        <f>IF(OR(Cases[[#This Row],[Is Reopened]]="X",Cases[[#This Row],[No. of Reopenings]]&gt;0),1,0)</f>
        <v>1</v>
      </c>
      <c r="CD379" s="2">
        <f>IF(Cases[[#This Row],[Confirmation Type]]="Automatic",1,0)</f>
        <v>1</v>
      </c>
      <c r="CE379" s="2">
        <f>Cases[[#This Row],[Flag_HowToOrConsulting]]+Cases[[#This Row],[Flag_PriorityInflation]]+Cases[[#This Row],[Flag_CustomerDelay]]+Cases[[#This Row],[Flag_ComponentMismatch]]+Cases[[#This Row],[Flag_Reopened]]</f>
        <v>5</v>
      </c>
    </row>
    <row r="380" spans="1:83" x14ac:dyDescent="0.2">
      <c r="A380" s="1" t="s">
        <v>3026</v>
      </c>
      <c r="B380" s="2" t="s">
        <v>3027</v>
      </c>
      <c r="C380" s="2" t="s">
        <v>111</v>
      </c>
      <c r="D380" s="2" t="s">
        <v>78</v>
      </c>
      <c r="E380" s="3">
        <v>0</v>
      </c>
      <c r="F380" s="3">
        <v>12.4</v>
      </c>
      <c r="G380" s="2" t="s">
        <v>112</v>
      </c>
      <c r="H380" s="2" t="s">
        <v>113</v>
      </c>
      <c r="I380" s="3" t="s">
        <v>114</v>
      </c>
      <c r="J380" s="3">
        <v>182</v>
      </c>
      <c r="K380" s="2" t="s">
        <v>3028</v>
      </c>
      <c r="L380" s="4">
        <v>46054</v>
      </c>
      <c r="M380" s="4">
        <v>45958</v>
      </c>
      <c r="N380" s="2" t="s">
        <v>2727</v>
      </c>
      <c r="O380" s="2" t="s">
        <v>1805</v>
      </c>
      <c r="P380" s="2" t="s">
        <v>2717</v>
      </c>
      <c r="Q380" s="2" t="s">
        <v>1806</v>
      </c>
      <c r="R380" s="2" t="s">
        <v>116</v>
      </c>
      <c r="S380" s="4">
        <v>45945</v>
      </c>
      <c r="T380" s="2" t="s">
        <v>2727</v>
      </c>
      <c r="U380" s="2" t="s">
        <v>1805</v>
      </c>
      <c r="V380" s="2" t="s">
        <v>2936</v>
      </c>
      <c r="W380" s="2" t="s">
        <v>1806</v>
      </c>
      <c r="X380" s="2" t="s">
        <v>117</v>
      </c>
      <c r="Y380" s="3" t="s">
        <v>118</v>
      </c>
      <c r="Z380" s="3">
        <v>12.4</v>
      </c>
      <c r="AA380" s="2" t="s">
        <v>90</v>
      </c>
      <c r="AB380" s="2" t="s">
        <v>116</v>
      </c>
      <c r="AC380" s="2" t="s">
        <v>111</v>
      </c>
      <c r="AD380" t="str" cm="1">
        <f t="array" ref="AD38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380" s="2" t="s">
        <v>91</v>
      </c>
      <c r="AF380" s="2" t="s">
        <v>92</v>
      </c>
      <c r="AG380" s="2" t="s">
        <v>119</v>
      </c>
      <c r="AH380" s="2" t="s">
        <v>120</v>
      </c>
      <c r="AK380" s="2" t="s">
        <v>3029</v>
      </c>
      <c r="AN380" s="3">
        <v>1</v>
      </c>
      <c r="AO380" s="3">
        <v>1</v>
      </c>
      <c r="AP380" s="3">
        <v>1</v>
      </c>
      <c r="AQ380" s="3">
        <v>1</v>
      </c>
      <c r="AR380" s="3">
        <v>1</v>
      </c>
      <c r="AS380" s="3">
        <v>0</v>
      </c>
      <c r="AT380" s="3">
        <v>0</v>
      </c>
      <c r="AU380" s="3">
        <v>0</v>
      </c>
      <c r="AV380" s="3">
        <v>0</v>
      </c>
      <c r="AW380" s="3">
        <v>1</v>
      </c>
      <c r="AX380" s="3">
        <v>1</v>
      </c>
      <c r="AY380" s="3">
        <v>0</v>
      </c>
      <c r="AZ380" s="3">
        <v>0</v>
      </c>
      <c r="BA380" s="3">
        <v>0</v>
      </c>
      <c r="BB380" s="3">
        <v>0</v>
      </c>
      <c r="BC380" s="3">
        <v>1</v>
      </c>
      <c r="BD380" s="3">
        <v>0</v>
      </c>
      <c r="BE380" s="3">
        <v>0</v>
      </c>
      <c r="BG380" s="2" t="s">
        <v>91</v>
      </c>
      <c r="BH380" s="3">
        <v>3</v>
      </c>
      <c r="BI380" s="2" t="s">
        <v>122</v>
      </c>
      <c r="BJ380" s="2" t="s">
        <v>96</v>
      </c>
      <c r="BL380" s="2" t="s">
        <v>123</v>
      </c>
      <c r="BM380" s="2" t="s">
        <v>123</v>
      </c>
      <c r="BN380" s="2" t="s">
        <v>124</v>
      </c>
      <c r="BO380" s="2" t="s">
        <v>125</v>
      </c>
      <c r="BP380" s="2" t="s">
        <v>101</v>
      </c>
      <c r="BQ380" s="2" t="s">
        <v>124</v>
      </c>
      <c r="BR380" s="2" t="s">
        <v>126</v>
      </c>
      <c r="BS380" s="2" t="s">
        <v>127</v>
      </c>
      <c r="BT380" s="2" t="s">
        <v>207</v>
      </c>
      <c r="BU380" s="2" t="s">
        <v>208</v>
      </c>
      <c r="BV380" s="2" t="s">
        <v>150</v>
      </c>
      <c r="BW380" s="2" t="s">
        <v>151</v>
      </c>
      <c r="BX380" s="2" t="s">
        <v>91</v>
      </c>
      <c r="BY38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80" s="2">
        <f>IF(AND(Cases[[#This Row],[Priority Level]]&gt;=3,Cases[[#This Row],[System Role]]&lt;&gt;"Productive"),1,0)</f>
        <v>0</v>
      </c>
      <c r="CA380" s="2">
        <f>IFERROR(IF(Cases[[#This Row],[Days at Customer]]&gt;MAX(1,Cases[[#This Row],[Days at SAP]]*2),1,0),0)</f>
        <v>1</v>
      </c>
      <c r="CB380" s="2">
        <f>IF(AND(Cases[[#This Row],[Initial Component]]&lt;&gt;"",Cases[[#This Row],[Component]]&lt;&gt;"",Cases[[#This Row],[Initial Component]]&lt;&gt;Cases[[#This Row],[Component]]),1,0)</f>
        <v>0</v>
      </c>
      <c r="CC380" s="2">
        <f>IF(OR(Cases[[#This Row],[Is Reopened]]="X",Cases[[#This Row],[No. of Reopenings]]&gt;0),1,0)</f>
        <v>0</v>
      </c>
      <c r="CD380" s="2">
        <f>IF(Cases[[#This Row],[Confirmation Type]]="Automatic",1,0)</f>
        <v>0</v>
      </c>
      <c r="CE380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81" spans="1:83" x14ac:dyDescent="0.2">
      <c r="A381" s="1" t="s">
        <v>3056</v>
      </c>
      <c r="B381" s="2" t="s">
        <v>3057</v>
      </c>
      <c r="C381" s="2" t="s">
        <v>203</v>
      </c>
      <c r="D381" s="2" t="s">
        <v>78</v>
      </c>
      <c r="E381" s="3">
        <v>0</v>
      </c>
      <c r="F381" s="3">
        <v>6.92</v>
      </c>
      <c r="G381" s="2" t="s">
        <v>112</v>
      </c>
      <c r="H381" s="2" t="s">
        <v>113</v>
      </c>
      <c r="I381" s="3" t="s">
        <v>114</v>
      </c>
      <c r="J381" s="3">
        <v>183</v>
      </c>
      <c r="K381" s="2" t="s">
        <v>3058</v>
      </c>
      <c r="L381" s="4">
        <v>46054</v>
      </c>
      <c r="M381" s="4">
        <v>45959</v>
      </c>
      <c r="N381" s="2" t="s">
        <v>2727</v>
      </c>
      <c r="O381" s="2" t="s">
        <v>1805</v>
      </c>
      <c r="P381" s="2" t="s">
        <v>2717</v>
      </c>
      <c r="Q381" s="2" t="s">
        <v>1806</v>
      </c>
      <c r="R381" s="2" t="s">
        <v>205</v>
      </c>
      <c r="S381" s="4">
        <v>45944</v>
      </c>
      <c r="T381" s="2" t="s">
        <v>2727</v>
      </c>
      <c r="U381" s="2" t="s">
        <v>1805</v>
      </c>
      <c r="V381" s="2" t="s">
        <v>2936</v>
      </c>
      <c r="W381" s="2" t="s">
        <v>1806</v>
      </c>
      <c r="X381" s="2" t="s">
        <v>117</v>
      </c>
      <c r="Y381" s="3" t="s">
        <v>118</v>
      </c>
      <c r="Z381" s="3">
        <v>6.92</v>
      </c>
      <c r="AA381" s="2" t="s">
        <v>90</v>
      </c>
      <c r="AB381" s="2" t="s">
        <v>205</v>
      </c>
      <c r="AC381" s="2" t="s">
        <v>203</v>
      </c>
      <c r="AD381" t="str" cm="1">
        <f t="array" ref="AD38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381" s="2" t="s">
        <v>91</v>
      </c>
      <c r="AF381" s="2" t="s">
        <v>92</v>
      </c>
      <c r="AG381" s="2" t="s">
        <v>119</v>
      </c>
      <c r="AH381" s="2" t="s">
        <v>120</v>
      </c>
      <c r="AK381" s="2" t="s">
        <v>3059</v>
      </c>
      <c r="AN381" s="3">
        <v>1</v>
      </c>
      <c r="AO381" s="3">
        <v>1</v>
      </c>
      <c r="AP381" s="3">
        <v>1</v>
      </c>
      <c r="AQ381" s="3">
        <v>1</v>
      </c>
      <c r="AR381" s="3">
        <v>1</v>
      </c>
      <c r="AS381" s="3">
        <v>0</v>
      </c>
      <c r="AT381" s="3">
        <v>0</v>
      </c>
      <c r="AU381" s="3">
        <v>0</v>
      </c>
      <c r="AV381" s="3">
        <v>0</v>
      </c>
      <c r="AW381" s="3">
        <v>1</v>
      </c>
      <c r="AX381" s="3">
        <v>1</v>
      </c>
      <c r="AY381" s="3">
        <v>0</v>
      </c>
      <c r="AZ381" s="3">
        <v>0</v>
      </c>
      <c r="BA381" s="3">
        <v>0</v>
      </c>
      <c r="BB381" s="3">
        <v>0</v>
      </c>
      <c r="BC381" s="3">
        <v>1</v>
      </c>
      <c r="BD381" s="3">
        <v>0</v>
      </c>
      <c r="BE381" s="3">
        <v>0</v>
      </c>
      <c r="BG381" s="2" t="s">
        <v>91</v>
      </c>
      <c r="BH381" s="3">
        <v>3</v>
      </c>
      <c r="BI381" s="2" t="s">
        <v>122</v>
      </c>
      <c r="BJ381" s="2" t="s">
        <v>96</v>
      </c>
      <c r="BL381" s="2" t="s">
        <v>123</v>
      </c>
      <c r="BM381" s="2" t="s">
        <v>123</v>
      </c>
      <c r="BN381" s="2" t="s">
        <v>124</v>
      </c>
      <c r="BO381" s="2" t="s">
        <v>125</v>
      </c>
      <c r="BP381" s="2" t="s">
        <v>101</v>
      </c>
      <c r="BQ381" s="2" t="s">
        <v>124</v>
      </c>
      <c r="BR381" s="2" t="s">
        <v>126</v>
      </c>
      <c r="BS381" s="2" t="s">
        <v>127</v>
      </c>
      <c r="BT381" s="2" t="s">
        <v>207</v>
      </c>
      <c r="BU381" s="2" t="s">
        <v>208</v>
      </c>
      <c r="BV381" s="2" t="s">
        <v>150</v>
      </c>
      <c r="BW381" s="2" t="s">
        <v>151</v>
      </c>
      <c r="BX381" s="2" t="s">
        <v>91</v>
      </c>
      <c r="BY38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81" s="2">
        <f>IF(AND(Cases[[#This Row],[Priority Level]]&gt;=3,Cases[[#This Row],[System Role]]&lt;&gt;"Productive"),1,0)</f>
        <v>0</v>
      </c>
      <c r="CA381" s="2">
        <f>IFERROR(IF(Cases[[#This Row],[Days at Customer]]&gt;MAX(1,Cases[[#This Row],[Days at SAP]]*2),1,0),0)</f>
        <v>1</v>
      </c>
      <c r="CB381" s="2">
        <f>IF(AND(Cases[[#This Row],[Initial Component]]&lt;&gt;"",Cases[[#This Row],[Component]]&lt;&gt;"",Cases[[#This Row],[Initial Component]]&lt;&gt;Cases[[#This Row],[Component]]),1,0)</f>
        <v>0</v>
      </c>
      <c r="CC381" s="2">
        <f>IF(OR(Cases[[#This Row],[Is Reopened]]="X",Cases[[#This Row],[No. of Reopenings]]&gt;0),1,0)</f>
        <v>0</v>
      </c>
      <c r="CD381" s="2">
        <f>IF(Cases[[#This Row],[Confirmation Type]]="Automatic",1,0)</f>
        <v>0</v>
      </c>
      <c r="CE381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82" spans="1:83" x14ac:dyDescent="0.2">
      <c r="A382" s="1" t="s">
        <v>2291</v>
      </c>
      <c r="B382" s="2" t="s">
        <v>2292</v>
      </c>
      <c r="C382" s="2" t="s">
        <v>1391</v>
      </c>
      <c r="D382" s="2" t="s">
        <v>238</v>
      </c>
      <c r="E382" s="3">
        <v>51.68</v>
      </c>
      <c r="F382" s="3">
        <v>50.83</v>
      </c>
      <c r="G382" s="2" t="s">
        <v>190</v>
      </c>
      <c r="H382" s="2" t="s">
        <v>1205</v>
      </c>
      <c r="I382" s="3" t="s">
        <v>114</v>
      </c>
      <c r="J382" s="3">
        <v>138</v>
      </c>
      <c r="K382" s="2" t="s">
        <v>2293</v>
      </c>
      <c r="L382" s="4">
        <v>46096</v>
      </c>
      <c r="M382" s="4">
        <v>46092</v>
      </c>
      <c r="N382" s="2" t="s">
        <v>180</v>
      </c>
      <c r="O382" s="2" t="s">
        <v>181</v>
      </c>
      <c r="P382" s="2" t="s">
        <v>350</v>
      </c>
      <c r="Q382" s="2" t="s">
        <v>86</v>
      </c>
      <c r="R382" s="2" t="s">
        <v>1393</v>
      </c>
      <c r="S382" s="4">
        <v>45989</v>
      </c>
      <c r="T382" s="2" t="s">
        <v>2274</v>
      </c>
      <c r="U382" s="2" t="s">
        <v>1805</v>
      </c>
      <c r="V382" s="2" t="s">
        <v>2275</v>
      </c>
      <c r="W382" s="2" t="s">
        <v>1806</v>
      </c>
      <c r="X382" s="2" t="s">
        <v>117</v>
      </c>
      <c r="Y382" s="3" t="s">
        <v>118</v>
      </c>
      <c r="Z382" s="3">
        <v>102.51</v>
      </c>
      <c r="AA382" s="2" t="s">
        <v>90</v>
      </c>
      <c r="AB382" s="2" t="s">
        <v>1393</v>
      </c>
      <c r="AC382" s="2" t="s">
        <v>1391</v>
      </c>
      <c r="AD382" t="str" cm="1">
        <f t="array" ref="AD38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382" s="2" t="s">
        <v>91</v>
      </c>
      <c r="AF382" s="2" t="s">
        <v>92</v>
      </c>
      <c r="AG382" s="2" t="s">
        <v>119</v>
      </c>
      <c r="AH382" s="2" t="s">
        <v>120</v>
      </c>
      <c r="AK382" s="2" t="s">
        <v>2294</v>
      </c>
      <c r="AN382" s="3">
        <v>1</v>
      </c>
      <c r="AO382" s="3">
        <v>1</v>
      </c>
      <c r="AP382" s="3">
        <v>1</v>
      </c>
      <c r="AQ382" s="3">
        <v>1</v>
      </c>
      <c r="AR382" s="3">
        <v>1</v>
      </c>
      <c r="AS382" s="3">
        <v>0</v>
      </c>
      <c r="AT382" s="3">
        <v>0</v>
      </c>
      <c r="AU382" s="3">
        <v>0</v>
      </c>
      <c r="AV382" s="3">
        <v>1</v>
      </c>
      <c r="AW382" s="3">
        <v>0</v>
      </c>
      <c r="AX382" s="3">
        <v>1</v>
      </c>
      <c r="AY382" s="3">
        <v>0</v>
      </c>
      <c r="AZ382" s="3">
        <v>0</v>
      </c>
      <c r="BA382" s="3">
        <v>0</v>
      </c>
      <c r="BB382" s="3">
        <v>0</v>
      </c>
      <c r="BC382" s="3">
        <v>1</v>
      </c>
      <c r="BD382" s="3">
        <v>0</v>
      </c>
      <c r="BE382" s="3">
        <v>0</v>
      </c>
      <c r="BG382" s="2" t="s">
        <v>91</v>
      </c>
      <c r="BH382" s="3">
        <v>3</v>
      </c>
      <c r="BJ382" s="2" t="s">
        <v>96</v>
      </c>
      <c r="BL382" s="2" t="s">
        <v>123</v>
      </c>
      <c r="BM382" s="2" t="s">
        <v>123</v>
      </c>
      <c r="BN382" s="2" t="s">
        <v>124</v>
      </c>
      <c r="BO382" s="2" t="s">
        <v>125</v>
      </c>
      <c r="BP382" s="2" t="s">
        <v>242</v>
      </c>
      <c r="BQ382" s="2" t="s">
        <v>124</v>
      </c>
      <c r="BR382" s="2" t="s">
        <v>126</v>
      </c>
      <c r="BS382" s="2" t="s">
        <v>127</v>
      </c>
      <c r="BT382" s="2" t="s">
        <v>174</v>
      </c>
      <c r="BU382" s="2" t="s">
        <v>175</v>
      </c>
      <c r="BV382" s="2" t="s">
        <v>150</v>
      </c>
      <c r="BW382" s="2" t="s">
        <v>151</v>
      </c>
      <c r="BX382" s="2" t="s">
        <v>91</v>
      </c>
      <c r="BY38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82" s="2">
        <f>IF(AND(Cases[[#This Row],[Priority Level]]&gt;=3,Cases[[#This Row],[System Role]]&lt;&gt;"Productive"),1,0)</f>
        <v>0</v>
      </c>
      <c r="CA382" s="2">
        <f>IFERROR(IF(Cases[[#This Row],[Days at Customer]]&gt;MAX(1,Cases[[#This Row],[Days at SAP]]*2),1,0),0)</f>
        <v>0</v>
      </c>
      <c r="CB382" s="2">
        <f>IF(AND(Cases[[#This Row],[Initial Component]]&lt;&gt;"",Cases[[#This Row],[Component]]&lt;&gt;"",Cases[[#This Row],[Initial Component]]&lt;&gt;Cases[[#This Row],[Component]]),1,0)</f>
        <v>0</v>
      </c>
      <c r="CC382" s="2">
        <f>IF(OR(Cases[[#This Row],[Is Reopened]]="X",Cases[[#This Row],[No. of Reopenings]]&gt;0),1,0)</f>
        <v>0</v>
      </c>
      <c r="CD382" s="2">
        <f>IF(Cases[[#This Row],[Confirmation Type]]="Automatic",1,0)</f>
        <v>1</v>
      </c>
      <c r="CE382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383" spans="1:83" x14ac:dyDescent="0.2">
      <c r="A383" s="1" t="s">
        <v>2295</v>
      </c>
      <c r="B383" s="2" t="s">
        <v>2296</v>
      </c>
      <c r="C383" s="2" t="s">
        <v>1534</v>
      </c>
      <c r="D383" s="2" t="s">
        <v>238</v>
      </c>
      <c r="E383" s="3">
        <v>7.31</v>
      </c>
      <c r="F383" s="3">
        <v>25.1</v>
      </c>
      <c r="G383" s="2" t="s">
        <v>79</v>
      </c>
      <c r="H383" s="2" t="s">
        <v>155</v>
      </c>
      <c r="I383" s="3" t="s">
        <v>114</v>
      </c>
      <c r="J383" s="3">
        <v>138</v>
      </c>
      <c r="K383" s="2" t="s">
        <v>2297</v>
      </c>
      <c r="L383" s="4">
        <v>46026</v>
      </c>
      <c r="M383" s="4">
        <v>46022</v>
      </c>
      <c r="N383" s="2" t="s">
        <v>1804</v>
      </c>
      <c r="O383" s="2" t="s">
        <v>1805</v>
      </c>
      <c r="P383" s="2" t="s">
        <v>1334</v>
      </c>
      <c r="Q383" s="2" t="s">
        <v>1806</v>
      </c>
      <c r="R383" s="2" t="s">
        <v>1536</v>
      </c>
      <c r="S383" s="4">
        <v>45989</v>
      </c>
      <c r="T383" s="2" t="s">
        <v>2274</v>
      </c>
      <c r="U383" s="2" t="s">
        <v>1805</v>
      </c>
      <c r="V383" s="2" t="s">
        <v>2275</v>
      </c>
      <c r="W383" s="2" t="s">
        <v>1806</v>
      </c>
      <c r="X383" s="2" t="s">
        <v>117</v>
      </c>
      <c r="Y383" s="3" t="s">
        <v>118</v>
      </c>
      <c r="Z383" s="3">
        <v>32.409999999999997</v>
      </c>
      <c r="AA383" s="2" t="s">
        <v>138</v>
      </c>
      <c r="AB383" s="2" t="s">
        <v>443</v>
      </c>
      <c r="AC383" s="2" t="s">
        <v>444</v>
      </c>
      <c r="AD383" t="str" cm="1">
        <f t="array" ref="AD38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383" s="2" t="s">
        <v>91</v>
      </c>
      <c r="AF383" s="2" t="s">
        <v>92</v>
      </c>
      <c r="AG383" s="2" t="s">
        <v>274</v>
      </c>
      <c r="AH383" s="2" t="s">
        <v>275</v>
      </c>
      <c r="AJ383" s="2" t="s">
        <v>122</v>
      </c>
      <c r="AK383" s="2" t="s">
        <v>2298</v>
      </c>
      <c r="AN383" s="3">
        <v>1</v>
      </c>
      <c r="AO383" s="3">
        <v>1</v>
      </c>
      <c r="AP383" s="3">
        <v>1</v>
      </c>
      <c r="AQ383" s="3">
        <v>1</v>
      </c>
      <c r="AR383" s="3">
        <v>1</v>
      </c>
      <c r="AS383" s="3">
        <v>0</v>
      </c>
      <c r="AT383" s="3">
        <v>0</v>
      </c>
      <c r="AU383" s="3">
        <v>0</v>
      </c>
      <c r="AV383" s="3">
        <v>1</v>
      </c>
      <c r="AW383" s="3">
        <v>0</v>
      </c>
      <c r="AX383" s="3">
        <v>1</v>
      </c>
      <c r="AY383" s="3">
        <v>0</v>
      </c>
      <c r="AZ383" s="3">
        <v>0</v>
      </c>
      <c r="BA383" s="3">
        <v>1</v>
      </c>
      <c r="BB383" s="3">
        <v>0</v>
      </c>
      <c r="BC383" s="3">
        <v>0</v>
      </c>
      <c r="BD383" s="3">
        <v>1</v>
      </c>
      <c r="BE383" s="3">
        <v>0</v>
      </c>
      <c r="BG383" s="2" t="s">
        <v>91</v>
      </c>
      <c r="BH383" s="3">
        <v>3</v>
      </c>
      <c r="BJ383" s="2" t="s">
        <v>96</v>
      </c>
      <c r="BL383" s="2" t="s">
        <v>446</v>
      </c>
      <c r="BM383" s="2" t="s">
        <v>447</v>
      </c>
      <c r="BN383" s="2" t="s">
        <v>279</v>
      </c>
      <c r="BO383" s="2" t="s">
        <v>280</v>
      </c>
      <c r="BP383" s="2" t="s">
        <v>242</v>
      </c>
      <c r="BQ383" s="2" t="s">
        <v>448</v>
      </c>
      <c r="BR383" s="2" t="s">
        <v>449</v>
      </c>
      <c r="BS383" s="2" t="s">
        <v>450</v>
      </c>
      <c r="BT383" s="2" t="s">
        <v>1030</v>
      </c>
      <c r="BU383" s="2" t="s">
        <v>1031</v>
      </c>
      <c r="BV383" s="2" t="s">
        <v>166</v>
      </c>
      <c r="BW383" s="2" t="s">
        <v>167</v>
      </c>
      <c r="BX383" s="2" t="s">
        <v>91</v>
      </c>
      <c r="BY38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83" s="2">
        <f>IF(AND(Cases[[#This Row],[Priority Level]]&gt;=3,Cases[[#This Row],[System Role]]&lt;&gt;"Productive"),1,0)</f>
        <v>1</v>
      </c>
      <c r="CA383" s="2">
        <f>IFERROR(IF(Cases[[#This Row],[Days at Customer]]&gt;MAX(1,Cases[[#This Row],[Days at SAP]]*2),1,0),0)</f>
        <v>1</v>
      </c>
      <c r="CB383" s="2">
        <f>IF(AND(Cases[[#This Row],[Initial Component]]&lt;&gt;"",Cases[[#This Row],[Component]]&lt;&gt;"",Cases[[#This Row],[Initial Component]]&lt;&gt;Cases[[#This Row],[Component]]),1,0)</f>
        <v>1</v>
      </c>
      <c r="CC383" s="2">
        <f>IF(OR(Cases[[#This Row],[Is Reopened]]="X",Cases[[#This Row],[No. of Reopenings]]&gt;0),1,0)</f>
        <v>1</v>
      </c>
      <c r="CD383" s="2">
        <f>IF(Cases[[#This Row],[Confirmation Type]]="Automatic",1,0)</f>
        <v>1</v>
      </c>
      <c r="CE383" s="2">
        <f>Cases[[#This Row],[Flag_HowToOrConsulting]]+Cases[[#This Row],[Flag_PriorityInflation]]+Cases[[#This Row],[Flag_CustomerDelay]]+Cases[[#This Row],[Flag_ComponentMismatch]]+Cases[[#This Row],[Flag_Reopened]]</f>
        <v>5</v>
      </c>
    </row>
    <row r="384" spans="1:83" x14ac:dyDescent="0.2">
      <c r="A384" s="1" t="s">
        <v>2299</v>
      </c>
      <c r="B384" s="2" t="s">
        <v>2300</v>
      </c>
      <c r="C384" s="2" t="s">
        <v>1655</v>
      </c>
      <c r="D384" s="2" t="s">
        <v>238</v>
      </c>
      <c r="E384" s="3">
        <v>3.59</v>
      </c>
      <c r="F384" s="3">
        <v>27.16</v>
      </c>
      <c r="G384" s="2" t="s">
        <v>79</v>
      </c>
      <c r="H384" s="2" t="s">
        <v>80</v>
      </c>
      <c r="I384" s="3" t="s">
        <v>114</v>
      </c>
      <c r="J384" s="3">
        <v>138</v>
      </c>
      <c r="K384" s="2" t="s">
        <v>2301</v>
      </c>
      <c r="L384" s="4">
        <v>46026</v>
      </c>
      <c r="M384" s="4">
        <v>46019</v>
      </c>
      <c r="N384" s="2" t="s">
        <v>1804</v>
      </c>
      <c r="O384" s="2" t="s">
        <v>1805</v>
      </c>
      <c r="P384" s="2" t="s">
        <v>1868</v>
      </c>
      <c r="Q384" s="2" t="s">
        <v>1806</v>
      </c>
      <c r="R384" s="2" t="s">
        <v>1657</v>
      </c>
      <c r="S384" s="4">
        <v>45989</v>
      </c>
      <c r="T384" s="2" t="s">
        <v>2274</v>
      </c>
      <c r="U384" s="2" t="s">
        <v>1805</v>
      </c>
      <c r="V384" s="2" t="s">
        <v>2275</v>
      </c>
      <c r="W384" s="2" t="s">
        <v>1806</v>
      </c>
      <c r="X384" s="2" t="s">
        <v>117</v>
      </c>
      <c r="Y384" s="3" t="s">
        <v>118</v>
      </c>
      <c r="Z384" s="3">
        <v>30.74</v>
      </c>
      <c r="AA384" s="2" t="s">
        <v>90</v>
      </c>
      <c r="AB384" s="2" t="s">
        <v>1657</v>
      </c>
      <c r="AC384" s="2" t="s">
        <v>1655</v>
      </c>
      <c r="AD384" t="str" cm="1">
        <f t="array" ref="AD38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384" s="2" t="s">
        <v>139</v>
      </c>
      <c r="AF384" s="2" t="s">
        <v>92</v>
      </c>
      <c r="AG384" s="2" t="s">
        <v>119</v>
      </c>
      <c r="AH384" s="2" t="s">
        <v>120</v>
      </c>
      <c r="AK384" s="2" t="s">
        <v>2302</v>
      </c>
      <c r="AN384" s="3">
        <v>1</v>
      </c>
      <c r="AO384" s="3">
        <v>1</v>
      </c>
      <c r="AP384" s="3">
        <v>1</v>
      </c>
      <c r="AQ384" s="3">
        <v>1</v>
      </c>
      <c r="AR384" s="3">
        <v>0</v>
      </c>
      <c r="AS384" s="3">
        <v>0</v>
      </c>
      <c r="AT384" s="3">
        <v>1</v>
      </c>
      <c r="AU384" s="3">
        <v>0</v>
      </c>
      <c r="AV384" s="3">
        <v>1</v>
      </c>
      <c r="AW384" s="3">
        <v>0</v>
      </c>
      <c r="AX384" s="3">
        <v>0</v>
      </c>
      <c r="AY384" s="3">
        <v>0</v>
      </c>
      <c r="AZ384" s="3">
        <v>1</v>
      </c>
      <c r="BA384" s="3">
        <v>1</v>
      </c>
      <c r="BB384" s="3">
        <v>0</v>
      </c>
      <c r="BC384" s="3">
        <v>0</v>
      </c>
      <c r="BD384" s="3">
        <v>0</v>
      </c>
      <c r="BE384" s="3">
        <v>0</v>
      </c>
      <c r="BG384" s="2" t="s">
        <v>139</v>
      </c>
      <c r="BH384" s="3">
        <v>2</v>
      </c>
      <c r="BJ384" s="2" t="s">
        <v>96</v>
      </c>
      <c r="BL384" s="2" t="s">
        <v>123</v>
      </c>
      <c r="BM384" s="2" t="s">
        <v>123</v>
      </c>
      <c r="BN384" s="2" t="s">
        <v>124</v>
      </c>
      <c r="BO384" s="2" t="s">
        <v>125</v>
      </c>
      <c r="BP384" s="2" t="s">
        <v>242</v>
      </c>
      <c r="BQ384" s="2" t="s">
        <v>124</v>
      </c>
      <c r="BR384" s="2" t="s">
        <v>126</v>
      </c>
      <c r="BS384" s="2" t="s">
        <v>127</v>
      </c>
      <c r="BT384" s="2" t="s">
        <v>2303</v>
      </c>
      <c r="BU384" s="2" t="s">
        <v>2304</v>
      </c>
      <c r="BV384" s="2" t="s">
        <v>107</v>
      </c>
      <c r="BW384" s="2" t="s">
        <v>108</v>
      </c>
      <c r="BX384" s="2" t="s">
        <v>139</v>
      </c>
      <c r="BY38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84" s="2">
        <f>IF(AND(Cases[[#This Row],[Priority Level]]&gt;=3,Cases[[#This Row],[System Role]]&lt;&gt;"Productive"),1,0)</f>
        <v>0</v>
      </c>
      <c r="CA384" s="2">
        <f>IFERROR(IF(Cases[[#This Row],[Days at Customer]]&gt;MAX(1,Cases[[#This Row],[Days at SAP]]*2),1,0),0)</f>
        <v>1</v>
      </c>
      <c r="CB384" s="2">
        <f>IF(AND(Cases[[#This Row],[Initial Component]]&lt;&gt;"",Cases[[#This Row],[Component]]&lt;&gt;"",Cases[[#This Row],[Initial Component]]&lt;&gt;Cases[[#This Row],[Component]]),1,0)</f>
        <v>0</v>
      </c>
      <c r="CC384" s="2">
        <f>IF(OR(Cases[[#This Row],[Is Reopened]]="X",Cases[[#This Row],[No. of Reopenings]]&gt;0),1,0)</f>
        <v>0</v>
      </c>
      <c r="CD384" s="2">
        <f>IF(Cases[[#This Row],[Confirmation Type]]="Automatic",1,0)</f>
        <v>1</v>
      </c>
      <c r="CE38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85" spans="1:83" x14ac:dyDescent="0.2">
      <c r="A385" s="1" t="s">
        <v>2305</v>
      </c>
      <c r="B385" s="2" t="s">
        <v>2306</v>
      </c>
      <c r="C385" s="2" t="s">
        <v>2307</v>
      </c>
      <c r="D385" s="2" t="s">
        <v>238</v>
      </c>
      <c r="E385" s="3">
        <v>1.98</v>
      </c>
      <c r="F385" s="3">
        <v>25.84</v>
      </c>
      <c r="G385" s="2" t="s">
        <v>133</v>
      </c>
      <c r="H385" s="2" t="s">
        <v>324</v>
      </c>
      <c r="I385" s="3" t="s">
        <v>114</v>
      </c>
      <c r="J385" s="3">
        <v>138</v>
      </c>
      <c r="K385" s="2" t="s">
        <v>2308</v>
      </c>
      <c r="L385" s="4">
        <v>46019</v>
      </c>
      <c r="M385" s="4">
        <v>46017</v>
      </c>
      <c r="N385" s="2" t="s">
        <v>1804</v>
      </c>
      <c r="O385" s="2" t="s">
        <v>1805</v>
      </c>
      <c r="P385" s="2" t="s">
        <v>1868</v>
      </c>
      <c r="Q385" s="2" t="s">
        <v>1806</v>
      </c>
      <c r="R385" s="2" t="s">
        <v>362</v>
      </c>
      <c r="S385" s="4">
        <v>45989</v>
      </c>
      <c r="T385" s="2" t="s">
        <v>2274</v>
      </c>
      <c r="U385" s="2" t="s">
        <v>1805</v>
      </c>
      <c r="V385" s="2" t="s">
        <v>2275</v>
      </c>
      <c r="W385" s="2" t="s">
        <v>1806</v>
      </c>
      <c r="X385" s="2" t="s">
        <v>117</v>
      </c>
      <c r="Y385" s="3" t="s">
        <v>118</v>
      </c>
      <c r="Z385" s="3">
        <v>27.81</v>
      </c>
      <c r="AA385" s="2" t="s">
        <v>90</v>
      </c>
      <c r="AB385" s="2" t="s">
        <v>362</v>
      </c>
      <c r="AC385" s="2" t="s">
        <v>2307</v>
      </c>
      <c r="AD385" t="str" cm="1">
        <f t="array" ref="AD38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385" s="2" t="s">
        <v>139</v>
      </c>
      <c r="AF385" s="2" t="s">
        <v>92</v>
      </c>
      <c r="AG385" s="2" t="s">
        <v>119</v>
      </c>
      <c r="AH385" s="2" t="s">
        <v>120</v>
      </c>
      <c r="AK385" s="2" t="s">
        <v>2309</v>
      </c>
      <c r="AN385" s="3">
        <v>1</v>
      </c>
      <c r="AO385" s="3">
        <v>1</v>
      </c>
      <c r="AP385" s="3">
        <v>1</v>
      </c>
      <c r="AQ385" s="3">
        <v>1</v>
      </c>
      <c r="AR385" s="3">
        <v>0</v>
      </c>
      <c r="AS385" s="3">
        <v>0</v>
      </c>
      <c r="AT385" s="3">
        <v>1</v>
      </c>
      <c r="AU385" s="3">
        <v>0</v>
      </c>
      <c r="AV385" s="3">
        <v>1</v>
      </c>
      <c r="AW385" s="3">
        <v>0</v>
      </c>
      <c r="AX385" s="3">
        <v>0</v>
      </c>
      <c r="AY385" s="3">
        <v>0</v>
      </c>
      <c r="AZ385" s="3">
        <v>1</v>
      </c>
      <c r="BA385" s="3">
        <v>1</v>
      </c>
      <c r="BB385" s="3">
        <v>0</v>
      </c>
      <c r="BC385" s="3">
        <v>0</v>
      </c>
      <c r="BD385" s="3">
        <v>0</v>
      </c>
      <c r="BE385" s="3">
        <v>0</v>
      </c>
      <c r="BG385" s="2" t="s">
        <v>139</v>
      </c>
      <c r="BH385" s="3">
        <v>2</v>
      </c>
      <c r="BJ385" s="2" t="s">
        <v>96</v>
      </c>
      <c r="BL385" s="2" t="s">
        <v>123</v>
      </c>
      <c r="BM385" s="2" t="s">
        <v>123</v>
      </c>
      <c r="BN385" s="2" t="s">
        <v>124</v>
      </c>
      <c r="BO385" s="2" t="s">
        <v>125</v>
      </c>
      <c r="BP385" s="2" t="s">
        <v>242</v>
      </c>
      <c r="BQ385" s="2" t="s">
        <v>124</v>
      </c>
      <c r="BR385" s="2" t="s">
        <v>126</v>
      </c>
      <c r="BS385" s="2" t="s">
        <v>127</v>
      </c>
      <c r="BT385" s="2" t="s">
        <v>2303</v>
      </c>
      <c r="BU385" s="2" t="s">
        <v>2304</v>
      </c>
      <c r="BV385" s="2" t="s">
        <v>107</v>
      </c>
      <c r="BW385" s="2" t="s">
        <v>108</v>
      </c>
      <c r="BX385" s="2" t="s">
        <v>139</v>
      </c>
      <c r="BY38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85" s="2">
        <f>IF(AND(Cases[[#This Row],[Priority Level]]&gt;=3,Cases[[#This Row],[System Role]]&lt;&gt;"Productive"),1,0)</f>
        <v>0</v>
      </c>
      <c r="CA385" s="2">
        <f>IFERROR(IF(Cases[[#This Row],[Days at Customer]]&gt;MAX(1,Cases[[#This Row],[Days at SAP]]*2),1,0),0)</f>
        <v>1</v>
      </c>
      <c r="CB385" s="2">
        <f>IF(AND(Cases[[#This Row],[Initial Component]]&lt;&gt;"",Cases[[#This Row],[Component]]&lt;&gt;"",Cases[[#This Row],[Initial Component]]&lt;&gt;Cases[[#This Row],[Component]]),1,0)</f>
        <v>0</v>
      </c>
      <c r="CC385" s="2">
        <f>IF(OR(Cases[[#This Row],[Is Reopened]]="X",Cases[[#This Row],[No. of Reopenings]]&gt;0),1,0)</f>
        <v>0</v>
      </c>
      <c r="CD385" s="2">
        <f>IF(Cases[[#This Row],[Confirmation Type]]="Automatic",1,0)</f>
        <v>1</v>
      </c>
      <c r="CE385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86" spans="1:83" x14ac:dyDescent="0.2">
      <c r="A386" s="1" t="s">
        <v>3142</v>
      </c>
      <c r="B386" s="2" t="s">
        <v>3143</v>
      </c>
      <c r="C386" s="2" t="s">
        <v>111</v>
      </c>
      <c r="D386" s="2" t="s">
        <v>78</v>
      </c>
      <c r="E386" s="3">
        <v>0</v>
      </c>
      <c r="F386" s="3">
        <v>12.12</v>
      </c>
      <c r="G386" s="2" t="s">
        <v>112</v>
      </c>
      <c r="H386" s="2" t="s">
        <v>113</v>
      </c>
      <c r="I386" s="3" t="s">
        <v>114</v>
      </c>
      <c r="J386" s="3">
        <v>187</v>
      </c>
      <c r="K386" s="2" t="s">
        <v>3144</v>
      </c>
      <c r="L386" s="4">
        <v>46054</v>
      </c>
      <c r="M386" s="4">
        <v>45958</v>
      </c>
      <c r="N386" s="2" t="s">
        <v>2727</v>
      </c>
      <c r="O386" s="2" t="s">
        <v>1805</v>
      </c>
      <c r="P386" s="2" t="s">
        <v>2717</v>
      </c>
      <c r="Q386" s="2" t="s">
        <v>1806</v>
      </c>
      <c r="R386" s="2" t="s">
        <v>116</v>
      </c>
      <c r="S386" s="4">
        <v>45940</v>
      </c>
      <c r="T386" s="2" t="s">
        <v>2727</v>
      </c>
      <c r="U386" s="2" t="s">
        <v>1805</v>
      </c>
      <c r="V386" s="2" t="s">
        <v>3126</v>
      </c>
      <c r="W386" s="2" t="s">
        <v>1806</v>
      </c>
      <c r="X386" s="2" t="s">
        <v>117</v>
      </c>
      <c r="Y386" s="3" t="s">
        <v>118</v>
      </c>
      <c r="Z386" s="3">
        <v>12.12</v>
      </c>
      <c r="AA386" s="2" t="s">
        <v>90</v>
      </c>
      <c r="AB386" s="2" t="s">
        <v>116</v>
      </c>
      <c r="AC386" s="2" t="s">
        <v>111</v>
      </c>
      <c r="AD386" t="str" cm="1">
        <f t="array" ref="AD38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386" s="2" t="s">
        <v>139</v>
      </c>
      <c r="AF386" s="2" t="s">
        <v>92</v>
      </c>
      <c r="AG386" s="2" t="s">
        <v>119</v>
      </c>
      <c r="AH386" s="2" t="s">
        <v>120</v>
      </c>
      <c r="AK386" s="2" t="s">
        <v>3145</v>
      </c>
      <c r="AN386" s="3">
        <v>1</v>
      </c>
      <c r="AO386" s="3">
        <v>1</v>
      </c>
      <c r="AP386" s="3">
        <v>1</v>
      </c>
      <c r="AQ386" s="3">
        <v>1</v>
      </c>
      <c r="AR386" s="3">
        <v>0</v>
      </c>
      <c r="AS386" s="3">
        <v>0</v>
      </c>
      <c r="AT386" s="3">
        <v>1</v>
      </c>
      <c r="AU386" s="3">
        <v>0</v>
      </c>
      <c r="AV386" s="3">
        <v>0</v>
      </c>
      <c r="AW386" s="3">
        <v>1</v>
      </c>
      <c r="AX386" s="3">
        <v>0</v>
      </c>
      <c r="AY386" s="3">
        <v>0</v>
      </c>
      <c r="AZ386" s="3">
        <v>1</v>
      </c>
      <c r="BA386" s="3">
        <v>0</v>
      </c>
      <c r="BB386" s="3">
        <v>0</v>
      </c>
      <c r="BC386" s="3">
        <v>1</v>
      </c>
      <c r="BD386" s="3">
        <v>0</v>
      </c>
      <c r="BE386" s="3">
        <v>0</v>
      </c>
      <c r="BG386" s="2" t="s">
        <v>139</v>
      </c>
      <c r="BH386" s="3">
        <v>2</v>
      </c>
      <c r="BI386" s="2" t="s">
        <v>122</v>
      </c>
      <c r="BJ386" s="2" t="s">
        <v>96</v>
      </c>
      <c r="BL386" s="2" t="s">
        <v>123</v>
      </c>
      <c r="BM386" s="2" t="s">
        <v>123</v>
      </c>
      <c r="BN386" s="2" t="s">
        <v>124</v>
      </c>
      <c r="BO386" s="2" t="s">
        <v>125</v>
      </c>
      <c r="BP386" s="2" t="s">
        <v>101</v>
      </c>
      <c r="BQ386" s="2" t="s">
        <v>124</v>
      </c>
      <c r="BR386" s="2" t="s">
        <v>126</v>
      </c>
      <c r="BS386" s="2" t="s">
        <v>127</v>
      </c>
      <c r="BT386" s="2" t="s">
        <v>207</v>
      </c>
      <c r="BU386" s="2" t="s">
        <v>208</v>
      </c>
      <c r="BV386" s="2" t="s">
        <v>150</v>
      </c>
      <c r="BW386" s="2" t="s">
        <v>151</v>
      </c>
      <c r="BX386" s="2" t="s">
        <v>139</v>
      </c>
      <c r="BY38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86" s="2">
        <f>IF(AND(Cases[[#This Row],[Priority Level]]&gt;=3,Cases[[#This Row],[System Role]]&lt;&gt;"Productive"),1,0)</f>
        <v>0</v>
      </c>
      <c r="CA386" s="2">
        <f>IFERROR(IF(Cases[[#This Row],[Days at Customer]]&gt;MAX(1,Cases[[#This Row],[Days at SAP]]*2),1,0),0)</f>
        <v>1</v>
      </c>
      <c r="CB386" s="2">
        <f>IF(AND(Cases[[#This Row],[Initial Component]]&lt;&gt;"",Cases[[#This Row],[Component]]&lt;&gt;"",Cases[[#This Row],[Initial Component]]&lt;&gt;Cases[[#This Row],[Component]]),1,0)</f>
        <v>0</v>
      </c>
      <c r="CC386" s="2">
        <f>IF(OR(Cases[[#This Row],[Is Reopened]]="X",Cases[[#This Row],[No. of Reopenings]]&gt;0),1,0)</f>
        <v>0</v>
      </c>
      <c r="CD386" s="2">
        <f>IF(Cases[[#This Row],[Confirmation Type]]="Automatic",1,0)</f>
        <v>0</v>
      </c>
      <c r="CE386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87" spans="1:83" x14ac:dyDescent="0.2">
      <c r="A387" s="1" t="s">
        <v>2314</v>
      </c>
      <c r="B387" s="2" t="s">
        <v>2315</v>
      </c>
      <c r="C387" s="2" t="s">
        <v>2316</v>
      </c>
      <c r="D387" s="2" t="s">
        <v>78</v>
      </c>
      <c r="E387" s="3">
        <v>70.67</v>
      </c>
      <c r="F387" s="3">
        <v>14.39</v>
      </c>
      <c r="G387" s="2" t="s">
        <v>2317</v>
      </c>
      <c r="H387" s="2" t="s">
        <v>2318</v>
      </c>
      <c r="I387" s="3" t="s">
        <v>114</v>
      </c>
      <c r="J387" s="3">
        <v>139</v>
      </c>
      <c r="K387" s="2" t="s">
        <v>2319</v>
      </c>
      <c r="L387" s="4">
        <v>46075</v>
      </c>
      <c r="M387" s="4">
        <v>46073</v>
      </c>
      <c r="N387" s="2" t="s">
        <v>677</v>
      </c>
      <c r="O387" s="2" t="s">
        <v>181</v>
      </c>
      <c r="P387" s="2" t="s">
        <v>895</v>
      </c>
      <c r="Q387" s="2" t="s">
        <v>86</v>
      </c>
      <c r="R387" s="2" t="s">
        <v>2320</v>
      </c>
      <c r="S387" s="4">
        <v>45988</v>
      </c>
      <c r="T387" s="2" t="s">
        <v>2274</v>
      </c>
      <c r="U387" s="2" t="s">
        <v>1805</v>
      </c>
      <c r="V387" s="2" t="s">
        <v>2275</v>
      </c>
      <c r="W387" s="2" t="s">
        <v>1806</v>
      </c>
      <c r="X387" s="2" t="s">
        <v>117</v>
      </c>
      <c r="Y387" s="3" t="s">
        <v>118</v>
      </c>
      <c r="Z387" s="3">
        <v>85.06</v>
      </c>
      <c r="AA387" s="2" t="s">
        <v>138</v>
      </c>
      <c r="AB387" s="2" t="s">
        <v>2321</v>
      </c>
      <c r="AC387" s="2" t="s">
        <v>2322</v>
      </c>
      <c r="AD387" t="str" cm="1">
        <f t="array" ref="AD38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387" s="2" t="s">
        <v>182</v>
      </c>
      <c r="AF387" s="2" t="s">
        <v>92</v>
      </c>
      <c r="AG387" s="2" t="s">
        <v>274</v>
      </c>
      <c r="AH387" s="2" t="s">
        <v>275</v>
      </c>
      <c r="AJ387" s="2" t="s">
        <v>122</v>
      </c>
      <c r="AK387" s="2" t="s">
        <v>2323</v>
      </c>
      <c r="AN387" s="3">
        <v>1</v>
      </c>
      <c r="AO387" s="3">
        <v>1</v>
      </c>
      <c r="AP387" s="3">
        <v>1</v>
      </c>
      <c r="AQ387" s="3">
        <v>1</v>
      </c>
      <c r="AR387" s="3">
        <v>0</v>
      </c>
      <c r="AS387" s="3">
        <v>1</v>
      </c>
      <c r="AT387" s="3">
        <v>0</v>
      </c>
      <c r="AU387" s="3">
        <v>0</v>
      </c>
      <c r="AV387" s="3">
        <v>0</v>
      </c>
      <c r="AW387" s="3">
        <v>1</v>
      </c>
      <c r="AX387" s="3">
        <v>0</v>
      </c>
      <c r="AY387" s="3">
        <v>1</v>
      </c>
      <c r="AZ387" s="3">
        <v>0</v>
      </c>
      <c r="BA387" s="3">
        <v>0</v>
      </c>
      <c r="BB387" s="3">
        <v>0</v>
      </c>
      <c r="BC387" s="3">
        <v>1</v>
      </c>
      <c r="BD387" s="3">
        <v>1</v>
      </c>
      <c r="BE387" s="3">
        <v>0</v>
      </c>
      <c r="BG387" s="2" t="s">
        <v>158</v>
      </c>
      <c r="BH387" s="3">
        <v>1</v>
      </c>
      <c r="BJ387" s="2" t="s">
        <v>96</v>
      </c>
      <c r="BL387" s="2" t="s">
        <v>2324</v>
      </c>
      <c r="BM387" s="2" t="s">
        <v>2325</v>
      </c>
      <c r="BN387" s="2" t="s">
        <v>279</v>
      </c>
      <c r="BO387" s="2" t="s">
        <v>280</v>
      </c>
      <c r="BP387" s="2" t="s">
        <v>101</v>
      </c>
      <c r="BQ387" s="2" t="s">
        <v>448</v>
      </c>
      <c r="BR387" s="2" t="s">
        <v>449</v>
      </c>
      <c r="BS387" s="2" t="s">
        <v>147</v>
      </c>
      <c r="BT387" s="2" t="s">
        <v>148</v>
      </c>
      <c r="BU387" s="2" t="s">
        <v>2326</v>
      </c>
      <c r="BV387" s="2" t="s">
        <v>150</v>
      </c>
      <c r="BW387" s="2" t="s">
        <v>151</v>
      </c>
      <c r="BX387" s="2" t="s">
        <v>182</v>
      </c>
      <c r="BY38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87" s="2">
        <f>IF(AND(Cases[[#This Row],[Priority Level]]&gt;=3,Cases[[#This Row],[System Role]]&lt;&gt;"Productive"),1,0)</f>
        <v>0</v>
      </c>
      <c r="CA387" s="2">
        <f>IFERROR(IF(Cases[[#This Row],[Days at Customer]]&gt;MAX(1,Cases[[#This Row],[Days at SAP]]*2),1,0),0)</f>
        <v>0</v>
      </c>
      <c r="CB387" s="2">
        <f>IF(AND(Cases[[#This Row],[Initial Component]]&lt;&gt;"",Cases[[#This Row],[Component]]&lt;&gt;"",Cases[[#This Row],[Initial Component]]&lt;&gt;Cases[[#This Row],[Component]]),1,0)</f>
        <v>1</v>
      </c>
      <c r="CC387" s="2">
        <f>IF(OR(Cases[[#This Row],[Is Reopened]]="X",Cases[[#This Row],[No. of Reopenings]]&gt;0),1,0)</f>
        <v>1</v>
      </c>
      <c r="CD387" s="2">
        <f>IF(Cases[[#This Row],[Confirmation Type]]="Automatic",1,0)</f>
        <v>0</v>
      </c>
      <c r="CE38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88" spans="1:83" x14ac:dyDescent="0.2">
      <c r="A388" s="1" t="s">
        <v>3327</v>
      </c>
      <c r="B388" s="2" t="s">
        <v>3328</v>
      </c>
      <c r="C388" s="2" t="s">
        <v>203</v>
      </c>
      <c r="D388" s="2" t="s">
        <v>238</v>
      </c>
      <c r="E388" s="3">
        <v>0</v>
      </c>
      <c r="F388" s="3">
        <v>31.03</v>
      </c>
      <c r="G388" s="2" t="s">
        <v>112</v>
      </c>
      <c r="H388" s="2" t="s">
        <v>113</v>
      </c>
      <c r="I388" s="3" t="s">
        <v>114</v>
      </c>
      <c r="J388" s="3">
        <v>202</v>
      </c>
      <c r="K388" s="2" t="s">
        <v>3329</v>
      </c>
      <c r="L388" s="4">
        <v>46054</v>
      </c>
      <c r="M388" s="4">
        <v>45958</v>
      </c>
      <c r="N388" s="2" t="s">
        <v>2727</v>
      </c>
      <c r="O388" s="2" t="s">
        <v>1805</v>
      </c>
      <c r="P388" s="2" t="s">
        <v>2717</v>
      </c>
      <c r="Q388" s="2" t="s">
        <v>1806</v>
      </c>
      <c r="R388" s="2" t="s">
        <v>205</v>
      </c>
      <c r="S388" s="4">
        <v>45925</v>
      </c>
      <c r="T388" s="2" t="s">
        <v>3264</v>
      </c>
      <c r="U388" s="2" t="s">
        <v>3265</v>
      </c>
      <c r="V388" s="2" t="s">
        <v>3296</v>
      </c>
      <c r="W388" s="2" t="s">
        <v>1806</v>
      </c>
      <c r="X388" s="2" t="s">
        <v>117</v>
      </c>
      <c r="Y388" s="3" t="s">
        <v>118</v>
      </c>
      <c r="Z388" s="3">
        <v>31.03</v>
      </c>
      <c r="AA388" s="2" t="s">
        <v>90</v>
      </c>
      <c r="AB388" s="2" t="s">
        <v>205</v>
      </c>
      <c r="AC388" s="2" t="s">
        <v>203</v>
      </c>
      <c r="AD388" t="str" cm="1">
        <f t="array" ref="AD38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388" s="2" t="s">
        <v>91</v>
      </c>
      <c r="AF388" s="2" t="s">
        <v>92</v>
      </c>
      <c r="AG388" s="2" t="s">
        <v>119</v>
      </c>
      <c r="AH388" s="2" t="s">
        <v>120</v>
      </c>
      <c r="AK388" s="2" t="s">
        <v>3330</v>
      </c>
      <c r="AN388" s="3">
        <v>1</v>
      </c>
      <c r="AO388" s="3">
        <v>0</v>
      </c>
      <c r="AP388" s="3">
        <v>1</v>
      </c>
      <c r="AQ388" s="3">
        <v>1</v>
      </c>
      <c r="AR388" s="3">
        <v>1</v>
      </c>
      <c r="AS388" s="3">
        <v>0</v>
      </c>
      <c r="AT388" s="3">
        <v>0</v>
      </c>
      <c r="AU388" s="3">
        <v>0</v>
      </c>
      <c r="AV388" s="3">
        <v>1</v>
      </c>
      <c r="AW388" s="3">
        <v>0</v>
      </c>
      <c r="AX388" s="3">
        <v>1</v>
      </c>
      <c r="AY388" s="3">
        <v>0</v>
      </c>
      <c r="AZ388" s="3">
        <v>0</v>
      </c>
      <c r="BA388" s="3">
        <v>0</v>
      </c>
      <c r="BB388" s="3">
        <v>0</v>
      </c>
      <c r="BC388" s="3">
        <v>1</v>
      </c>
      <c r="BD388" s="3">
        <v>0</v>
      </c>
      <c r="BE388" s="3">
        <v>0</v>
      </c>
      <c r="BG388" s="2" t="s">
        <v>91</v>
      </c>
      <c r="BH388" s="3">
        <v>3</v>
      </c>
      <c r="BI388" s="2" t="s">
        <v>122</v>
      </c>
      <c r="BJ388" s="2" t="s">
        <v>96</v>
      </c>
      <c r="BL388" s="2" t="s">
        <v>123</v>
      </c>
      <c r="BM388" s="2" t="s">
        <v>123</v>
      </c>
      <c r="BN388" s="2" t="s">
        <v>124</v>
      </c>
      <c r="BO388" s="2" t="s">
        <v>125</v>
      </c>
      <c r="BP388" s="2" t="s">
        <v>242</v>
      </c>
      <c r="BQ388" s="2" t="s">
        <v>124</v>
      </c>
      <c r="BR388" s="2" t="s">
        <v>126</v>
      </c>
      <c r="BS388" s="2" t="s">
        <v>127</v>
      </c>
      <c r="BT388" s="2" t="s">
        <v>207</v>
      </c>
      <c r="BU388" s="2" t="s">
        <v>208</v>
      </c>
      <c r="BV388" s="2" t="s">
        <v>150</v>
      </c>
      <c r="BW388" s="2" t="s">
        <v>151</v>
      </c>
      <c r="BX388" s="2" t="s">
        <v>91</v>
      </c>
      <c r="BY38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88" s="2">
        <f>IF(AND(Cases[[#This Row],[Priority Level]]&gt;=3,Cases[[#This Row],[System Role]]&lt;&gt;"Productive"),1,0)</f>
        <v>0</v>
      </c>
      <c r="CA388" s="2">
        <f>IFERROR(IF(Cases[[#This Row],[Days at Customer]]&gt;MAX(1,Cases[[#This Row],[Days at SAP]]*2),1,0),0)</f>
        <v>1</v>
      </c>
      <c r="CB388" s="2">
        <f>IF(AND(Cases[[#This Row],[Initial Component]]&lt;&gt;"",Cases[[#This Row],[Component]]&lt;&gt;"",Cases[[#This Row],[Initial Component]]&lt;&gt;Cases[[#This Row],[Component]]),1,0)</f>
        <v>0</v>
      </c>
      <c r="CC388" s="2">
        <f>IF(OR(Cases[[#This Row],[Is Reopened]]="X",Cases[[#This Row],[No. of Reopenings]]&gt;0),1,0)</f>
        <v>0</v>
      </c>
      <c r="CD388" s="2">
        <f>IF(Cases[[#This Row],[Confirmation Type]]="Automatic",1,0)</f>
        <v>1</v>
      </c>
      <c r="CE38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89" spans="1:83" x14ac:dyDescent="0.2">
      <c r="A389" s="1" t="s">
        <v>2331</v>
      </c>
      <c r="B389" s="2" t="s">
        <v>2332</v>
      </c>
      <c r="C389" s="2" t="s">
        <v>406</v>
      </c>
      <c r="D389" s="2" t="s">
        <v>78</v>
      </c>
      <c r="E389" s="3">
        <v>5.91</v>
      </c>
      <c r="F389" s="3">
        <v>0</v>
      </c>
      <c r="G389" s="2" t="s">
        <v>79</v>
      </c>
      <c r="H389" s="2" t="s">
        <v>80</v>
      </c>
      <c r="I389" s="3" t="s">
        <v>114</v>
      </c>
      <c r="J389" s="3">
        <v>140</v>
      </c>
      <c r="K389" s="2" t="s">
        <v>2333</v>
      </c>
      <c r="L389" s="4">
        <v>46009</v>
      </c>
      <c r="M389" s="4">
        <v>45993</v>
      </c>
      <c r="N389" s="2" t="s">
        <v>1804</v>
      </c>
      <c r="O389" s="2" t="s">
        <v>1805</v>
      </c>
      <c r="P389" s="2" t="s">
        <v>2169</v>
      </c>
      <c r="Q389" s="2" t="s">
        <v>1806</v>
      </c>
      <c r="R389" s="2" t="s">
        <v>408</v>
      </c>
      <c r="S389" s="4">
        <v>45987</v>
      </c>
      <c r="T389" s="2" t="s">
        <v>2274</v>
      </c>
      <c r="U389" s="2" t="s">
        <v>1805</v>
      </c>
      <c r="V389" s="2" t="s">
        <v>2275</v>
      </c>
      <c r="W389" s="2" t="s">
        <v>1806</v>
      </c>
      <c r="X389" s="2" t="s">
        <v>117</v>
      </c>
      <c r="Y389" s="3" t="s">
        <v>118</v>
      </c>
      <c r="Z389" s="3">
        <v>5.91</v>
      </c>
      <c r="AA389" s="2" t="s">
        <v>90</v>
      </c>
      <c r="AB389" s="2" t="s">
        <v>408</v>
      </c>
      <c r="AC389" s="2" t="s">
        <v>406</v>
      </c>
      <c r="AD389" t="str" cm="1">
        <f t="array" ref="AD38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389" s="2" t="s">
        <v>91</v>
      </c>
      <c r="AF389" s="2" t="s">
        <v>92</v>
      </c>
      <c r="AG389" s="2" t="s">
        <v>119</v>
      </c>
      <c r="AH389" s="2" t="s">
        <v>120</v>
      </c>
      <c r="AK389" s="2" t="s">
        <v>2334</v>
      </c>
      <c r="AN389" s="3">
        <v>1</v>
      </c>
      <c r="AO389" s="3">
        <v>1</v>
      </c>
      <c r="AP389" s="3">
        <v>1</v>
      </c>
      <c r="AQ389" s="3">
        <v>1</v>
      </c>
      <c r="AR389" s="3">
        <v>1</v>
      </c>
      <c r="AS389" s="3">
        <v>0</v>
      </c>
      <c r="AT389" s="3">
        <v>0</v>
      </c>
      <c r="AU389" s="3">
        <v>0</v>
      </c>
      <c r="AV389" s="3">
        <v>0</v>
      </c>
      <c r="AW389" s="3">
        <v>1</v>
      </c>
      <c r="AX389" s="3">
        <v>1</v>
      </c>
      <c r="AY389" s="3">
        <v>0</v>
      </c>
      <c r="AZ389" s="3">
        <v>0</v>
      </c>
      <c r="BA389" s="3">
        <v>1</v>
      </c>
      <c r="BB389" s="3">
        <v>0</v>
      </c>
      <c r="BC389" s="3">
        <v>0</v>
      </c>
      <c r="BD389" s="3">
        <v>0</v>
      </c>
      <c r="BE389" s="3">
        <v>0</v>
      </c>
      <c r="BG389" s="2" t="s">
        <v>91</v>
      </c>
      <c r="BH389" s="3">
        <v>3</v>
      </c>
      <c r="BJ389" s="2" t="s">
        <v>96</v>
      </c>
      <c r="BL389" s="2" t="s">
        <v>123</v>
      </c>
      <c r="BM389" s="2" t="s">
        <v>123</v>
      </c>
      <c r="BN389" s="2" t="s">
        <v>124</v>
      </c>
      <c r="BO389" s="2" t="s">
        <v>125</v>
      </c>
      <c r="BP389" s="2" t="s">
        <v>101</v>
      </c>
      <c r="BQ389" s="2" t="s">
        <v>124</v>
      </c>
      <c r="BR389" s="2" t="s">
        <v>126</v>
      </c>
      <c r="BS389" s="2" t="s">
        <v>127</v>
      </c>
      <c r="BT389" s="2" t="s">
        <v>199</v>
      </c>
      <c r="BU389" s="2" t="s">
        <v>200</v>
      </c>
      <c r="BV389" s="2" t="s">
        <v>166</v>
      </c>
      <c r="BW389" s="2" t="s">
        <v>167</v>
      </c>
      <c r="BX389" s="2" t="s">
        <v>91</v>
      </c>
      <c r="BY38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89" s="2">
        <f>IF(AND(Cases[[#This Row],[Priority Level]]&gt;=3,Cases[[#This Row],[System Role]]&lt;&gt;"Productive"),1,0)</f>
        <v>1</v>
      </c>
      <c r="CA389" s="2">
        <f>IFERROR(IF(Cases[[#This Row],[Days at Customer]]&gt;MAX(1,Cases[[#This Row],[Days at SAP]]*2),1,0),0)</f>
        <v>0</v>
      </c>
      <c r="CB389" s="2">
        <f>IF(AND(Cases[[#This Row],[Initial Component]]&lt;&gt;"",Cases[[#This Row],[Component]]&lt;&gt;"",Cases[[#This Row],[Initial Component]]&lt;&gt;Cases[[#This Row],[Component]]),1,0)</f>
        <v>0</v>
      </c>
      <c r="CC389" s="2">
        <f>IF(OR(Cases[[#This Row],[Is Reopened]]="X",Cases[[#This Row],[No. of Reopenings]]&gt;0),1,0)</f>
        <v>0</v>
      </c>
      <c r="CD389" s="2">
        <f>IF(Cases[[#This Row],[Confirmation Type]]="Automatic",1,0)</f>
        <v>0</v>
      </c>
      <c r="CE389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90" spans="1:83" x14ac:dyDescent="0.2">
      <c r="A390" s="1" t="s">
        <v>2335</v>
      </c>
      <c r="B390" s="2" t="s">
        <v>2336</v>
      </c>
      <c r="C390" s="2" t="s">
        <v>406</v>
      </c>
      <c r="D390" s="2" t="s">
        <v>78</v>
      </c>
      <c r="E390" s="3">
        <v>6.05</v>
      </c>
      <c r="F390" s="3">
        <v>0.79</v>
      </c>
      <c r="G390" s="2" t="s">
        <v>79</v>
      </c>
      <c r="H390" s="2" t="s">
        <v>290</v>
      </c>
      <c r="I390" s="3" t="s">
        <v>114</v>
      </c>
      <c r="J390" s="3">
        <v>140</v>
      </c>
      <c r="K390" s="2" t="s">
        <v>2337</v>
      </c>
      <c r="L390" s="4">
        <v>46009</v>
      </c>
      <c r="M390" s="4">
        <v>45994</v>
      </c>
      <c r="N390" s="2" t="s">
        <v>1804</v>
      </c>
      <c r="O390" s="2" t="s">
        <v>1805</v>
      </c>
      <c r="P390" s="2" t="s">
        <v>2169</v>
      </c>
      <c r="Q390" s="2" t="s">
        <v>1806</v>
      </c>
      <c r="R390" s="2" t="s">
        <v>408</v>
      </c>
      <c r="S390" s="4">
        <v>45987</v>
      </c>
      <c r="T390" s="2" t="s">
        <v>2274</v>
      </c>
      <c r="U390" s="2" t="s">
        <v>1805</v>
      </c>
      <c r="V390" s="2" t="s">
        <v>2275</v>
      </c>
      <c r="W390" s="2" t="s">
        <v>1806</v>
      </c>
      <c r="X390" s="2" t="s">
        <v>117</v>
      </c>
      <c r="Y390" s="3" t="s">
        <v>118</v>
      </c>
      <c r="Z390" s="3">
        <v>6.84</v>
      </c>
      <c r="AA390" s="2" t="s">
        <v>90</v>
      </c>
      <c r="AB390" s="2" t="s">
        <v>408</v>
      </c>
      <c r="AC390" s="2" t="s">
        <v>406</v>
      </c>
      <c r="AD390" t="str" cm="1">
        <f t="array" ref="AD39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390" s="2" t="s">
        <v>91</v>
      </c>
      <c r="AF390" s="2" t="s">
        <v>92</v>
      </c>
      <c r="AG390" s="2" t="s">
        <v>119</v>
      </c>
      <c r="AH390" s="2" t="s">
        <v>120</v>
      </c>
      <c r="AK390" s="2" t="s">
        <v>2338</v>
      </c>
      <c r="AN390" s="3">
        <v>1</v>
      </c>
      <c r="AO390" s="3">
        <v>1</v>
      </c>
      <c r="AP390" s="3">
        <v>1</v>
      </c>
      <c r="AQ390" s="3">
        <v>1</v>
      </c>
      <c r="AR390" s="3">
        <v>1</v>
      </c>
      <c r="AS390" s="3">
        <v>0</v>
      </c>
      <c r="AT390" s="3">
        <v>0</v>
      </c>
      <c r="AU390" s="3">
        <v>0</v>
      </c>
      <c r="AV390" s="3">
        <v>0</v>
      </c>
      <c r="AW390" s="3">
        <v>1</v>
      </c>
      <c r="AX390" s="3">
        <v>1</v>
      </c>
      <c r="AY390" s="3">
        <v>0</v>
      </c>
      <c r="AZ390" s="3">
        <v>0</v>
      </c>
      <c r="BA390" s="3">
        <v>1</v>
      </c>
      <c r="BB390" s="3">
        <v>0</v>
      </c>
      <c r="BC390" s="3">
        <v>0</v>
      </c>
      <c r="BD390" s="3">
        <v>0</v>
      </c>
      <c r="BE390" s="3">
        <v>0</v>
      </c>
      <c r="BG390" s="2" t="s">
        <v>91</v>
      </c>
      <c r="BH390" s="3">
        <v>3</v>
      </c>
      <c r="BJ390" s="2" t="s">
        <v>96</v>
      </c>
      <c r="BL390" s="2" t="s">
        <v>123</v>
      </c>
      <c r="BM390" s="2" t="s">
        <v>123</v>
      </c>
      <c r="BN390" s="2" t="s">
        <v>124</v>
      </c>
      <c r="BO390" s="2" t="s">
        <v>125</v>
      </c>
      <c r="BP390" s="2" t="s">
        <v>101</v>
      </c>
      <c r="BQ390" s="2" t="s">
        <v>124</v>
      </c>
      <c r="BR390" s="2" t="s">
        <v>126</v>
      </c>
      <c r="BS390" s="2" t="s">
        <v>127</v>
      </c>
      <c r="BT390" s="2" t="s">
        <v>199</v>
      </c>
      <c r="BU390" s="2" t="s">
        <v>200</v>
      </c>
      <c r="BV390" s="2" t="s">
        <v>166</v>
      </c>
      <c r="BW390" s="2" t="s">
        <v>167</v>
      </c>
      <c r="BX390" s="2" t="s">
        <v>91</v>
      </c>
      <c r="BY39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90" s="2">
        <f>IF(AND(Cases[[#This Row],[Priority Level]]&gt;=3,Cases[[#This Row],[System Role]]&lt;&gt;"Productive"),1,0)</f>
        <v>1</v>
      </c>
      <c r="CA390" s="2">
        <f>IFERROR(IF(Cases[[#This Row],[Days at Customer]]&gt;MAX(1,Cases[[#This Row],[Days at SAP]]*2),1,0),0)</f>
        <v>0</v>
      </c>
      <c r="CB390" s="2">
        <f>IF(AND(Cases[[#This Row],[Initial Component]]&lt;&gt;"",Cases[[#This Row],[Component]]&lt;&gt;"",Cases[[#This Row],[Initial Component]]&lt;&gt;Cases[[#This Row],[Component]]),1,0)</f>
        <v>0</v>
      </c>
      <c r="CC390" s="2">
        <f>IF(OR(Cases[[#This Row],[Is Reopened]]="X",Cases[[#This Row],[No. of Reopenings]]&gt;0),1,0)</f>
        <v>0</v>
      </c>
      <c r="CD390" s="2">
        <f>IF(Cases[[#This Row],[Confirmation Type]]="Automatic",1,0)</f>
        <v>0</v>
      </c>
      <c r="CE39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91" spans="1:83" x14ac:dyDescent="0.2">
      <c r="A391" s="1" t="s">
        <v>2339</v>
      </c>
      <c r="B391" s="2" t="s">
        <v>2340</v>
      </c>
      <c r="C391" s="2" t="s">
        <v>604</v>
      </c>
      <c r="D391" s="2" t="s">
        <v>238</v>
      </c>
      <c r="E391" s="3">
        <v>1.0900000000000001</v>
      </c>
      <c r="F391" s="3">
        <v>21.32</v>
      </c>
      <c r="G391" s="2" t="s">
        <v>133</v>
      </c>
      <c r="H391" s="2" t="s">
        <v>324</v>
      </c>
      <c r="I391" s="3" t="s">
        <v>114</v>
      </c>
      <c r="J391" s="3">
        <v>140</v>
      </c>
      <c r="K391" s="2" t="s">
        <v>2341</v>
      </c>
      <c r="L391" s="4">
        <v>46012</v>
      </c>
      <c r="M391" s="4">
        <v>46010</v>
      </c>
      <c r="N391" s="2" t="s">
        <v>1804</v>
      </c>
      <c r="O391" s="2" t="s">
        <v>1805</v>
      </c>
      <c r="P391" s="2" t="s">
        <v>1930</v>
      </c>
      <c r="Q391" s="2" t="s">
        <v>1806</v>
      </c>
      <c r="R391" s="2" t="s">
        <v>606</v>
      </c>
      <c r="S391" s="4">
        <v>45987</v>
      </c>
      <c r="T391" s="2" t="s">
        <v>2274</v>
      </c>
      <c r="U391" s="2" t="s">
        <v>1805</v>
      </c>
      <c r="V391" s="2" t="s">
        <v>2275</v>
      </c>
      <c r="W391" s="2" t="s">
        <v>1806</v>
      </c>
      <c r="X391" s="2" t="s">
        <v>117</v>
      </c>
      <c r="Y391" s="3" t="s">
        <v>118</v>
      </c>
      <c r="Z391" s="3">
        <v>22.41</v>
      </c>
      <c r="AA391" s="2" t="s">
        <v>90</v>
      </c>
      <c r="AB391" s="2" t="s">
        <v>606</v>
      </c>
      <c r="AC391" s="2" t="s">
        <v>604</v>
      </c>
      <c r="AD391" t="str" cm="1">
        <f t="array" ref="AD39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391" s="2" t="s">
        <v>139</v>
      </c>
      <c r="AF391" s="2" t="s">
        <v>92</v>
      </c>
      <c r="AG391" s="2" t="s">
        <v>119</v>
      </c>
      <c r="AH391" s="2" t="s">
        <v>120</v>
      </c>
      <c r="AK391" s="2" t="s">
        <v>2342</v>
      </c>
      <c r="AN391" s="3">
        <v>1</v>
      </c>
      <c r="AO391" s="3">
        <v>1</v>
      </c>
      <c r="AP391" s="3">
        <v>1</v>
      </c>
      <c r="AQ391" s="3">
        <v>1</v>
      </c>
      <c r="AR391" s="3">
        <v>0</v>
      </c>
      <c r="AS391" s="3">
        <v>0</v>
      </c>
      <c r="AT391" s="3">
        <v>1</v>
      </c>
      <c r="AU391" s="3">
        <v>0</v>
      </c>
      <c r="AV391" s="3">
        <v>1</v>
      </c>
      <c r="AW391" s="3">
        <v>0</v>
      </c>
      <c r="AX391" s="3">
        <v>0</v>
      </c>
      <c r="AY391" s="3">
        <v>0</v>
      </c>
      <c r="AZ391" s="3">
        <v>1</v>
      </c>
      <c r="BA391" s="3">
        <v>1</v>
      </c>
      <c r="BB391" s="3">
        <v>0</v>
      </c>
      <c r="BC391" s="3">
        <v>0</v>
      </c>
      <c r="BD391" s="3">
        <v>0</v>
      </c>
      <c r="BE391" s="3">
        <v>0</v>
      </c>
      <c r="BG391" s="2" t="s">
        <v>139</v>
      </c>
      <c r="BH391" s="3">
        <v>2</v>
      </c>
      <c r="BJ391" s="2" t="s">
        <v>96</v>
      </c>
      <c r="BL391" s="2" t="s">
        <v>123</v>
      </c>
      <c r="BM391" s="2" t="s">
        <v>123</v>
      </c>
      <c r="BN391" s="2" t="s">
        <v>124</v>
      </c>
      <c r="BO391" s="2" t="s">
        <v>125</v>
      </c>
      <c r="BP391" s="2" t="s">
        <v>242</v>
      </c>
      <c r="BQ391" s="2" t="s">
        <v>124</v>
      </c>
      <c r="BR391" s="2" t="s">
        <v>126</v>
      </c>
      <c r="BS391" s="2" t="s">
        <v>127</v>
      </c>
      <c r="BT391" s="2" t="s">
        <v>2343</v>
      </c>
      <c r="BU391" s="2" t="s">
        <v>2344</v>
      </c>
      <c r="BV391" s="2" t="s">
        <v>107</v>
      </c>
      <c r="BW391" s="2" t="s">
        <v>108</v>
      </c>
      <c r="BX391" s="2" t="s">
        <v>139</v>
      </c>
      <c r="BY39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91" s="2">
        <f>IF(AND(Cases[[#This Row],[Priority Level]]&gt;=3,Cases[[#This Row],[System Role]]&lt;&gt;"Productive"),1,0)</f>
        <v>0</v>
      </c>
      <c r="CA391" s="2">
        <f>IFERROR(IF(Cases[[#This Row],[Days at Customer]]&gt;MAX(1,Cases[[#This Row],[Days at SAP]]*2),1,0),0)</f>
        <v>1</v>
      </c>
      <c r="CB391" s="2">
        <f>IF(AND(Cases[[#This Row],[Initial Component]]&lt;&gt;"",Cases[[#This Row],[Component]]&lt;&gt;"",Cases[[#This Row],[Initial Component]]&lt;&gt;Cases[[#This Row],[Component]]),1,0)</f>
        <v>0</v>
      </c>
      <c r="CC391" s="2">
        <f>IF(OR(Cases[[#This Row],[Is Reopened]]="X",Cases[[#This Row],[No. of Reopenings]]&gt;0),1,0)</f>
        <v>0</v>
      </c>
      <c r="CD391" s="2">
        <f>IF(Cases[[#This Row],[Confirmation Type]]="Automatic",1,0)</f>
        <v>1</v>
      </c>
      <c r="CE391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92" spans="1:83" x14ac:dyDescent="0.2">
      <c r="A392" s="1" t="s">
        <v>2345</v>
      </c>
      <c r="B392" s="2" t="s">
        <v>2346</v>
      </c>
      <c r="C392" s="2" t="s">
        <v>2347</v>
      </c>
      <c r="D392" s="2" t="s">
        <v>238</v>
      </c>
      <c r="E392" s="3">
        <v>18.079999999999998</v>
      </c>
      <c r="F392" s="3">
        <v>72.5</v>
      </c>
      <c r="G392" s="2" t="s">
        <v>79</v>
      </c>
      <c r="H392" s="2" t="s">
        <v>290</v>
      </c>
      <c r="I392" s="3" t="s">
        <v>114</v>
      </c>
      <c r="J392" s="3">
        <v>140</v>
      </c>
      <c r="K392" s="2" t="s">
        <v>2348</v>
      </c>
      <c r="L392" s="4">
        <v>46082</v>
      </c>
      <c r="M392" s="4">
        <v>46078</v>
      </c>
      <c r="N392" s="2" t="s">
        <v>677</v>
      </c>
      <c r="O392" s="2" t="s">
        <v>181</v>
      </c>
      <c r="P392" s="2" t="s">
        <v>678</v>
      </c>
      <c r="Q392" s="2" t="s">
        <v>86</v>
      </c>
      <c r="R392" s="2" t="s">
        <v>2349</v>
      </c>
      <c r="S392" s="4">
        <v>45987</v>
      </c>
      <c r="T392" s="2" t="s">
        <v>2274</v>
      </c>
      <c r="U392" s="2" t="s">
        <v>1805</v>
      </c>
      <c r="V392" s="2" t="s">
        <v>2275</v>
      </c>
      <c r="W392" s="2" t="s">
        <v>1806</v>
      </c>
      <c r="X392" s="2" t="s">
        <v>117</v>
      </c>
      <c r="Y392" s="3" t="s">
        <v>118</v>
      </c>
      <c r="Z392" s="3">
        <v>90.58</v>
      </c>
      <c r="AA392" s="2" t="s">
        <v>90</v>
      </c>
      <c r="AB392" s="2" t="s">
        <v>2349</v>
      </c>
      <c r="AC392" s="2" t="s">
        <v>2347</v>
      </c>
      <c r="AD392" t="str" cm="1">
        <f t="array" ref="AD39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392" s="2" t="s">
        <v>91</v>
      </c>
      <c r="AF392" s="2" t="s">
        <v>92</v>
      </c>
      <c r="AG392" s="2" t="s">
        <v>119</v>
      </c>
      <c r="AH392" s="2" t="s">
        <v>120</v>
      </c>
      <c r="AJ392" s="2" t="s">
        <v>122</v>
      </c>
      <c r="AK392" s="2" t="s">
        <v>2350</v>
      </c>
      <c r="AN392" s="3">
        <v>1</v>
      </c>
      <c r="AO392" s="3">
        <v>1</v>
      </c>
      <c r="AP392" s="3">
        <v>1</v>
      </c>
      <c r="AQ392" s="3">
        <v>1</v>
      </c>
      <c r="AR392" s="3">
        <v>1</v>
      </c>
      <c r="AS392" s="3">
        <v>0</v>
      </c>
      <c r="AT392" s="3">
        <v>0</v>
      </c>
      <c r="AU392" s="3">
        <v>0</v>
      </c>
      <c r="AV392" s="3">
        <v>1</v>
      </c>
      <c r="AW392" s="3">
        <v>0</v>
      </c>
      <c r="AX392" s="3">
        <v>1</v>
      </c>
      <c r="AY392" s="3">
        <v>0</v>
      </c>
      <c r="AZ392" s="3">
        <v>0</v>
      </c>
      <c r="BA392" s="3">
        <v>0</v>
      </c>
      <c r="BB392" s="3">
        <v>0</v>
      </c>
      <c r="BC392" s="3">
        <v>1</v>
      </c>
      <c r="BD392" s="3">
        <v>1</v>
      </c>
      <c r="BE392" s="3">
        <v>0</v>
      </c>
      <c r="BG392" s="2" t="s">
        <v>91</v>
      </c>
      <c r="BH392" s="3">
        <v>3</v>
      </c>
      <c r="BJ392" s="2" t="s">
        <v>96</v>
      </c>
      <c r="BL392" s="2" t="s">
        <v>123</v>
      </c>
      <c r="BM392" s="2" t="s">
        <v>123</v>
      </c>
      <c r="BN392" s="2" t="s">
        <v>124</v>
      </c>
      <c r="BO392" s="2" t="s">
        <v>125</v>
      </c>
      <c r="BP392" s="2" t="s">
        <v>242</v>
      </c>
      <c r="BQ392" s="2" t="s">
        <v>124</v>
      </c>
      <c r="BR392" s="2" t="s">
        <v>126</v>
      </c>
      <c r="BS392" s="2" t="s">
        <v>127</v>
      </c>
      <c r="BT392" s="2" t="s">
        <v>174</v>
      </c>
      <c r="BU392" s="2" t="s">
        <v>175</v>
      </c>
      <c r="BV392" s="2" t="s">
        <v>150</v>
      </c>
      <c r="BW392" s="2" t="s">
        <v>151</v>
      </c>
      <c r="BX392" s="2" t="s">
        <v>91</v>
      </c>
      <c r="BY39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392" s="2">
        <f>IF(AND(Cases[[#This Row],[Priority Level]]&gt;=3,Cases[[#This Row],[System Role]]&lt;&gt;"Productive"),1,0)</f>
        <v>0</v>
      </c>
      <c r="CA392" s="2">
        <f>IFERROR(IF(Cases[[#This Row],[Days at Customer]]&gt;MAX(1,Cases[[#This Row],[Days at SAP]]*2),1,0),0)</f>
        <v>1</v>
      </c>
      <c r="CB392" s="2">
        <f>IF(AND(Cases[[#This Row],[Initial Component]]&lt;&gt;"",Cases[[#This Row],[Component]]&lt;&gt;"",Cases[[#This Row],[Initial Component]]&lt;&gt;Cases[[#This Row],[Component]]),1,0)</f>
        <v>0</v>
      </c>
      <c r="CC392" s="2">
        <f>IF(OR(Cases[[#This Row],[Is Reopened]]="X",Cases[[#This Row],[No. of Reopenings]]&gt;0),1,0)</f>
        <v>1</v>
      </c>
      <c r="CD392" s="2">
        <f>IF(Cases[[#This Row],[Confirmation Type]]="Automatic",1,0)</f>
        <v>1</v>
      </c>
      <c r="CE392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393" spans="1:83" x14ac:dyDescent="0.2">
      <c r="A393" s="1" t="s">
        <v>2351</v>
      </c>
      <c r="B393" s="2" t="s">
        <v>2352</v>
      </c>
      <c r="C393" s="2" t="s">
        <v>2353</v>
      </c>
      <c r="D393" s="2" t="s">
        <v>238</v>
      </c>
      <c r="E393" s="3">
        <v>45.22</v>
      </c>
      <c r="F393" s="3">
        <v>76.33</v>
      </c>
      <c r="G393" s="2" t="s">
        <v>79</v>
      </c>
      <c r="H393" s="2" t="s">
        <v>732</v>
      </c>
      <c r="I393" s="3" t="s">
        <v>114</v>
      </c>
      <c r="J393" s="3">
        <v>140</v>
      </c>
      <c r="K393" s="2" t="s">
        <v>2354</v>
      </c>
      <c r="L393" s="4">
        <v>46110</v>
      </c>
      <c r="M393" s="4">
        <v>46109</v>
      </c>
      <c r="N393" s="2" t="s">
        <v>180</v>
      </c>
      <c r="O393" s="2" t="s">
        <v>181</v>
      </c>
      <c r="P393" s="2" t="s">
        <v>195</v>
      </c>
      <c r="Q393" s="2" t="s">
        <v>86</v>
      </c>
      <c r="R393" s="2" t="s">
        <v>2355</v>
      </c>
      <c r="S393" s="4">
        <v>45987</v>
      </c>
      <c r="T393" s="2" t="s">
        <v>2274</v>
      </c>
      <c r="U393" s="2" t="s">
        <v>1805</v>
      </c>
      <c r="V393" s="2" t="s">
        <v>2275</v>
      </c>
      <c r="W393" s="2" t="s">
        <v>1806</v>
      </c>
      <c r="X393" s="2" t="s">
        <v>117</v>
      </c>
      <c r="Y393" s="3" t="s">
        <v>118</v>
      </c>
      <c r="Z393" s="3">
        <v>121.54</v>
      </c>
      <c r="AA393" s="2" t="s">
        <v>138</v>
      </c>
      <c r="AB393" s="2" t="s">
        <v>137</v>
      </c>
      <c r="AC393" s="2" t="s">
        <v>132</v>
      </c>
      <c r="AD393" t="str" cm="1">
        <f t="array" ref="AD39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393" s="2" t="s">
        <v>139</v>
      </c>
      <c r="AF393" s="2" t="s">
        <v>92</v>
      </c>
      <c r="AG393" s="2" t="s">
        <v>140</v>
      </c>
      <c r="AH393" s="2" t="s">
        <v>141</v>
      </c>
      <c r="AJ393" s="2" t="s">
        <v>122</v>
      </c>
      <c r="AK393" s="2" t="s">
        <v>2356</v>
      </c>
      <c r="AN393" s="3">
        <v>1</v>
      </c>
      <c r="AO393" s="3">
        <v>1</v>
      </c>
      <c r="AP393" s="3">
        <v>1</v>
      </c>
      <c r="AQ393" s="3">
        <v>1</v>
      </c>
      <c r="AR393" s="3">
        <v>1</v>
      </c>
      <c r="AS393" s="3">
        <v>0</v>
      </c>
      <c r="AT393" s="3">
        <v>0</v>
      </c>
      <c r="AU393" s="3">
        <v>0</v>
      </c>
      <c r="AV393" s="3">
        <v>1</v>
      </c>
      <c r="AW393" s="3">
        <v>0</v>
      </c>
      <c r="AX393" s="3">
        <v>1</v>
      </c>
      <c r="AY393" s="3">
        <v>0</v>
      </c>
      <c r="AZ393" s="3">
        <v>0</v>
      </c>
      <c r="BA393" s="3">
        <v>0</v>
      </c>
      <c r="BB393" s="3">
        <v>0</v>
      </c>
      <c r="BC393" s="3">
        <v>1</v>
      </c>
      <c r="BD393" s="3">
        <v>2</v>
      </c>
      <c r="BE393" s="3">
        <v>0</v>
      </c>
      <c r="BG393" s="2" t="s">
        <v>91</v>
      </c>
      <c r="BH393" s="3">
        <v>3</v>
      </c>
      <c r="BJ393" s="2" t="s">
        <v>96</v>
      </c>
      <c r="BL393" s="2" t="s">
        <v>143</v>
      </c>
      <c r="BM393" s="2" t="s">
        <v>144</v>
      </c>
      <c r="BN393" s="2" t="s">
        <v>99</v>
      </c>
      <c r="BO393" s="2" t="s">
        <v>100</v>
      </c>
      <c r="BP393" s="2" t="s">
        <v>242</v>
      </c>
      <c r="BQ393" s="2" t="s">
        <v>145</v>
      </c>
      <c r="BR393" s="2" t="s">
        <v>146</v>
      </c>
      <c r="BS393" s="2" t="s">
        <v>147</v>
      </c>
      <c r="BT393" s="2" t="s">
        <v>148</v>
      </c>
      <c r="BU393" s="2" t="s">
        <v>149</v>
      </c>
      <c r="BV393" s="2" t="s">
        <v>150</v>
      </c>
      <c r="BW393" s="2" t="s">
        <v>151</v>
      </c>
      <c r="BX393" s="2" t="s">
        <v>91</v>
      </c>
      <c r="BY39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93" s="2">
        <f>IF(AND(Cases[[#This Row],[Priority Level]]&gt;=3,Cases[[#This Row],[System Role]]&lt;&gt;"Productive"),1,0)</f>
        <v>0</v>
      </c>
      <c r="CA393" s="2">
        <f>IFERROR(IF(Cases[[#This Row],[Days at Customer]]&gt;MAX(1,Cases[[#This Row],[Days at SAP]]*2),1,0),0)</f>
        <v>0</v>
      </c>
      <c r="CB393" s="2">
        <f>IF(AND(Cases[[#This Row],[Initial Component]]&lt;&gt;"",Cases[[#This Row],[Component]]&lt;&gt;"",Cases[[#This Row],[Initial Component]]&lt;&gt;Cases[[#This Row],[Component]]),1,0)</f>
        <v>1</v>
      </c>
      <c r="CC393" s="2">
        <f>IF(OR(Cases[[#This Row],[Is Reopened]]="X",Cases[[#This Row],[No. of Reopenings]]&gt;0),1,0)</f>
        <v>1</v>
      </c>
      <c r="CD393" s="2">
        <f>IF(Cases[[#This Row],[Confirmation Type]]="Automatic",1,0)</f>
        <v>1</v>
      </c>
      <c r="CE393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94" spans="1:83" x14ac:dyDescent="0.2">
      <c r="A394" s="1" t="s">
        <v>2357</v>
      </c>
      <c r="B394" s="2" t="s">
        <v>2358</v>
      </c>
      <c r="C394" s="2" t="s">
        <v>406</v>
      </c>
      <c r="D394" s="2" t="s">
        <v>78</v>
      </c>
      <c r="E394" s="3">
        <v>5.87</v>
      </c>
      <c r="F394" s="3">
        <v>0</v>
      </c>
      <c r="G394" s="2" t="s">
        <v>133</v>
      </c>
      <c r="H394" s="2" t="s">
        <v>134</v>
      </c>
      <c r="I394" s="3" t="s">
        <v>114</v>
      </c>
      <c r="J394" s="3">
        <v>140</v>
      </c>
      <c r="K394" s="2" t="s">
        <v>2359</v>
      </c>
      <c r="L394" s="4">
        <v>46009</v>
      </c>
      <c r="M394" s="4">
        <v>45993</v>
      </c>
      <c r="N394" s="2" t="s">
        <v>1804</v>
      </c>
      <c r="O394" s="2" t="s">
        <v>1805</v>
      </c>
      <c r="P394" s="2" t="s">
        <v>2169</v>
      </c>
      <c r="Q394" s="2" t="s">
        <v>1806</v>
      </c>
      <c r="R394" s="2" t="s">
        <v>408</v>
      </c>
      <c r="S394" s="4">
        <v>45987</v>
      </c>
      <c r="T394" s="2" t="s">
        <v>2274</v>
      </c>
      <c r="U394" s="2" t="s">
        <v>1805</v>
      </c>
      <c r="V394" s="2" t="s">
        <v>2275</v>
      </c>
      <c r="W394" s="2" t="s">
        <v>1806</v>
      </c>
      <c r="X394" s="2" t="s">
        <v>117</v>
      </c>
      <c r="Y394" s="3" t="s">
        <v>118</v>
      </c>
      <c r="Z394" s="3">
        <v>5.87</v>
      </c>
      <c r="AA394" s="2" t="s">
        <v>90</v>
      </c>
      <c r="AB394" s="2" t="s">
        <v>408</v>
      </c>
      <c r="AC394" s="2" t="s">
        <v>406</v>
      </c>
      <c r="AD394" t="str" cm="1">
        <f t="array" ref="AD39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394" s="2" t="s">
        <v>91</v>
      </c>
      <c r="AF394" s="2" t="s">
        <v>92</v>
      </c>
      <c r="AG394" s="2" t="s">
        <v>119</v>
      </c>
      <c r="AH394" s="2" t="s">
        <v>120</v>
      </c>
      <c r="AK394" s="2" t="s">
        <v>2360</v>
      </c>
      <c r="AN394" s="3">
        <v>1</v>
      </c>
      <c r="AO394" s="3">
        <v>1</v>
      </c>
      <c r="AP394" s="3">
        <v>1</v>
      </c>
      <c r="AQ394" s="3">
        <v>1</v>
      </c>
      <c r="AR394" s="3">
        <v>1</v>
      </c>
      <c r="AS394" s="3">
        <v>0</v>
      </c>
      <c r="AT394" s="3">
        <v>0</v>
      </c>
      <c r="AU394" s="3">
        <v>0</v>
      </c>
      <c r="AV394" s="3">
        <v>0</v>
      </c>
      <c r="AW394" s="3">
        <v>1</v>
      </c>
      <c r="AX394" s="3">
        <v>1</v>
      </c>
      <c r="AY394" s="3">
        <v>0</v>
      </c>
      <c r="AZ394" s="3">
        <v>0</v>
      </c>
      <c r="BA394" s="3">
        <v>1</v>
      </c>
      <c r="BB394" s="3">
        <v>0</v>
      </c>
      <c r="BC394" s="3">
        <v>0</v>
      </c>
      <c r="BD394" s="3">
        <v>0</v>
      </c>
      <c r="BE394" s="3">
        <v>0</v>
      </c>
      <c r="BG394" s="2" t="s">
        <v>91</v>
      </c>
      <c r="BH394" s="3">
        <v>3</v>
      </c>
      <c r="BJ394" s="2" t="s">
        <v>96</v>
      </c>
      <c r="BL394" s="2" t="s">
        <v>123</v>
      </c>
      <c r="BM394" s="2" t="s">
        <v>123</v>
      </c>
      <c r="BN394" s="2" t="s">
        <v>124</v>
      </c>
      <c r="BO394" s="2" t="s">
        <v>125</v>
      </c>
      <c r="BP394" s="2" t="s">
        <v>101</v>
      </c>
      <c r="BQ394" s="2" t="s">
        <v>124</v>
      </c>
      <c r="BR394" s="2" t="s">
        <v>126</v>
      </c>
      <c r="BS394" s="2" t="s">
        <v>127</v>
      </c>
      <c r="BT394" s="2" t="s">
        <v>199</v>
      </c>
      <c r="BU394" s="2" t="s">
        <v>200</v>
      </c>
      <c r="BV394" s="2" t="s">
        <v>166</v>
      </c>
      <c r="BW394" s="2" t="s">
        <v>167</v>
      </c>
      <c r="BX394" s="2" t="s">
        <v>91</v>
      </c>
      <c r="BY39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94" s="2">
        <f>IF(AND(Cases[[#This Row],[Priority Level]]&gt;=3,Cases[[#This Row],[System Role]]&lt;&gt;"Productive"),1,0)</f>
        <v>1</v>
      </c>
      <c r="CA394" s="2">
        <f>IFERROR(IF(Cases[[#This Row],[Days at Customer]]&gt;MAX(1,Cases[[#This Row],[Days at SAP]]*2),1,0),0)</f>
        <v>0</v>
      </c>
      <c r="CB394" s="2">
        <f>IF(AND(Cases[[#This Row],[Initial Component]]&lt;&gt;"",Cases[[#This Row],[Component]]&lt;&gt;"",Cases[[#This Row],[Initial Component]]&lt;&gt;Cases[[#This Row],[Component]]),1,0)</f>
        <v>0</v>
      </c>
      <c r="CC394" s="2">
        <f>IF(OR(Cases[[#This Row],[Is Reopened]]="X",Cases[[#This Row],[No. of Reopenings]]&gt;0),1,0)</f>
        <v>0</v>
      </c>
      <c r="CD394" s="2">
        <f>IF(Cases[[#This Row],[Confirmation Type]]="Automatic",1,0)</f>
        <v>0</v>
      </c>
      <c r="CE39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95" spans="1:83" x14ac:dyDescent="0.2">
      <c r="A395" s="1" t="s">
        <v>1512</v>
      </c>
      <c r="B395" s="2" t="s">
        <v>1513</v>
      </c>
      <c r="C395" s="2" t="s">
        <v>203</v>
      </c>
      <c r="D395" s="2" t="s">
        <v>78</v>
      </c>
      <c r="E395" s="3">
        <v>0</v>
      </c>
      <c r="F395" s="3">
        <v>14.44</v>
      </c>
      <c r="G395" s="2" t="s">
        <v>112</v>
      </c>
      <c r="H395" s="2" t="s">
        <v>113</v>
      </c>
      <c r="I395" s="3" t="s">
        <v>114</v>
      </c>
      <c r="J395" s="3">
        <v>84</v>
      </c>
      <c r="K395" s="2" t="s">
        <v>1514</v>
      </c>
      <c r="L395" s="4">
        <v>46061</v>
      </c>
      <c r="M395" s="4">
        <v>46058</v>
      </c>
      <c r="N395" s="2" t="s">
        <v>677</v>
      </c>
      <c r="O395" s="2" t="s">
        <v>181</v>
      </c>
      <c r="P395" s="2" t="s">
        <v>1165</v>
      </c>
      <c r="Q395" s="2" t="s">
        <v>86</v>
      </c>
      <c r="R395" s="2" t="s">
        <v>205</v>
      </c>
      <c r="S395" s="4">
        <v>46043</v>
      </c>
      <c r="T395" s="2" t="s">
        <v>1334</v>
      </c>
      <c r="U395" s="2" t="s">
        <v>181</v>
      </c>
      <c r="V395" s="2" t="s">
        <v>83</v>
      </c>
      <c r="W395" s="2" t="s">
        <v>86</v>
      </c>
      <c r="X395" s="2" t="s">
        <v>117</v>
      </c>
      <c r="Y395" s="3" t="s">
        <v>118</v>
      </c>
      <c r="Z395" s="3">
        <v>14.44</v>
      </c>
      <c r="AA395" s="2" t="s">
        <v>90</v>
      </c>
      <c r="AB395" s="2" t="s">
        <v>205</v>
      </c>
      <c r="AC395" s="2" t="s">
        <v>203</v>
      </c>
      <c r="AD395" t="str" cm="1">
        <f t="array" ref="AD39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395" s="2" t="s">
        <v>139</v>
      </c>
      <c r="AF395" s="2" t="s">
        <v>92</v>
      </c>
      <c r="AG395" s="2" t="s">
        <v>119</v>
      </c>
      <c r="AH395" s="2" t="s">
        <v>120</v>
      </c>
      <c r="AK395" s="2" t="s">
        <v>1515</v>
      </c>
      <c r="AN395" s="3">
        <v>1</v>
      </c>
      <c r="AO395" s="3">
        <v>1</v>
      </c>
      <c r="AP395" s="3">
        <v>1</v>
      </c>
      <c r="AQ395" s="3">
        <v>1</v>
      </c>
      <c r="AR395" s="3">
        <v>0</v>
      </c>
      <c r="AS395" s="3">
        <v>0</v>
      </c>
      <c r="AT395" s="3">
        <v>1</v>
      </c>
      <c r="AU395" s="3">
        <v>0</v>
      </c>
      <c r="AV395" s="3">
        <v>0</v>
      </c>
      <c r="AW395" s="3">
        <v>1</v>
      </c>
      <c r="AX395" s="3">
        <v>0</v>
      </c>
      <c r="AY395" s="3">
        <v>0</v>
      </c>
      <c r="AZ395" s="3">
        <v>1</v>
      </c>
      <c r="BA395" s="3">
        <v>1</v>
      </c>
      <c r="BB395" s="3">
        <v>0</v>
      </c>
      <c r="BC395" s="3">
        <v>0</v>
      </c>
      <c r="BD395" s="3">
        <v>0</v>
      </c>
      <c r="BE395" s="3">
        <v>0</v>
      </c>
      <c r="BG395" s="2" t="s">
        <v>139</v>
      </c>
      <c r="BH395" s="3">
        <v>2</v>
      </c>
      <c r="BI395" s="2" t="s">
        <v>122</v>
      </c>
      <c r="BJ395" s="2" t="s">
        <v>96</v>
      </c>
      <c r="BL395" s="2" t="s">
        <v>123</v>
      </c>
      <c r="BM395" s="2" t="s">
        <v>123</v>
      </c>
      <c r="BN395" s="2" t="s">
        <v>124</v>
      </c>
      <c r="BO395" s="2" t="s">
        <v>125</v>
      </c>
      <c r="BP395" s="2" t="s">
        <v>101</v>
      </c>
      <c r="BQ395" s="2" t="s">
        <v>124</v>
      </c>
      <c r="BR395" s="2" t="s">
        <v>126</v>
      </c>
      <c r="BS395" s="2" t="s">
        <v>127</v>
      </c>
      <c r="BT395" s="2" t="s">
        <v>436</v>
      </c>
      <c r="BU395" s="2" t="s">
        <v>437</v>
      </c>
      <c r="BV395" s="2" t="s">
        <v>107</v>
      </c>
      <c r="BW395" s="2" t="s">
        <v>108</v>
      </c>
      <c r="BX395" s="2" t="s">
        <v>139</v>
      </c>
      <c r="BY39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95" s="2">
        <f>IF(AND(Cases[[#This Row],[Priority Level]]&gt;=3,Cases[[#This Row],[System Role]]&lt;&gt;"Productive"),1,0)</f>
        <v>0</v>
      </c>
      <c r="CA395" s="2">
        <f>IFERROR(IF(Cases[[#This Row],[Days at Customer]]&gt;MAX(1,Cases[[#This Row],[Days at SAP]]*2),1,0),0)</f>
        <v>1</v>
      </c>
      <c r="CB395" s="2">
        <f>IF(AND(Cases[[#This Row],[Initial Component]]&lt;&gt;"",Cases[[#This Row],[Component]]&lt;&gt;"",Cases[[#This Row],[Initial Component]]&lt;&gt;Cases[[#This Row],[Component]]),1,0)</f>
        <v>0</v>
      </c>
      <c r="CC395" s="2">
        <f>IF(OR(Cases[[#This Row],[Is Reopened]]="X",Cases[[#This Row],[No. of Reopenings]]&gt;0),1,0)</f>
        <v>0</v>
      </c>
      <c r="CD395" s="2">
        <f>IF(Cases[[#This Row],[Confirmation Type]]="Automatic",1,0)</f>
        <v>0</v>
      </c>
      <c r="CE395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96" spans="1:83" x14ac:dyDescent="0.2">
      <c r="A396" s="1" t="s">
        <v>2367</v>
      </c>
      <c r="B396" s="2" t="s">
        <v>2368</v>
      </c>
      <c r="C396" s="2" t="s">
        <v>2369</v>
      </c>
      <c r="D396" s="2" t="s">
        <v>238</v>
      </c>
      <c r="E396" s="3">
        <v>5.26</v>
      </c>
      <c r="F396" s="3">
        <v>22.15</v>
      </c>
      <c r="G396" s="2" t="s">
        <v>79</v>
      </c>
      <c r="H396" s="2" t="s">
        <v>80</v>
      </c>
      <c r="I396" s="3" t="s">
        <v>114</v>
      </c>
      <c r="J396" s="3">
        <v>141</v>
      </c>
      <c r="K396" s="2" t="s">
        <v>2370</v>
      </c>
      <c r="L396" s="4">
        <v>46019</v>
      </c>
      <c r="M396" s="4">
        <v>46014</v>
      </c>
      <c r="N396" s="2" t="s">
        <v>1804</v>
      </c>
      <c r="O396" s="2" t="s">
        <v>1805</v>
      </c>
      <c r="P396" s="2" t="s">
        <v>1868</v>
      </c>
      <c r="Q396" s="2" t="s">
        <v>1806</v>
      </c>
      <c r="R396" s="2" t="s">
        <v>2371</v>
      </c>
      <c r="S396" s="4">
        <v>45986</v>
      </c>
      <c r="T396" s="2" t="s">
        <v>2274</v>
      </c>
      <c r="U396" s="2" t="s">
        <v>1805</v>
      </c>
      <c r="V396" s="2" t="s">
        <v>2275</v>
      </c>
      <c r="W396" s="2" t="s">
        <v>1806</v>
      </c>
      <c r="X396" s="2" t="s">
        <v>117</v>
      </c>
      <c r="Y396" s="3" t="s">
        <v>118</v>
      </c>
      <c r="Z396" s="3">
        <v>27.41</v>
      </c>
      <c r="AA396" s="2" t="s">
        <v>90</v>
      </c>
      <c r="AB396" s="2" t="s">
        <v>521</v>
      </c>
      <c r="AC396" s="2" t="s">
        <v>519</v>
      </c>
      <c r="AD396" t="str" cm="1">
        <f t="array" ref="AD39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396" s="2" t="s">
        <v>91</v>
      </c>
      <c r="AF396" s="2" t="s">
        <v>92</v>
      </c>
      <c r="AG396" s="2" t="s">
        <v>119</v>
      </c>
      <c r="AH396" s="2" t="s">
        <v>120</v>
      </c>
      <c r="AK396" s="2" t="s">
        <v>2372</v>
      </c>
      <c r="AN396" s="3">
        <v>1</v>
      </c>
      <c r="AO396" s="3">
        <v>1</v>
      </c>
      <c r="AP396" s="3">
        <v>1</v>
      </c>
      <c r="AQ396" s="3">
        <v>1</v>
      </c>
      <c r="AR396" s="3">
        <v>1</v>
      </c>
      <c r="AS396" s="3">
        <v>0</v>
      </c>
      <c r="AT396" s="3">
        <v>0</v>
      </c>
      <c r="AU396" s="3">
        <v>0</v>
      </c>
      <c r="AV396" s="3">
        <v>1</v>
      </c>
      <c r="AW396" s="3">
        <v>0</v>
      </c>
      <c r="AX396" s="3">
        <v>1</v>
      </c>
      <c r="AY396" s="3">
        <v>0</v>
      </c>
      <c r="AZ396" s="3">
        <v>0</v>
      </c>
      <c r="BA396" s="3">
        <v>0</v>
      </c>
      <c r="BB396" s="3">
        <v>0</v>
      </c>
      <c r="BC396" s="3">
        <v>1</v>
      </c>
      <c r="BD396" s="3">
        <v>0</v>
      </c>
      <c r="BE396" s="3">
        <v>0</v>
      </c>
      <c r="BG396" s="2" t="s">
        <v>91</v>
      </c>
      <c r="BH396" s="3">
        <v>3</v>
      </c>
      <c r="BJ396" s="2" t="s">
        <v>96</v>
      </c>
      <c r="BL396" s="2" t="s">
        <v>123</v>
      </c>
      <c r="BM396" s="2" t="s">
        <v>123</v>
      </c>
      <c r="BN396" s="2" t="s">
        <v>124</v>
      </c>
      <c r="BO396" s="2" t="s">
        <v>125</v>
      </c>
      <c r="BP396" s="2" t="s">
        <v>242</v>
      </c>
      <c r="BQ396" s="2" t="s">
        <v>124</v>
      </c>
      <c r="BR396" s="2" t="s">
        <v>126</v>
      </c>
      <c r="BS396" s="2" t="s">
        <v>127</v>
      </c>
      <c r="BT396" s="2" t="s">
        <v>207</v>
      </c>
      <c r="BU396" s="2" t="s">
        <v>208</v>
      </c>
      <c r="BV396" s="2" t="s">
        <v>150</v>
      </c>
      <c r="BW396" s="2" t="s">
        <v>151</v>
      </c>
      <c r="BX396" s="2" t="s">
        <v>91</v>
      </c>
      <c r="BY39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96" s="2">
        <f>IF(AND(Cases[[#This Row],[Priority Level]]&gt;=3,Cases[[#This Row],[System Role]]&lt;&gt;"Productive"),1,0)</f>
        <v>0</v>
      </c>
      <c r="CA396" s="2">
        <f>IFERROR(IF(Cases[[#This Row],[Days at Customer]]&gt;MAX(1,Cases[[#This Row],[Days at SAP]]*2),1,0),0)</f>
        <v>1</v>
      </c>
      <c r="CB396" s="2">
        <f>IF(AND(Cases[[#This Row],[Initial Component]]&lt;&gt;"",Cases[[#This Row],[Component]]&lt;&gt;"",Cases[[#This Row],[Initial Component]]&lt;&gt;Cases[[#This Row],[Component]]),1,0)</f>
        <v>1</v>
      </c>
      <c r="CC396" s="2">
        <f>IF(OR(Cases[[#This Row],[Is Reopened]]="X",Cases[[#This Row],[No. of Reopenings]]&gt;0),1,0)</f>
        <v>0</v>
      </c>
      <c r="CD396" s="2">
        <f>IF(Cases[[#This Row],[Confirmation Type]]="Automatic",1,0)</f>
        <v>1</v>
      </c>
      <c r="CE39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97" spans="1:83" x14ac:dyDescent="0.2">
      <c r="A397" s="1" t="s">
        <v>2373</v>
      </c>
      <c r="B397" s="2" t="s">
        <v>2374</v>
      </c>
      <c r="C397" s="2" t="s">
        <v>231</v>
      </c>
      <c r="D397" s="2" t="s">
        <v>238</v>
      </c>
      <c r="E397" s="3">
        <v>19.98</v>
      </c>
      <c r="F397" s="3">
        <v>72.680000000000007</v>
      </c>
      <c r="G397" s="2" t="s">
        <v>190</v>
      </c>
      <c r="H397" s="2" t="s">
        <v>308</v>
      </c>
      <c r="I397" s="3" t="s">
        <v>114</v>
      </c>
      <c r="J397" s="3">
        <v>141</v>
      </c>
      <c r="K397" s="2" t="s">
        <v>2375</v>
      </c>
      <c r="L397" s="4">
        <v>46082</v>
      </c>
      <c r="M397" s="4">
        <v>46079</v>
      </c>
      <c r="N397" s="2" t="s">
        <v>677</v>
      </c>
      <c r="O397" s="2" t="s">
        <v>181</v>
      </c>
      <c r="P397" s="2" t="s">
        <v>678</v>
      </c>
      <c r="Q397" s="2" t="s">
        <v>86</v>
      </c>
      <c r="R397" s="2" t="s">
        <v>233</v>
      </c>
      <c r="S397" s="4">
        <v>45986</v>
      </c>
      <c r="T397" s="2" t="s">
        <v>2274</v>
      </c>
      <c r="U397" s="2" t="s">
        <v>1805</v>
      </c>
      <c r="V397" s="2" t="s">
        <v>2275</v>
      </c>
      <c r="W397" s="2" t="s">
        <v>1806</v>
      </c>
      <c r="X397" s="2" t="s">
        <v>117</v>
      </c>
      <c r="Y397" s="3" t="s">
        <v>118</v>
      </c>
      <c r="Z397" s="3">
        <v>92.67</v>
      </c>
      <c r="AA397" s="2" t="s">
        <v>90</v>
      </c>
      <c r="AB397" s="2" t="s">
        <v>233</v>
      </c>
      <c r="AC397" s="2" t="s">
        <v>231</v>
      </c>
      <c r="AD397" t="str" cm="1">
        <f t="array" ref="AD39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397" s="2" t="s">
        <v>139</v>
      </c>
      <c r="AF397" s="2" t="s">
        <v>92</v>
      </c>
      <c r="AG397" s="2" t="s">
        <v>119</v>
      </c>
      <c r="AH397" s="2" t="s">
        <v>120</v>
      </c>
      <c r="AJ397" s="2" t="s">
        <v>122</v>
      </c>
      <c r="AK397" s="2" t="s">
        <v>2376</v>
      </c>
      <c r="AN397" s="3">
        <v>1</v>
      </c>
      <c r="AO397" s="3">
        <v>1</v>
      </c>
      <c r="AP397" s="3">
        <v>1</v>
      </c>
      <c r="AQ397" s="3">
        <v>1</v>
      </c>
      <c r="AR397" s="3">
        <v>0</v>
      </c>
      <c r="AS397" s="3">
        <v>1</v>
      </c>
      <c r="AT397" s="3">
        <v>0</v>
      </c>
      <c r="AU397" s="3">
        <v>0</v>
      </c>
      <c r="AV397" s="3">
        <v>1</v>
      </c>
      <c r="AW397" s="3">
        <v>0</v>
      </c>
      <c r="AX397" s="3">
        <v>0</v>
      </c>
      <c r="AY397" s="3">
        <v>1</v>
      </c>
      <c r="AZ397" s="3">
        <v>0</v>
      </c>
      <c r="BA397" s="3">
        <v>0</v>
      </c>
      <c r="BB397" s="3">
        <v>0</v>
      </c>
      <c r="BC397" s="3">
        <v>1</v>
      </c>
      <c r="BD397" s="3">
        <v>2</v>
      </c>
      <c r="BE397" s="3">
        <v>0</v>
      </c>
      <c r="BG397" s="2" t="s">
        <v>158</v>
      </c>
      <c r="BH397" s="3">
        <v>1</v>
      </c>
      <c r="BJ397" s="2" t="s">
        <v>96</v>
      </c>
      <c r="BL397" s="2" t="s">
        <v>123</v>
      </c>
      <c r="BM397" s="2" t="s">
        <v>123</v>
      </c>
      <c r="BN397" s="2" t="s">
        <v>124</v>
      </c>
      <c r="BO397" s="2" t="s">
        <v>125</v>
      </c>
      <c r="BP397" s="2" t="s">
        <v>242</v>
      </c>
      <c r="BQ397" s="2" t="s">
        <v>124</v>
      </c>
      <c r="BR397" s="2" t="s">
        <v>126</v>
      </c>
      <c r="BS397" s="2" t="s">
        <v>127</v>
      </c>
      <c r="BT397" s="2" t="s">
        <v>207</v>
      </c>
      <c r="BU397" s="2" t="s">
        <v>208</v>
      </c>
      <c r="BV397" s="2" t="s">
        <v>150</v>
      </c>
      <c r="BW397" s="2" t="s">
        <v>151</v>
      </c>
      <c r="BX397" s="2" t="s">
        <v>182</v>
      </c>
      <c r="BY39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97" s="2">
        <f>IF(AND(Cases[[#This Row],[Priority Level]]&gt;=3,Cases[[#This Row],[System Role]]&lt;&gt;"Productive"),1,0)</f>
        <v>0</v>
      </c>
      <c r="CA397" s="2">
        <f>IFERROR(IF(Cases[[#This Row],[Days at Customer]]&gt;MAX(1,Cases[[#This Row],[Days at SAP]]*2),1,0),0)</f>
        <v>1</v>
      </c>
      <c r="CB397" s="2">
        <f>IF(AND(Cases[[#This Row],[Initial Component]]&lt;&gt;"",Cases[[#This Row],[Component]]&lt;&gt;"",Cases[[#This Row],[Initial Component]]&lt;&gt;Cases[[#This Row],[Component]]),1,0)</f>
        <v>0</v>
      </c>
      <c r="CC397" s="2">
        <f>IF(OR(Cases[[#This Row],[Is Reopened]]="X",Cases[[#This Row],[No. of Reopenings]]&gt;0),1,0)</f>
        <v>1</v>
      </c>
      <c r="CD397" s="2">
        <f>IF(Cases[[#This Row],[Confirmation Type]]="Automatic",1,0)</f>
        <v>1</v>
      </c>
      <c r="CE39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398" spans="1:83" x14ac:dyDescent="0.2">
      <c r="A398" s="1" t="s">
        <v>2377</v>
      </c>
      <c r="B398" s="2" t="s">
        <v>2378</v>
      </c>
      <c r="C398" s="2" t="s">
        <v>406</v>
      </c>
      <c r="D398" s="2" t="s">
        <v>78</v>
      </c>
      <c r="E398" s="3">
        <v>6.91</v>
      </c>
      <c r="F398" s="3">
        <v>0</v>
      </c>
      <c r="G398" s="2" t="s">
        <v>133</v>
      </c>
      <c r="H398" s="2" t="s">
        <v>134</v>
      </c>
      <c r="I398" s="3" t="s">
        <v>114</v>
      </c>
      <c r="J398" s="3">
        <v>141</v>
      </c>
      <c r="K398" s="2" t="s">
        <v>2379</v>
      </c>
      <c r="L398" s="4">
        <v>46009</v>
      </c>
      <c r="M398" s="4">
        <v>45993</v>
      </c>
      <c r="N398" s="2" t="s">
        <v>1804</v>
      </c>
      <c r="O398" s="2" t="s">
        <v>1805</v>
      </c>
      <c r="P398" s="2" t="s">
        <v>2169</v>
      </c>
      <c r="Q398" s="2" t="s">
        <v>1806</v>
      </c>
      <c r="R398" s="2" t="s">
        <v>408</v>
      </c>
      <c r="S398" s="4">
        <v>45986</v>
      </c>
      <c r="T398" s="2" t="s">
        <v>2274</v>
      </c>
      <c r="U398" s="2" t="s">
        <v>1805</v>
      </c>
      <c r="V398" s="2" t="s">
        <v>2275</v>
      </c>
      <c r="W398" s="2" t="s">
        <v>1806</v>
      </c>
      <c r="X398" s="2" t="s">
        <v>117</v>
      </c>
      <c r="Y398" s="3" t="s">
        <v>118</v>
      </c>
      <c r="Z398" s="3">
        <v>6.91</v>
      </c>
      <c r="AA398" s="2" t="s">
        <v>90</v>
      </c>
      <c r="AB398" s="2" t="s">
        <v>408</v>
      </c>
      <c r="AC398" s="2" t="s">
        <v>406</v>
      </c>
      <c r="AD398" t="str" cm="1">
        <f t="array" ref="AD39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398" s="2" t="s">
        <v>91</v>
      </c>
      <c r="AF398" s="2" t="s">
        <v>92</v>
      </c>
      <c r="AG398" s="2" t="s">
        <v>119</v>
      </c>
      <c r="AH398" s="2" t="s">
        <v>120</v>
      </c>
      <c r="AK398" s="2" t="s">
        <v>2380</v>
      </c>
      <c r="AN398" s="3">
        <v>1</v>
      </c>
      <c r="AO398" s="3">
        <v>1</v>
      </c>
      <c r="AP398" s="3">
        <v>1</v>
      </c>
      <c r="AQ398" s="3">
        <v>1</v>
      </c>
      <c r="AR398" s="3">
        <v>1</v>
      </c>
      <c r="AS398" s="3">
        <v>0</v>
      </c>
      <c r="AT398" s="3">
        <v>0</v>
      </c>
      <c r="AU398" s="3">
        <v>0</v>
      </c>
      <c r="AV398" s="3">
        <v>0</v>
      </c>
      <c r="AW398" s="3">
        <v>1</v>
      </c>
      <c r="AX398" s="3">
        <v>1</v>
      </c>
      <c r="AY398" s="3">
        <v>0</v>
      </c>
      <c r="AZ398" s="3">
        <v>0</v>
      </c>
      <c r="BA398" s="3">
        <v>1</v>
      </c>
      <c r="BB398" s="3">
        <v>0</v>
      </c>
      <c r="BC398" s="3">
        <v>0</v>
      </c>
      <c r="BD398" s="3">
        <v>0</v>
      </c>
      <c r="BE398" s="3">
        <v>0</v>
      </c>
      <c r="BG398" s="2" t="s">
        <v>91</v>
      </c>
      <c r="BH398" s="3">
        <v>3</v>
      </c>
      <c r="BJ398" s="2" t="s">
        <v>96</v>
      </c>
      <c r="BL398" s="2" t="s">
        <v>123</v>
      </c>
      <c r="BM398" s="2" t="s">
        <v>123</v>
      </c>
      <c r="BN398" s="2" t="s">
        <v>124</v>
      </c>
      <c r="BO398" s="2" t="s">
        <v>125</v>
      </c>
      <c r="BP398" s="2" t="s">
        <v>101</v>
      </c>
      <c r="BQ398" s="2" t="s">
        <v>124</v>
      </c>
      <c r="BR398" s="2" t="s">
        <v>126</v>
      </c>
      <c r="BS398" s="2" t="s">
        <v>127</v>
      </c>
      <c r="BT398" s="2" t="s">
        <v>199</v>
      </c>
      <c r="BU398" s="2" t="s">
        <v>200</v>
      </c>
      <c r="BV398" s="2" t="s">
        <v>166</v>
      </c>
      <c r="BW398" s="2" t="s">
        <v>167</v>
      </c>
      <c r="BX398" s="2" t="s">
        <v>91</v>
      </c>
      <c r="BY39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98" s="2">
        <f>IF(AND(Cases[[#This Row],[Priority Level]]&gt;=3,Cases[[#This Row],[System Role]]&lt;&gt;"Productive"),1,0)</f>
        <v>1</v>
      </c>
      <c r="CA398" s="2">
        <f>IFERROR(IF(Cases[[#This Row],[Days at Customer]]&gt;MAX(1,Cases[[#This Row],[Days at SAP]]*2),1,0),0)</f>
        <v>0</v>
      </c>
      <c r="CB398" s="2">
        <f>IF(AND(Cases[[#This Row],[Initial Component]]&lt;&gt;"",Cases[[#This Row],[Component]]&lt;&gt;"",Cases[[#This Row],[Initial Component]]&lt;&gt;Cases[[#This Row],[Component]]),1,0)</f>
        <v>0</v>
      </c>
      <c r="CC398" s="2">
        <f>IF(OR(Cases[[#This Row],[Is Reopened]]="X",Cases[[#This Row],[No. of Reopenings]]&gt;0),1,0)</f>
        <v>0</v>
      </c>
      <c r="CD398" s="2">
        <f>IF(Cases[[#This Row],[Confirmation Type]]="Automatic",1,0)</f>
        <v>0</v>
      </c>
      <c r="CE39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399" spans="1:83" x14ac:dyDescent="0.2">
      <c r="A399" s="1" t="s">
        <v>2381</v>
      </c>
      <c r="B399" s="2" t="s">
        <v>2382</v>
      </c>
      <c r="C399" s="2" t="s">
        <v>300</v>
      </c>
      <c r="D399" s="2" t="s">
        <v>238</v>
      </c>
      <c r="E399" s="3">
        <v>18.7</v>
      </c>
      <c r="F399" s="3">
        <v>26.99</v>
      </c>
      <c r="G399" s="2" t="s">
        <v>79</v>
      </c>
      <c r="H399" s="2" t="s">
        <v>80</v>
      </c>
      <c r="I399" s="3" t="s">
        <v>114</v>
      </c>
      <c r="J399" s="3">
        <v>142</v>
      </c>
      <c r="K399" s="2" t="s">
        <v>2383</v>
      </c>
      <c r="L399" s="4">
        <v>46033</v>
      </c>
      <c r="M399" s="4">
        <v>46031</v>
      </c>
      <c r="N399" s="2" t="s">
        <v>1334</v>
      </c>
      <c r="O399" s="2" t="s">
        <v>181</v>
      </c>
      <c r="P399" s="2" t="s">
        <v>677</v>
      </c>
      <c r="Q399" s="2" t="s">
        <v>86</v>
      </c>
      <c r="R399" s="2" t="s">
        <v>299</v>
      </c>
      <c r="S399" s="4">
        <v>45985</v>
      </c>
      <c r="T399" s="2" t="s">
        <v>2274</v>
      </c>
      <c r="U399" s="2" t="s">
        <v>1805</v>
      </c>
      <c r="V399" s="2" t="s">
        <v>2275</v>
      </c>
      <c r="W399" s="2" t="s">
        <v>1806</v>
      </c>
      <c r="X399" s="2" t="s">
        <v>117</v>
      </c>
      <c r="Y399" s="3" t="s">
        <v>118</v>
      </c>
      <c r="Z399" s="3">
        <v>45.69</v>
      </c>
      <c r="AA399" s="2" t="s">
        <v>90</v>
      </c>
      <c r="AB399" s="2" t="s">
        <v>299</v>
      </c>
      <c r="AC399" s="2" t="s">
        <v>300</v>
      </c>
      <c r="AD399" t="str" cm="1">
        <f t="array" ref="AD39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399" s="2" t="s">
        <v>139</v>
      </c>
      <c r="AF399" s="2" t="s">
        <v>92</v>
      </c>
      <c r="AG399" s="2" t="s">
        <v>159</v>
      </c>
      <c r="AH399" s="2" t="s">
        <v>160</v>
      </c>
      <c r="AK399" s="2" t="s">
        <v>2384</v>
      </c>
      <c r="AN399" s="3">
        <v>1</v>
      </c>
      <c r="AO399" s="3">
        <v>1</v>
      </c>
      <c r="AP399" s="3">
        <v>1</v>
      </c>
      <c r="AQ399" s="3">
        <v>1</v>
      </c>
      <c r="AR399" s="3">
        <v>0</v>
      </c>
      <c r="AS399" s="3">
        <v>0</v>
      </c>
      <c r="AT399" s="3">
        <v>1</v>
      </c>
      <c r="AU399" s="3">
        <v>0</v>
      </c>
      <c r="AV399" s="3">
        <v>1</v>
      </c>
      <c r="AW399" s="3">
        <v>0</v>
      </c>
      <c r="AX399" s="3">
        <v>0</v>
      </c>
      <c r="AY399" s="3">
        <v>0</v>
      </c>
      <c r="AZ399" s="3">
        <v>1</v>
      </c>
      <c r="BA399" s="3">
        <v>1</v>
      </c>
      <c r="BB399" s="3">
        <v>0</v>
      </c>
      <c r="BC399" s="3">
        <v>0</v>
      </c>
      <c r="BD399" s="3">
        <v>0</v>
      </c>
      <c r="BE399" s="3">
        <v>0</v>
      </c>
      <c r="BG399" s="2" t="s">
        <v>139</v>
      </c>
      <c r="BH399" s="3">
        <v>2</v>
      </c>
      <c r="BJ399" s="2" t="s">
        <v>96</v>
      </c>
      <c r="BL399" s="2" t="s">
        <v>162</v>
      </c>
      <c r="BM399" s="2" t="s">
        <v>163</v>
      </c>
      <c r="BN399" s="2" t="s">
        <v>99</v>
      </c>
      <c r="BO399" s="2" t="s">
        <v>100</v>
      </c>
      <c r="BP399" s="2" t="s">
        <v>242</v>
      </c>
      <c r="BQ399" s="2" t="s">
        <v>102</v>
      </c>
      <c r="BR399" s="2" t="s">
        <v>103</v>
      </c>
      <c r="BS399" s="2" t="s">
        <v>127</v>
      </c>
      <c r="BT399" s="2" t="s">
        <v>164</v>
      </c>
      <c r="BU399" s="2" t="s">
        <v>165</v>
      </c>
      <c r="BV399" s="2" t="s">
        <v>166</v>
      </c>
      <c r="BW399" s="2" t="s">
        <v>167</v>
      </c>
      <c r="BX399" s="2" t="s">
        <v>139</v>
      </c>
      <c r="BY39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399" s="2">
        <f>IF(AND(Cases[[#This Row],[Priority Level]]&gt;=3,Cases[[#This Row],[System Role]]&lt;&gt;"Productive"),1,0)</f>
        <v>0</v>
      </c>
      <c r="CA399" s="2">
        <f>IFERROR(IF(Cases[[#This Row],[Days at Customer]]&gt;MAX(1,Cases[[#This Row],[Days at SAP]]*2),1,0),0)</f>
        <v>0</v>
      </c>
      <c r="CB399" s="2">
        <f>IF(AND(Cases[[#This Row],[Initial Component]]&lt;&gt;"",Cases[[#This Row],[Component]]&lt;&gt;"",Cases[[#This Row],[Initial Component]]&lt;&gt;Cases[[#This Row],[Component]]),1,0)</f>
        <v>0</v>
      </c>
      <c r="CC399" s="2">
        <f>IF(OR(Cases[[#This Row],[Is Reopened]]="X",Cases[[#This Row],[No. of Reopenings]]&gt;0),1,0)</f>
        <v>0</v>
      </c>
      <c r="CD399" s="2">
        <f>IF(Cases[[#This Row],[Confirmation Type]]="Automatic",1,0)</f>
        <v>1</v>
      </c>
      <c r="CE399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400" spans="1:83" x14ac:dyDescent="0.2">
      <c r="A400" s="1" t="s">
        <v>2385</v>
      </c>
      <c r="B400" s="2" t="s">
        <v>2386</v>
      </c>
      <c r="C400" s="2" t="s">
        <v>1596</v>
      </c>
      <c r="D400" s="2" t="s">
        <v>238</v>
      </c>
      <c r="E400" s="3">
        <v>1.84</v>
      </c>
      <c r="F400" s="3">
        <v>29.79</v>
      </c>
      <c r="G400" s="2" t="s">
        <v>79</v>
      </c>
      <c r="H400" s="2" t="s">
        <v>732</v>
      </c>
      <c r="I400" s="3" t="s">
        <v>81</v>
      </c>
      <c r="J400" s="3">
        <v>142</v>
      </c>
      <c r="K400" s="2" t="s">
        <v>2387</v>
      </c>
      <c r="L400" s="4">
        <v>46019</v>
      </c>
      <c r="M400" s="4">
        <v>46017</v>
      </c>
      <c r="N400" s="2" t="s">
        <v>1804</v>
      </c>
      <c r="O400" s="2" t="s">
        <v>1805</v>
      </c>
      <c r="P400" s="2" t="s">
        <v>1868</v>
      </c>
      <c r="Q400" s="2" t="s">
        <v>1806</v>
      </c>
      <c r="R400" s="2" t="s">
        <v>1598</v>
      </c>
      <c r="S400" s="4">
        <v>45985</v>
      </c>
      <c r="T400" s="2" t="s">
        <v>2274</v>
      </c>
      <c r="U400" s="2" t="s">
        <v>1805</v>
      </c>
      <c r="V400" s="2" t="s">
        <v>2275</v>
      </c>
      <c r="W400" s="2" t="s">
        <v>1806</v>
      </c>
      <c r="X400" s="2" t="s">
        <v>88</v>
      </c>
      <c r="Y400" s="3" t="s">
        <v>89</v>
      </c>
      <c r="Z400" s="3">
        <v>31.63</v>
      </c>
      <c r="AA400" s="2" t="s">
        <v>90</v>
      </c>
      <c r="AB400" s="2" t="s">
        <v>1598</v>
      </c>
      <c r="AC400" s="2" t="s">
        <v>1596</v>
      </c>
      <c r="AD400" t="str" cm="1">
        <f t="array" ref="AD40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OTC</v>
      </c>
      <c r="AE400" s="2" t="s">
        <v>91</v>
      </c>
      <c r="AF400" s="2" t="s">
        <v>92</v>
      </c>
      <c r="AG400" s="2" t="s">
        <v>93</v>
      </c>
      <c r="AH400" s="2" t="s">
        <v>94</v>
      </c>
      <c r="AK400" s="2" t="s">
        <v>2388</v>
      </c>
      <c r="AN400" s="3">
        <v>1</v>
      </c>
      <c r="AO400" s="3">
        <v>1</v>
      </c>
      <c r="AP400" s="3">
        <v>1</v>
      </c>
      <c r="AQ400" s="3">
        <v>1</v>
      </c>
      <c r="AR400" s="3">
        <v>1</v>
      </c>
      <c r="AS400" s="3">
        <v>0</v>
      </c>
      <c r="AT400" s="3">
        <v>0</v>
      </c>
      <c r="AU400" s="3">
        <v>0</v>
      </c>
      <c r="AV400" s="3">
        <v>1</v>
      </c>
      <c r="AW400" s="3">
        <v>0</v>
      </c>
      <c r="AX400" s="3">
        <v>1</v>
      </c>
      <c r="AY400" s="3">
        <v>0</v>
      </c>
      <c r="AZ400" s="3">
        <v>0</v>
      </c>
      <c r="BA400" s="3">
        <v>0</v>
      </c>
      <c r="BB400" s="3">
        <v>0</v>
      </c>
      <c r="BC400" s="3">
        <v>1</v>
      </c>
      <c r="BD400" s="3">
        <v>0</v>
      </c>
      <c r="BE400" s="3">
        <v>0</v>
      </c>
      <c r="BG400" s="2" t="s">
        <v>91</v>
      </c>
      <c r="BH400" s="3">
        <v>3</v>
      </c>
      <c r="BJ400" s="2" t="s">
        <v>96</v>
      </c>
      <c r="BL400" s="2" t="s">
        <v>184</v>
      </c>
      <c r="BM400" s="2" t="s">
        <v>184</v>
      </c>
      <c r="BN400" s="2" t="s">
        <v>124</v>
      </c>
      <c r="BO400" s="2" t="s">
        <v>125</v>
      </c>
      <c r="BP400" s="2" t="s">
        <v>242</v>
      </c>
      <c r="BQ400" s="2" t="s">
        <v>124</v>
      </c>
      <c r="BR400" s="2" t="s">
        <v>126</v>
      </c>
      <c r="BS400" s="2" t="s">
        <v>127</v>
      </c>
      <c r="BT400" s="2" t="s">
        <v>185</v>
      </c>
      <c r="BU400" s="2" t="s">
        <v>186</v>
      </c>
      <c r="BV400" s="2" t="s">
        <v>150</v>
      </c>
      <c r="BW400" s="2" t="s">
        <v>151</v>
      </c>
      <c r="BX400" s="2" t="s">
        <v>91</v>
      </c>
      <c r="BY40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00" s="2">
        <f>IF(AND(Cases[[#This Row],[Priority Level]]&gt;=3,Cases[[#This Row],[System Role]]&lt;&gt;"Productive"),1,0)</f>
        <v>0</v>
      </c>
      <c r="CA400" s="2">
        <f>IFERROR(IF(Cases[[#This Row],[Days at Customer]]&gt;MAX(1,Cases[[#This Row],[Days at SAP]]*2),1,0),0)</f>
        <v>1</v>
      </c>
      <c r="CB400" s="2">
        <f>IF(AND(Cases[[#This Row],[Initial Component]]&lt;&gt;"",Cases[[#This Row],[Component]]&lt;&gt;"",Cases[[#This Row],[Initial Component]]&lt;&gt;Cases[[#This Row],[Component]]),1,0)</f>
        <v>0</v>
      </c>
      <c r="CC400" s="2">
        <f>IF(OR(Cases[[#This Row],[Is Reopened]]="X",Cases[[#This Row],[No. of Reopenings]]&gt;0),1,0)</f>
        <v>0</v>
      </c>
      <c r="CD400" s="2">
        <f>IF(Cases[[#This Row],[Confirmation Type]]="Automatic",1,0)</f>
        <v>1</v>
      </c>
      <c r="CE400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01" spans="1:83" x14ac:dyDescent="0.2">
      <c r="A401" s="1" t="s">
        <v>2389</v>
      </c>
      <c r="B401" s="2" t="s">
        <v>2390</v>
      </c>
      <c r="C401" s="2" t="s">
        <v>2147</v>
      </c>
      <c r="D401" s="2" t="s">
        <v>238</v>
      </c>
      <c r="E401" s="3">
        <v>1.1000000000000001</v>
      </c>
      <c r="F401" s="3">
        <v>21.44</v>
      </c>
      <c r="G401" s="2" t="s">
        <v>79</v>
      </c>
      <c r="H401" s="2" t="s">
        <v>155</v>
      </c>
      <c r="I401" s="3" t="s">
        <v>114</v>
      </c>
      <c r="J401" s="3">
        <v>142</v>
      </c>
      <c r="K401" s="2" t="s">
        <v>2391</v>
      </c>
      <c r="L401" s="4">
        <v>46012</v>
      </c>
      <c r="M401" s="4">
        <v>46008</v>
      </c>
      <c r="N401" s="2" t="s">
        <v>1804</v>
      </c>
      <c r="O401" s="2" t="s">
        <v>1805</v>
      </c>
      <c r="P401" s="2" t="s">
        <v>1930</v>
      </c>
      <c r="Q401" s="2" t="s">
        <v>1806</v>
      </c>
      <c r="R401" s="2" t="s">
        <v>2149</v>
      </c>
      <c r="S401" s="4">
        <v>45985</v>
      </c>
      <c r="T401" s="2" t="s">
        <v>2274</v>
      </c>
      <c r="U401" s="2" t="s">
        <v>1805</v>
      </c>
      <c r="V401" s="2" t="s">
        <v>2275</v>
      </c>
      <c r="W401" s="2" t="s">
        <v>1806</v>
      </c>
      <c r="X401" s="2" t="s">
        <v>117</v>
      </c>
      <c r="Y401" s="3" t="s">
        <v>118</v>
      </c>
      <c r="Z401" s="3">
        <v>22.54</v>
      </c>
      <c r="AA401" s="2" t="s">
        <v>90</v>
      </c>
      <c r="AB401" s="2" t="s">
        <v>2149</v>
      </c>
      <c r="AC401" s="2" t="s">
        <v>2147</v>
      </c>
      <c r="AD401" t="str" cm="1">
        <f t="array" ref="AD40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401" s="2" t="s">
        <v>91</v>
      </c>
      <c r="AF401" s="2" t="s">
        <v>92</v>
      </c>
      <c r="AG401" s="2" t="s">
        <v>119</v>
      </c>
      <c r="AH401" s="2" t="s">
        <v>120</v>
      </c>
      <c r="AK401" s="2" t="s">
        <v>2392</v>
      </c>
      <c r="AN401" s="3">
        <v>1</v>
      </c>
      <c r="AO401" s="3">
        <v>1</v>
      </c>
      <c r="AP401" s="3">
        <v>1</v>
      </c>
      <c r="AQ401" s="3">
        <v>1</v>
      </c>
      <c r="AR401" s="3">
        <v>1</v>
      </c>
      <c r="AS401" s="3">
        <v>0</v>
      </c>
      <c r="AT401" s="3">
        <v>0</v>
      </c>
      <c r="AU401" s="3">
        <v>0</v>
      </c>
      <c r="AV401" s="3">
        <v>1</v>
      </c>
      <c r="AW401" s="3">
        <v>0</v>
      </c>
      <c r="AX401" s="3">
        <v>1</v>
      </c>
      <c r="AY401" s="3">
        <v>0</v>
      </c>
      <c r="AZ401" s="3">
        <v>0</v>
      </c>
      <c r="BA401" s="3">
        <v>0</v>
      </c>
      <c r="BB401" s="3">
        <v>0</v>
      </c>
      <c r="BC401" s="3">
        <v>1</v>
      </c>
      <c r="BD401" s="3">
        <v>0</v>
      </c>
      <c r="BE401" s="3">
        <v>0</v>
      </c>
      <c r="BG401" s="2" t="s">
        <v>91</v>
      </c>
      <c r="BH401" s="3">
        <v>3</v>
      </c>
      <c r="BJ401" s="2" t="s">
        <v>96</v>
      </c>
      <c r="BL401" s="2" t="s">
        <v>123</v>
      </c>
      <c r="BM401" s="2" t="s">
        <v>123</v>
      </c>
      <c r="BN401" s="2" t="s">
        <v>124</v>
      </c>
      <c r="BO401" s="2" t="s">
        <v>125</v>
      </c>
      <c r="BP401" s="2" t="s">
        <v>242</v>
      </c>
      <c r="BQ401" s="2" t="s">
        <v>124</v>
      </c>
      <c r="BR401" s="2" t="s">
        <v>126</v>
      </c>
      <c r="BS401" s="2" t="s">
        <v>127</v>
      </c>
      <c r="BT401" s="2" t="s">
        <v>207</v>
      </c>
      <c r="BU401" s="2" t="s">
        <v>208</v>
      </c>
      <c r="BV401" s="2" t="s">
        <v>150</v>
      </c>
      <c r="BW401" s="2" t="s">
        <v>151</v>
      </c>
      <c r="BX401" s="2" t="s">
        <v>91</v>
      </c>
      <c r="BY40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01" s="2">
        <f>IF(AND(Cases[[#This Row],[Priority Level]]&gt;=3,Cases[[#This Row],[System Role]]&lt;&gt;"Productive"),1,0)</f>
        <v>0</v>
      </c>
      <c r="CA401" s="2">
        <f>IFERROR(IF(Cases[[#This Row],[Days at Customer]]&gt;MAX(1,Cases[[#This Row],[Days at SAP]]*2),1,0),0)</f>
        <v>1</v>
      </c>
      <c r="CB401" s="2">
        <f>IF(AND(Cases[[#This Row],[Initial Component]]&lt;&gt;"",Cases[[#This Row],[Component]]&lt;&gt;"",Cases[[#This Row],[Initial Component]]&lt;&gt;Cases[[#This Row],[Component]]),1,0)</f>
        <v>0</v>
      </c>
      <c r="CC401" s="2">
        <f>IF(OR(Cases[[#This Row],[Is Reopened]]="X",Cases[[#This Row],[No. of Reopenings]]&gt;0),1,0)</f>
        <v>0</v>
      </c>
      <c r="CD401" s="2">
        <f>IF(Cases[[#This Row],[Confirmation Type]]="Automatic",1,0)</f>
        <v>1</v>
      </c>
      <c r="CE401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02" spans="1:83" x14ac:dyDescent="0.2">
      <c r="A402" s="1" t="s">
        <v>2393</v>
      </c>
      <c r="B402" s="2" t="s">
        <v>2394</v>
      </c>
      <c r="C402" s="2" t="s">
        <v>406</v>
      </c>
      <c r="D402" s="2" t="s">
        <v>78</v>
      </c>
      <c r="E402" s="3">
        <v>0.09</v>
      </c>
      <c r="F402" s="3">
        <v>0</v>
      </c>
      <c r="G402" s="2" t="s">
        <v>133</v>
      </c>
      <c r="H402" s="2" t="s">
        <v>134</v>
      </c>
      <c r="I402" s="3" t="s">
        <v>114</v>
      </c>
      <c r="J402" s="3">
        <v>142</v>
      </c>
      <c r="K402" s="2" t="s">
        <v>2395</v>
      </c>
      <c r="L402" s="4">
        <v>46009</v>
      </c>
      <c r="M402" s="4">
        <v>45985</v>
      </c>
      <c r="N402" s="2" t="s">
        <v>2274</v>
      </c>
      <c r="O402" s="2" t="s">
        <v>1805</v>
      </c>
      <c r="P402" s="2" t="s">
        <v>2275</v>
      </c>
      <c r="Q402" s="2" t="s">
        <v>1806</v>
      </c>
      <c r="R402" s="2" t="s">
        <v>408</v>
      </c>
      <c r="S402" s="4">
        <v>45985</v>
      </c>
      <c r="T402" s="2" t="s">
        <v>2274</v>
      </c>
      <c r="U402" s="2" t="s">
        <v>1805</v>
      </c>
      <c r="V402" s="2" t="s">
        <v>2275</v>
      </c>
      <c r="W402" s="2" t="s">
        <v>1806</v>
      </c>
      <c r="X402" s="2" t="s">
        <v>117</v>
      </c>
      <c r="Y402" s="3" t="s">
        <v>118</v>
      </c>
      <c r="Z402" s="3">
        <v>0.09</v>
      </c>
      <c r="AA402" s="2" t="s">
        <v>90</v>
      </c>
      <c r="AB402" s="2" t="s">
        <v>408</v>
      </c>
      <c r="AC402" s="2" t="s">
        <v>406</v>
      </c>
      <c r="AD402" t="str" cm="1">
        <f t="array" ref="AD40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402" s="2" t="s">
        <v>139</v>
      </c>
      <c r="AF402" s="2" t="s">
        <v>92</v>
      </c>
      <c r="AG402" s="2" t="s">
        <v>119</v>
      </c>
      <c r="AH402" s="2" t="s">
        <v>120</v>
      </c>
      <c r="AK402" s="2" t="s">
        <v>2396</v>
      </c>
      <c r="AN402" s="3">
        <v>1</v>
      </c>
      <c r="AO402" s="3">
        <v>1</v>
      </c>
      <c r="AP402" s="3">
        <v>1</v>
      </c>
      <c r="AQ402" s="3">
        <v>1</v>
      </c>
      <c r="AR402" s="3">
        <v>1</v>
      </c>
      <c r="AS402" s="3">
        <v>0</v>
      </c>
      <c r="AT402" s="3">
        <v>0</v>
      </c>
      <c r="AU402" s="3">
        <v>0</v>
      </c>
      <c r="AV402" s="3">
        <v>0</v>
      </c>
      <c r="AW402" s="3">
        <v>1</v>
      </c>
      <c r="AX402" s="3">
        <v>1</v>
      </c>
      <c r="AY402" s="3">
        <v>0</v>
      </c>
      <c r="AZ402" s="3">
        <v>0</v>
      </c>
      <c r="BA402" s="3">
        <v>1</v>
      </c>
      <c r="BB402" s="3">
        <v>0</v>
      </c>
      <c r="BC402" s="3">
        <v>0</v>
      </c>
      <c r="BD402" s="3">
        <v>0</v>
      </c>
      <c r="BE402" s="3">
        <v>0</v>
      </c>
      <c r="BG402" s="2" t="s">
        <v>91</v>
      </c>
      <c r="BH402" s="3">
        <v>3</v>
      </c>
      <c r="BJ402" s="2" t="s">
        <v>96</v>
      </c>
      <c r="BL402" s="2" t="s">
        <v>123</v>
      </c>
      <c r="BM402" s="2" t="s">
        <v>123</v>
      </c>
      <c r="BN402" s="2" t="s">
        <v>124</v>
      </c>
      <c r="BO402" s="2" t="s">
        <v>125</v>
      </c>
      <c r="BP402" s="2" t="s">
        <v>101</v>
      </c>
      <c r="BQ402" s="2" t="s">
        <v>124</v>
      </c>
      <c r="BR402" s="2" t="s">
        <v>126</v>
      </c>
      <c r="BS402" s="2" t="s">
        <v>127</v>
      </c>
      <c r="BT402" s="2" t="s">
        <v>199</v>
      </c>
      <c r="BU402" s="2" t="s">
        <v>200</v>
      </c>
      <c r="BV402" s="2" t="s">
        <v>166</v>
      </c>
      <c r="BW402" s="2" t="s">
        <v>167</v>
      </c>
      <c r="BX402" s="2" t="s">
        <v>91</v>
      </c>
      <c r="BY40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02" s="2">
        <f>IF(AND(Cases[[#This Row],[Priority Level]]&gt;=3,Cases[[#This Row],[System Role]]&lt;&gt;"Productive"),1,0)</f>
        <v>1</v>
      </c>
      <c r="CA402" s="2">
        <f>IFERROR(IF(Cases[[#This Row],[Days at Customer]]&gt;MAX(1,Cases[[#This Row],[Days at SAP]]*2),1,0),0)</f>
        <v>0</v>
      </c>
      <c r="CB402" s="2">
        <f>IF(AND(Cases[[#This Row],[Initial Component]]&lt;&gt;"",Cases[[#This Row],[Component]]&lt;&gt;"",Cases[[#This Row],[Initial Component]]&lt;&gt;Cases[[#This Row],[Component]]),1,0)</f>
        <v>0</v>
      </c>
      <c r="CC402" s="2">
        <f>IF(OR(Cases[[#This Row],[Is Reopened]]="X",Cases[[#This Row],[No. of Reopenings]]&gt;0),1,0)</f>
        <v>0</v>
      </c>
      <c r="CD402" s="2">
        <f>IF(Cases[[#This Row],[Confirmation Type]]="Automatic",1,0)</f>
        <v>0</v>
      </c>
      <c r="CE402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03" spans="1:83" x14ac:dyDescent="0.2">
      <c r="A403" s="1" t="s">
        <v>1528</v>
      </c>
      <c r="B403" s="2" t="s">
        <v>1529</v>
      </c>
      <c r="C403" s="2" t="s">
        <v>111</v>
      </c>
      <c r="D403" s="2" t="s">
        <v>78</v>
      </c>
      <c r="E403" s="3">
        <v>0</v>
      </c>
      <c r="F403" s="3">
        <v>12.71</v>
      </c>
      <c r="G403" s="2" t="s">
        <v>112</v>
      </c>
      <c r="H403" s="2" t="s">
        <v>113</v>
      </c>
      <c r="I403" s="3" t="s">
        <v>114</v>
      </c>
      <c r="J403" s="3">
        <v>85</v>
      </c>
      <c r="K403" s="2" t="s">
        <v>1530</v>
      </c>
      <c r="L403" s="4">
        <v>46061</v>
      </c>
      <c r="M403" s="4">
        <v>46055</v>
      </c>
      <c r="N403" s="2" t="s">
        <v>677</v>
      </c>
      <c r="O403" s="2" t="s">
        <v>181</v>
      </c>
      <c r="P403" s="2" t="s">
        <v>1165</v>
      </c>
      <c r="Q403" s="2" t="s">
        <v>86</v>
      </c>
      <c r="R403" s="2" t="s">
        <v>116</v>
      </c>
      <c r="S403" s="4">
        <v>46042</v>
      </c>
      <c r="T403" s="2" t="s">
        <v>1334</v>
      </c>
      <c r="U403" s="2" t="s">
        <v>181</v>
      </c>
      <c r="V403" s="2" t="s">
        <v>83</v>
      </c>
      <c r="W403" s="2" t="s">
        <v>86</v>
      </c>
      <c r="X403" s="2" t="s">
        <v>117</v>
      </c>
      <c r="Y403" s="3" t="s">
        <v>118</v>
      </c>
      <c r="Z403" s="3">
        <v>12.71</v>
      </c>
      <c r="AA403" s="2" t="s">
        <v>90</v>
      </c>
      <c r="AB403" s="2" t="s">
        <v>116</v>
      </c>
      <c r="AC403" s="2" t="s">
        <v>111</v>
      </c>
      <c r="AD403" t="str" cm="1">
        <f t="array" ref="AD40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403" s="2" t="s">
        <v>91</v>
      </c>
      <c r="AF403" s="2" t="s">
        <v>92</v>
      </c>
      <c r="AG403" s="2" t="s">
        <v>119</v>
      </c>
      <c r="AH403" s="2" t="s">
        <v>120</v>
      </c>
      <c r="AK403" s="2" t="s">
        <v>1531</v>
      </c>
      <c r="AN403" s="3">
        <v>1</v>
      </c>
      <c r="AO403" s="3">
        <v>1</v>
      </c>
      <c r="AP403" s="3">
        <v>1</v>
      </c>
      <c r="AQ403" s="3">
        <v>1</v>
      </c>
      <c r="AR403" s="3">
        <v>1</v>
      </c>
      <c r="AS403" s="3">
        <v>0</v>
      </c>
      <c r="AT403" s="3">
        <v>0</v>
      </c>
      <c r="AU403" s="3">
        <v>0</v>
      </c>
      <c r="AV403" s="3">
        <v>0</v>
      </c>
      <c r="AW403" s="3">
        <v>1</v>
      </c>
      <c r="AX403" s="3">
        <v>1</v>
      </c>
      <c r="AY403" s="3">
        <v>0</v>
      </c>
      <c r="AZ403" s="3">
        <v>0</v>
      </c>
      <c r="BA403" s="3">
        <v>0</v>
      </c>
      <c r="BB403" s="3">
        <v>0</v>
      </c>
      <c r="BC403" s="3">
        <v>1</v>
      </c>
      <c r="BD403" s="3">
        <v>0</v>
      </c>
      <c r="BE403" s="3">
        <v>0</v>
      </c>
      <c r="BG403" s="2" t="s">
        <v>91</v>
      </c>
      <c r="BH403" s="3">
        <v>3</v>
      </c>
      <c r="BI403" s="2" t="s">
        <v>122</v>
      </c>
      <c r="BJ403" s="2" t="s">
        <v>96</v>
      </c>
      <c r="BL403" s="2" t="s">
        <v>123</v>
      </c>
      <c r="BM403" s="2" t="s">
        <v>123</v>
      </c>
      <c r="BN403" s="2" t="s">
        <v>124</v>
      </c>
      <c r="BO403" s="2" t="s">
        <v>125</v>
      </c>
      <c r="BP403" s="2" t="s">
        <v>101</v>
      </c>
      <c r="BQ403" s="2" t="s">
        <v>124</v>
      </c>
      <c r="BR403" s="2" t="s">
        <v>126</v>
      </c>
      <c r="BS403" s="2" t="s">
        <v>127</v>
      </c>
      <c r="BT403" s="2" t="s">
        <v>207</v>
      </c>
      <c r="BU403" s="2" t="s">
        <v>208</v>
      </c>
      <c r="BV403" s="2" t="s">
        <v>150</v>
      </c>
      <c r="BW403" s="2" t="s">
        <v>151</v>
      </c>
      <c r="BX403" s="2" t="s">
        <v>91</v>
      </c>
      <c r="BY40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03" s="2">
        <f>IF(AND(Cases[[#This Row],[Priority Level]]&gt;=3,Cases[[#This Row],[System Role]]&lt;&gt;"Productive"),1,0)</f>
        <v>0</v>
      </c>
      <c r="CA403" s="2">
        <f>IFERROR(IF(Cases[[#This Row],[Days at Customer]]&gt;MAX(1,Cases[[#This Row],[Days at SAP]]*2),1,0),0)</f>
        <v>1</v>
      </c>
      <c r="CB403" s="2">
        <f>IF(AND(Cases[[#This Row],[Initial Component]]&lt;&gt;"",Cases[[#This Row],[Component]]&lt;&gt;"",Cases[[#This Row],[Initial Component]]&lt;&gt;Cases[[#This Row],[Component]]),1,0)</f>
        <v>0</v>
      </c>
      <c r="CC403" s="2">
        <f>IF(OR(Cases[[#This Row],[Is Reopened]]="X",Cases[[#This Row],[No. of Reopenings]]&gt;0),1,0)</f>
        <v>0</v>
      </c>
      <c r="CD403" s="2">
        <f>IF(Cases[[#This Row],[Confirmation Type]]="Automatic",1,0)</f>
        <v>0</v>
      </c>
      <c r="CE403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04" spans="1:83" x14ac:dyDescent="0.2">
      <c r="A404" s="1" t="s">
        <v>1932</v>
      </c>
      <c r="B404" s="2" t="s">
        <v>1933</v>
      </c>
      <c r="C404" s="2" t="s">
        <v>111</v>
      </c>
      <c r="D404" s="2" t="s">
        <v>78</v>
      </c>
      <c r="E404" s="3">
        <v>0</v>
      </c>
      <c r="F404" s="3">
        <v>42.02</v>
      </c>
      <c r="G404" s="2" t="s">
        <v>112</v>
      </c>
      <c r="H404" s="2" t="s">
        <v>113</v>
      </c>
      <c r="I404" s="3" t="s">
        <v>114</v>
      </c>
      <c r="J404" s="3">
        <v>117</v>
      </c>
      <c r="K404" s="2" t="s">
        <v>1934</v>
      </c>
      <c r="L404" s="4">
        <v>46061</v>
      </c>
      <c r="M404" s="4">
        <v>46055</v>
      </c>
      <c r="N404" s="2" t="s">
        <v>677</v>
      </c>
      <c r="O404" s="2" t="s">
        <v>181</v>
      </c>
      <c r="P404" s="2" t="s">
        <v>1165</v>
      </c>
      <c r="Q404" s="2" t="s">
        <v>86</v>
      </c>
      <c r="R404" s="2" t="s">
        <v>116</v>
      </c>
      <c r="S404" s="4">
        <v>46010</v>
      </c>
      <c r="T404" s="2" t="s">
        <v>1804</v>
      </c>
      <c r="U404" s="2" t="s">
        <v>1805</v>
      </c>
      <c r="V404" s="2" t="s">
        <v>1930</v>
      </c>
      <c r="W404" s="2" t="s">
        <v>1806</v>
      </c>
      <c r="X404" s="2" t="s">
        <v>117</v>
      </c>
      <c r="Y404" s="3" t="s">
        <v>118</v>
      </c>
      <c r="Z404" s="3">
        <v>42.02</v>
      </c>
      <c r="AA404" s="2" t="s">
        <v>90</v>
      </c>
      <c r="AB404" s="2" t="s">
        <v>116</v>
      </c>
      <c r="AC404" s="2" t="s">
        <v>111</v>
      </c>
      <c r="AD404" t="str" cm="1">
        <f t="array" ref="AD40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404" s="2" t="s">
        <v>139</v>
      </c>
      <c r="AF404" s="2" t="s">
        <v>92</v>
      </c>
      <c r="AG404" s="2" t="s">
        <v>119</v>
      </c>
      <c r="AH404" s="2" t="s">
        <v>120</v>
      </c>
      <c r="AK404" s="2" t="s">
        <v>1935</v>
      </c>
      <c r="AN404" s="3">
        <v>1</v>
      </c>
      <c r="AO404" s="3">
        <v>1</v>
      </c>
      <c r="AP404" s="3">
        <v>1</v>
      </c>
      <c r="AQ404" s="3">
        <v>1</v>
      </c>
      <c r="AR404" s="3">
        <v>0</v>
      </c>
      <c r="AS404" s="3">
        <v>0</v>
      </c>
      <c r="AT404" s="3">
        <v>1</v>
      </c>
      <c r="AU404" s="3">
        <v>0</v>
      </c>
      <c r="AV404" s="3">
        <v>0</v>
      </c>
      <c r="AW404" s="3">
        <v>1</v>
      </c>
      <c r="AX404" s="3">
        <v>0</v>
      </c>
      <c r="AY404" s="3">
        <v>0</v>
      </c>
      <c r="AZ404" s="3">
        <v>1</v>
      </c>
      <c r="BA404" s="3">
        <v>0</v>
      </c>
      <c r="BB404" s="3">
        <v>0</v>
      </c>
      <c r="BC404" s="3">
        <v>1</v>
      </c>
      <c r="BD404" s="3">
        <v>0</v>
      </c>
      <c r="BE404" s="3">
        <v>0</v>
      </c>
      <c r="BG404" s="2" t="s">
        <v>139</v>
      </c>
      <c r="BH404" s="3">
        <v>2</v>
      </c>
      <c r="BI404" s="2" t="s">
        <v>122</v>
      </c>
      <c r="BJ404" s="2" t="s">
        <v>96</v>
      </c>
      <c r="BL404" s="2" t="s">
        <v>123</v>
      </c>
      <c r="BM404" s="2" t="s">
        <v>123</v>
      </c>
      <c r="BN404" s="2" t="s">
        <v>124</v>
      </c>
      <c r="BO404" s="2" t="s">
        <v>125</v>
      </c>
      <c r="BP404" s="2" t="s">
        <v>101</v>
      </c>
      <c r="BQ404" s="2" t="s">
        <v>124</v>
      </c>
      <c r="BR404" s="2" t="s">
        <v>126</v>
      </c>
      <c r="BS404" s="2" t="s">
        <v>127</v>
      </c>
      <c r="BT404" s="2" t="s">
        <v>207</v>
      </c>
      <c r="BU404" s="2" t="s">
        <v>208</v>
      </c>
      <c r="BV404" s="2" t="s">
        <v>150</v>
      </c>
      <c r="BW404" s="2" t="s">
        <v>151</v>
      </c>
      <c r="BX404" s="2" t="s">
        <v>139</v>
      </c>
      <c r="BY40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04" s="2">
        <f>IF(AND(Cases[[#This Row],[Priority Level]]&gt;=3,Cases[[#This Row],[System Role]]&lt;&gt;"Productive"),1,0)</f>
        <v>0</v>
      </c>
      <c r="CA404" s="2">
        <f>IFERROR(IF(Cases[[#This Row],[Days at Customer]]&gt;MAX(1,Cases[[#This Row],[Days at SAP]]*2),1,0),0)</f>
        <v>1</v>
      </c>
      <c r="CB404" s="2">
        <f>IF(AND(Cases[[#This Row],[Initial Component]]&lt;&gt;"",Cases[[#This Row],[Component]]&lt;&gt;"",Cases[[#This Row],[Initial Component]]&lt;&gt;Cases[[#This Row],[Component]]),1,0)</f>
        <v>0</v>
      </c>
      <c r="CC404" s="2">
        <f>IF(OR(Cases[[#This Row],[Is Reopened]]="X",Cases[[#This Row],[No. of Reopenings]]&gt;0),1,0)</f>
        <v>0</v>
      </c>
      <c r="CD404" s="2">
        <f>IF(Cases[[#This Row],[Confirmation Type]]="Automatic",1,0)</f>
        <v>0</v>
      </c>
      <c r="CE40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05" spans="1:83" x14ac:dyDescent="0.2">
      <c r="A405" s="1" t="s">
        <v>2406</v>
      </c>
      <c r="B405" s="2" t="s">
        <v>2407</v>
      </c>
      <c r="C405" s="2" t="s">
        <v>1467</v>
      </c>
      <c r="D405" s="2" t="s">
        <v>238</v>
      </c>
      <c r="E405" s="3">
        <v>4.62</v>
      </c>
      <c r="F405" s="3">
        <v>22.83</v>
      </c>
      <c r="G405" s="2" t="s">
        <v>79</v>
      </c>
      <c r="H405" s="2" t="s">
        <v>178</v>
      </c>
      <c r="I405" s="3" t="s">
        <v>114</v>
      </c>
      <c r="J405" s="3">
        <v>145</v>
      </c>
      <c r="K405" s="2" t="s">
        <v>2408</v>
      </c>
      <c r="L405" s="4">
        <v>46012</v>
      </c>
      <c r="M405" s="4">
        <v>46010</v>
      </c>
      <c r="N405" s="2" t="s">
        <v>1804</v>
      </c>
      <c r="O405" s="2" t="s">
        <v>1805</v>
      </c>
      <c r="P405" s="2" t="s">
        <v>1930</v>
      </c>
      <c r="Q405" s="2" t="s">
        <v>1806</v>
      </c>
      <c r="R405" s="2" t="s">
        <v>1469</v>
      </c>
      <c r="S405" s="4">
        <v>45982</v>
      </c>
      <c r="T405" s="2" t="s">
        <v>2274</v>
      </c>
      <c r="U405" s="2" t="s">
        <v>1805</v>
      </c>
      <c r="V405" s="2" t="s">
        <v>2404</v>
      </c>
      <c r="W405" s="2" t="s">
        <v>1806</v>
      </c>
      <c r="X405" s="2" t="s">
        <v>117</v>
      </c>
      <c r="Y405" s="3" t="s">
        <v>118</v>
      </c>
      <c r="Z405" s="3">
        <v>27.45</v>
      </c>
      <c r="AA405" s="2" t="s">
        <v>138</v>
      </c>
      <c r="AB405" s="2" t="s">
        <v>443</v>
      </c>
      <c r="AC405" s="2" t="s">
        <v>444</v>
      </c>
      <c r="AD405" t="str" cm="1">
        <f t="array" ref="AD40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405" s="2" t="s">
        <v>91</v>
      </c>
      <c r="AF405" s="2" t="s">
        <v>92</v>
      </c>
      <c r="AG405" s="2" t="s">
        <v>274</v>
      </c>
      <c r="AH405" s="2" t="s">
        <v>275</v>
      </c>
      <c r="AJ405" s="2" t="s">
        <v>122</v>
      </c>
      <c r="AK405" s="2" t="s">
        <v>2409</v>
      </c>
      <c r="AN405" s="3">
        <v>1</v>
      </c>
      <c r="AO405" s="3">
        <v>1</v>
      </c>
      <c r="AP405" s="3">
        <v>1</v>
      </c>
      <c r="AQ405" s="3">
        <v>1</v>
      </c>
      <c r="AR405" s="3">
        <v>1</v>
      </c>
      <c r="AS405" s="3">
        <v>0</v>
      </c>
      <c r="AT405" s="3">
        <v>0</v>
      </c>
      <c r="AU405" s="3">
        <v>0</v>
      </c>
      <c r="AV405" s="3">
        <v>1</v>
      </c>
      <c r="AW405" s="3">
        <v>0</v>
      </c>
      <c r="AX405" s="3">
        <v>1</v>
      </c>
      <c r="AY405" s="3">
        <v>0</v>
      </c>
      <c r="AZ405" s="3">
        <v>0</v>
      </c>
      <c r="BA405" s="3">
        <v>1</v>
      </c>
      <c r="BB405" s="3">
        <v>0</v>
      </c>
      <c r="BC405" s="3">
        <v>0</v>
      </c>
      <c r="BD405" s="3">
        <v>1</v>
      </c>
      <c r="BE405" s="3">
        <v>0</v>
      </c>
      <c r="BG405" s="2" t="s">
        <v>91</v>
      </c>
      <c r="BH405" s="3">
        <v>3</v>
      </c>
      <c r="BJ405" s="2" t="s">
        <v>96</v>
      </c>
      <c r="BL405" s="2" t="s">
        <v>446</v>
      </c>
      <c r="BM405" s="2" t="s">
        <v>447</v>
      </c>
      <c r="BN405" s="2" t="s">
        <v>279</v>
      </c>
      <c r="BO405" s="2" t="s">
        <v>280</v>
      </c>
      <c r="BP405" s="2" t="s">
        <v>242</v>
      </c>
      <c r="BQ405" s="2" t="s">
        <v>448</v>
      </c>
      <c r="BR405" s="2" t="s">
        <v>449</v>
      </c>
      <c r="BS405" s="2" t="s">
        <v>450</v>
      </c>
      <c r="BT405" s="2" t="s">
        <v>1030</v>
      </c>
      <c r="BU405" s="2" t="s">
        <v>1031</v>
      </c>
      <c r="BV405" s="2" t="s">
        <v>166</v>
      </c>
      <c r="BW405" s="2" t="s">
        <v>167</v>
      </c>
      <c r="BX405" s="2" t="s">
        <v>182</v>
      </c>
      <c r="BY40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05" s="2">
        <f>IF(AND(Cases[[#This Row],[Priority Level]]&gt;=3,Cases[[#This Row],[System Role]]&lt;&gt;"Productive"),1,0)</f>
        <v>1</v>
      </c>
      <c r="CA405" s="2">
        <f>IFERROR(IF(Cases[[#This Row],[Days at Customer]]&gt;MAX(1,Cases[[#This Row],[Days at SAP]]*2),1,0),0)</f>
        <v>1</v>
      </c>
      <c r="CB405" s="2">
        <f>IF(AND(Cases[[#This Row],[Initial Component]]&lt;&gt;"",Cases[[#This Row],[Component]]&lt;&gt;"",Cases[[#This Row],[Initial Component]]&lt;&gt;Cases[[#This Row],[Component]]),1,0)</f>
        <v>1</v>
      </c>
      <c r="CC405" s="2">
        <f>IF(OR(Cases[[#This Row],[Is Reopened]]="X",Cases[[#This Row],[No. of Reopenings]]&gt;0),1,0)</f>
        <v>1</v>
      </c>
      <c r="CD405" s="2">
        <f>IF(Cases[[#This Row],[Confirmation Type]]="Automatic",1,0)</f>
        <v>1</v>
      </c>
      <c r="CE405" s="2">
        <f>Cases[[#This Row],[Flag_HowToOrConsulting]]+Cases[[#This Row],[Flag_PriorityInflation]]+Cases[[#This Row],[Flag_CustomerDelay]]+Cases[[#This Row],[Flag_ComponentMismatch]]+Cases[[#This Row],[Flag_Reopened]]</f>
        <v>5</v>
      </c>
    </row>
    <row r="406" spans="1:83" x14ac:dyDescent="0.2">
      <c r="A406" s="1" t="s">
        <v>2410</v>
      </c>
      <c r="B406" s="2" t="s">
        <v>1055</v>
      </c>
      <c r="C406" s="2" t="s">
        <v>1056</v>
      </c>
      <c r="D406" s="2" t="s">
        <v>238</v>
      </c>
      <c r="E406" s="3">
        <v>0.14000000000000001</v>
      </c>
      <c r="F406" s="3">
        <v>21.26</v>
      </c>
      <c r="G406" s="2" t="s">
        <v>133</v>
      </c>
      <c r="H406" s="2" t="s">
        <v>324</v>
      </c>
      <c r="I406" s="3" t="s">
        <v>114</v>
      </c>
      <c r="J406" s="3">
        <v>146</v>
      </c>
      <c r="K406" s="2" t="s">
        <v>2411</v>
      </c>
      <c r="L406" s="4">
        <v>46009</v>
      </c>
      <c r="M406" s="4">
        <v>46002</v>
      </c>
      <c r="N406" s="2" t="s">
        <v>1804</v>
      </c>
      <c r="O406" s="2" t="s">
        <v>1805</v>
      </c>
      <c r="P406" s="2" t="s">
        <v>2037</v>
      </c>
      <c r="Q406" s="2" t="s">
        <v>1806</v>
      </c>
      <c r="R406" s="2" t="s">
        <v>1058</v>
      </c>
      <c r="S406" s="4">
        <v>45981</v>
      </c>
      <c r="T406" s="2" t="s">
        <v>2274</v>
      </c>
      <c r="U406" s="2" t="s">
        <v>1805</v>
      </c>
      <c r="V406" s="2" t="s">
        <v>2404</v>
      </c>
      <c r="W406" s="2" t="s">
        <v>1806</v>
      </c>
      <c r="X406" s="2" t="s">
        <v>117</v>
      </c>
      <c r="Y406" s="3" t="s">
        <v>118</v>
      </c>
      <c r="Z406" s="3">
        <v>21.4</v>
      </c>
      <c r="AA406" s="2" t="s">
        <v>90</v>
      </c>
      <c r="AB406" s="2" t="s">
        <v>1058</v>
      </c>
      <c r="AC406" s="2" t="s">
        <v>1056</v>
      </c>
      <c r="AD406" t="str" cm="1">
        <f t="array" ref="AD40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406" s="2" t="s">
        <v>91</v>
      </c>
      <c r="AF406" s="2" t="s">
        <v>92</v>
      </c>
      <c r="AG406" s="2" t="s">
        <v>159</v>
      </c>
      <c r="AH406" s="2" t="s">
        <v>160</v>
      </c>
      <c r="AK406" s="2" t="s">
        <v>2412</v>
      </c>
      <c r="AN406" s="3">
        <v>1</v>
      </c>
      <c r="AO406" s="3">
        <v>1</v>
      </c>
      <c r="AP406" s="3">
        <v>1</v>
      </c>
      <c r="AQ406" s="3">
        <v>1</v>
      </c>
      <c r="AR406" s="3">
        <v>1</v>
      </c>
      <c r="AS406" s="3">
        <v>0</v>
      </c>
      <c r="AT406" s="3">
        <v>0</v>
      </c>
      <c r="AU406" s="3">
        <v>0</v>
      </c>
      <c r="AV406" s="3">
        <v>1</v>
      </c>
      <c r="AW406" s="3">
        <v>0</v>
      </c>
      <c r="AX406" s="3">
        <v>1</v>
      </c>
      <c r="AY406" s="3">
        <v>0</v>
      </c>
      <c r="AZ406" s="3">
        <v>0</v>
      </c>
      <c r="BA406" s="3">
        <v>0</v>
      </c>
      <c r="BB406" s="3">
        <v>0</v>
      </c>
      <c r="BC406" s="3">
        <v>1</v>
      </c>
      <c r="BD406" s="3">
        <v>0</v>
      </c>
      <c r="BE406" s="3">
        <v>0</v>
      </c>
      <c r="BG406" s="2" t="s">
        <v>91</v>
      </c>
      <c r="BH406" s="3">
        <v>3</v>
      </c>
      <c r="BJ406" s="2" t="s">
        <v>96</v>
      </c>
      <c r="BL406" s="2" t="s">
        <v>97</v>
      </c>
      <c r="BM406" s="2" t="s">
        <v>98</v>
      </c>
      <c r="BN406" s="2" t="s">
        <v>99</v>
      </c>
      <c r="BO406" s="2" t="s">
        <v>100</v>
      </c>
      <c r="BP406" s="2" t="s">
        <v>242</v>
      </c>
      <c r="BQ406" s="2" t="s">
        <v>102</v>
      </c>
      <c r="BR406" s="2" t="s">
        <v>103</v>
      </c>
      <c r="BS406" s="2" t="s">
        <v>127</v>
      </c>
      <c r="BT406" s="2" t="s">
        <v>1062</v>
      </c>
      <c r="BU406" s="2" t="s">
        <v>1063</v>
      </c>
      <c r="BV406" s="2" t="s">
        <v>150</v>
      </c>
      <c r="BW406" s="2" t="s">
        <v>151</v>
      </c>
      <c r="BX406" s="2" t="s">
        <v>91</v>
      </c>
      <c r="BY40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06" s="2">
        <f>IF(AND(Cases[[#This Row],[Priority Level]]&gt;=3,Cases[[#This Row],[System Role]]&lt;&gt;"Productive"),1,0)</f>
        <v>0</v>
      </c>
      <c r="CA406" s="2">
        <f>IFERROR(IF(Cases[[#This Row],[Days at Customer]]&gt;MAX(1,Cases[[#This Row],[Days at SAP]]*2),1,0),0)</f>
        <v>1</v>
      </c>
      <c r="CB406" s="2">
        <f>IF(AND(Cases[[#This Row],[Initial Component]]&lt;&gt;"",Cases[[#This Row],[Component]]&lt;&gt;"",Cases[[#This Row],[Initial Component]]&lt;&gt;Cases[[#This Row],[Component]]),1,0)</f>
        <v>0</v>
      </c>
      <c r="CC406" s="2">
        <f>IF(OR(Cases[[#This Row],[Is Reopened]]="X",Cases[[#This Row],[No. of Reopenings]]&gt;0),1,0)</f>
        <v>0</v>
      </c>
      <c r="CD406" s="2">
        <f>IF(Cases[[#This Row],[Confirmation Type]]="Automatic",1,0)</f>
        <v>1</v>
      </c>
      <c r="CE406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07" spans="1:83" x14ac:dyDescent="0.2">
      <c r="A407" s="1" t="s">
        <v>2413</v>
      </c>
      <c r="B407" s="2" t="s">
        <v>2414</v>
      </c>
      <c r="C407" s="2" t="s">
        <v>2415</v>
      </c>
      <c r="D407" s="2" t="s">
        <v>238</v>
      </c>
      <c r="E407" s="3">
        <v>29.06</v>
      </c>
      <c r="F407" s="3">
        <v>29.46</v>
      </c>
      <c r="G407" s="2" t="s">
        <v>190</v>
      </c>
      <c r="H407" s="2" t="s">
        <v>839</v>
      </c>
      <c r="I407" s="3" t="s">
        <v>114</v>
      </c>
      <c r="J407" s="3">
        <v>146</v>
      </c>
      <c r="K407" s="2" t="s">
        <v>2416</v>
      </c>
      <c r="L407" s="4">
        <v>46047</v>
      </c>
      <c r="M407" s="4">
        <v>46039</v>
      </c>
      <c r="N407" s="2" t="s">
        <v>1334</v>
      </c>
      <c r="O407" s="2" t="s">
        <v>181</v>
      </c>
      <c r="P407" s="2" t="s">
        <v>180</v>
      </c>
      <c r="Q407" s="2" t="s">
        <v>86</v>
      </c>
      <c r="R407" s="2" t="s">
        <v>2417</v>
      </c>
      <c r="S407" s="4">
        <v>45981</v>
      </c>
      <c r="T407" s="2" t="s">
        <v>2274</v>
      </c>
      <c r="U407" s="2" t="s">
        <v>1805</v>
      </c>
      <c r="V407" s="2" t="s">
        <v>2404</v>
      </c>
      <c r="W407" s="2" t="s">
        <v>1806</v>
      </c>
      <c r="X407" s="2" t="s">
        <v>117</v>
      </c>
      <c r="Y407" s="3" t="s">
        <v>118</v>
      </c>
      <c r="Z407" s="3">
        <v>58.52</v>
      </c>
      <c r="AA407" s="2" t="s">
        <v>138</v>
      </c>
      <c r="AB407" s="2" t="s">
        <v>478</v>
      </c>
      <c r="AC407" s="2" t="s">
        <v>479</v>
      </c>
      <c r="AD407" t="str" cm="1">
        <f t="array" ref="AD40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407" s="2" t="s">
        <v>139</v>
      </c>
      <c r="AF407" s="2" t="s">
        <v>92</v>
      </c>
      <c r="AG407" s="2" t="s">
        <v>140</v>
      </c>
      <c r="AH407" s="2" t="s">
        <v>141</v>
      </c>
      <c r="AJ407" s="2" t="s">
        <v>122</v>
      </c>
      <c r="AK407" s="2" t="s">
        <v>2418</v>
      </c>
      <c r="AN407" s="3">
        <v>1</v>
      </c>
      <c r="AO407" s="3">
        <v>1</v>
      </c>
      <c r="AP407" s="3">
        <v>1</v>
      </c>
      <c r="AQ407" s="3">
        <v>1</v>
      </c>
      <c r="AR407" s="3">
        <v>0</v>
      </c>
      <c r="AS407" s="3">
        <v>0</v>
      </c>
      <c r="AT407" s="3">
        <v>1</v>
      </c>
      <c r="AU407" s="3">
        <v>0</v>
      </c>
      <c r="AV407" s="3">
        <v>1</v>
      </c>
      <c r="AW407" s="3">
        <v>0</v>
      </c>
      <c r="AX407" s="3">
        <v>0</v>
      </c>
      <c r="AY407" s="3">
        <v>0</v>
      </c>
      <c r="AZ407" s="3">
        <v>1</v>
      </c>
      <c r="BA407" s="3">
        <v>0</v>
      </c>
      <c r="BB407" s="3">
        <v>0</v>
      </c>
      <c r="BC407" s="3">
        <v>1</v>
      </c>
      <c r="BD407" s="3">
        <v>2</v>
      </c>
      <c r="BE407" s="3">
        <v>0</v>
      </c>
      <c r="BG407" s="2" t="s">
        <v>139</v>
      </c>
      <c r="BH407" s="3">
        <v>2</v>
      </c>
      <c r="BJ407" s="2" t="s">
        <v>96</v>
      </c>
      <c r="BL407" s="2" t="s">
        <v>143</v>
      </c>
      <c r="BM407" s="2" t="s">
        <v>144</v>
      </c>
      <c r="BN407" s="2" t="s">
        <v>99</v>
      </c>
      <c r="BO407" s="2" t="s">
        <v>100</v>
      </c>
      <c r="BP407" s="2" t="s">
        <v>242</v>
      </c>
      <c r="BQ407" s="2" t="s">
        <v>145</v>
      </c>
      <c r="BR407" s="2" t="s">
        <v>146</v>
      </c>
      <c r="BS407" s="2" t="s">
        <v>147</v>
      </c>
      <c r="BT407" s="2" t="s">
        <v>148</v>
      </c>
      <c r="BU407" s="2" t="s">
        <v>149</v>
      </c>
      <c r="BV407" s="2" t="s">
        <v>150</v>
      </c>
      <c r="BW407" s="2" t="s">
        <v>151</v>
      </c>
      <c r="BX407" s="2" t="s">
        <v>139</v>
      </c>
      <c r="BY40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07" s="2">
        <f>IF(AND(Cases[[#This Row],[Priority Level]]&gt;=3,Cases[[#This Row],[System Role]]&lt;&gt;"Productive"),1,0)</f>
        <v>0</v>
      </c>
      <c r="CA407" s="2">
        <f>IFERROR(IF(Cases[[#This Row],[Days at Customer]]&gt;MAX(1,Cases[[#This Row],[Days at SAP]]*2),1,0),0)</f>
        <v>0</v>
      </c>
      <c r="CB407" s="2">
        <f>IF(AND(Cases[[#This Row],[Initial Component]]&lt;&gt;"",Cases[[#This Row],[Component]]&lt;&gt;"",Cases[[#This Row],[Initial Component]]&lt;&gt;Cases[[#This Row],[Component]]),1,0)</f>
        <v>1</v>
      </c>
      <c r="CC407" s="2">
        <f>IF(OR(Cases[[#This Row],[Is Reopened]]="X",Cases[[#This Row],[No. of Reopenings]]&gt;0),1,0)</f>
        <v>1</v>
      </c>
      <c r="CD407" s="2">
        <f>IF(Cases[[#This Row],[Confirmation Type]]="Automatic",1,0)</f>
        <v>1</v>
      </c>
      <c r="CE40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08" spans="1:83" x14ac:dyDescent="0.2">
      <c r="A408" s="1" t="s">
        <v>2419</v>
      </c>
      <c r="B408" s="2" t="s">
        <v>2420</v>
      </c>
      <c r="C408" s="2" t="s">
        <v>2421</v>
      </c>
      <c r="D408" s="2" t="s">
        <v>238</v>
      </c>
      <c r="E408" s="3">
        <v>0.28999999999999998</v>
      </c>
      <c r="F408" s="3">
        <v>21.43</v>
      </c>
      <c r="G408" s="2" t="s">
        <v>133</v>
      </c>
      <c r="H408" s="2" t="s">
        <v>892</v>
      </c>
      <c r="I408" s="3" t="s">
        <v>114</v>
      </c>
      <c r="J408" s="3">
        <v>147</v>
      </c>
      <c r="K408" s="2" t="s">
        <v>2422</v>
      </c>
      <c r="L408" s="4">
        <v>46009</v>
      </c>
      <c r="M408" s="4">
        <v>46002</v>
      </c>
      <c r="N408" s="2" t="s">
        <v>1804</v>
      </c>
      <c r="O408" s="2" t="s">
        <v>1805</v>
      </c>
      <c r="P408" s="2" t="s">
        <v>2037</v>
      </c>
      <c r="Q408" s="2" t="s">
        <v>1806</v>
      </c>
      <c r="R408" s="2" t="s">
        <v>2423</v>
      </c>
      <c r="S408" s="4">
        <v>45980</v>
      </c>
      <c r="T408" s="2" t="s">
        <v>2274</v>
      </c>
      <c r="U408" s="2" t="s">
        <v>1805</v>
      </c>
      <c r="V408" s="2" t="s">
        <v>2404</v>
      </c>
      <c r="W408" s="2" t="s">
        <v>1806</v>
      </c>
      <c r="X408" s="2" t="s">
        <v>117</v>
      </c>
      <c r="Y408" s="3" t="s">
        <v>118</v>
      </c>
      <c r="Z408" s="3">
        <v>21.73</v>
      </c>
      <c r="AA408" s="2" t="s">
        <v>90</v>
      </c>
      <c r="AB408" s="2" t="s">
        <v>2423</v>
      </c>
      <c r="AC408" s="2" t="s">
        <v>2421</v>
      </c>
      <c r="AD408" t="str" cm="1">
        <f t="array" ref="AD40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408" s="2" t="s">
        <v>139</v>
      </c>
      <c r="AF408" s="2" t="s">
        <v>92</v>
      </c>
      <c r="AG408" s="2" t="s">
        <v>119</v>
      </c>
      <c r="AH408" s="2" t="s">
        <v>120</v>
      </c>
      <c r="AK408" s="2" t="s">
        <v>2424</v>
      </c>
      <c r="AN408" s="3">
        <v>1</v>
      </c>
      <c r="AO408" s="3">
        <v>1</v>
      </c>
      <c r="AP408" s="3">
        <v>1</v>
      </c>
      <c r="AQ408" s="3">
        <v>1</v>
      </c>
      <c r="AR408" s="3">
        <v>0</v>
      </c>
      <c r="AS408" s="3">
        <v>0</v>
      </c>
      <c r="AT408" s="3">
        <v>1</v>
      </c>
      <c r="AU408" s="3">
        <v>0</v>
      </c>
      <c r="AV408" s="3">
        <v>1</v>
      </c>
      <c r="AW408" s="3">
        <v>0</v>
      </c>
      <c r="AX408" s="3">
        <v>0</v>
      </c>
      <c r="AY408" s="3">
        <v>0</v>
      </c>
      <c r="AZ408" s="3">
        <v>1</v>
      </c>
      <c r="BA408" s="3">
        <v>0</v>
      </c>
      <c r="BB408" s="3">
        <v>0</v>
      </c>
      <c r="BC408" s="3">
        <v>1</v>
      </c>
      <c r="BD408" s="3">
        <v>0</v>
      </c>
      <c r="BE408" s="3">
        <v>0</v>
      </c>
      <c r="BG408" s="2" t="s">
        <v>139</v>
      </c>
      <c r="BH408" s="3">
        <v>2</v>
      </c>
      <c r="BJ408" s="2" t="s">
        <v>96</v>
      </c>
      <c r="BL408" s="2" t="s">
        <v>123</v>
      </c>
      <c r="BM408" s="2" t="s">
        <v>123</v>
      </c>
      <c r="BN408" s="2" t="s">
        <v>124</v>
      </c>
      <c r="BO408" s="2" t="s">
        <v>125</v>
      </c>
      <c r="BP408" s="2" t="s">
        <v>242</v>
      </c>
      <c r="BQ408" s="2" t="s">
        <v>124</v>
      </c>
      <c r="BR408" s="2" t="s">
        <v>126</v>
      </c>
      <c r="BS408" s="2" t="s">
        <v>127</v>
      </c>
      <c r="BT408" s="2" t="s">
        <v>420</v>
      </c>
      <c r="BU408" s="2" t="s">
        <v>421</v>
      </c>
      <c r="BV408" s="2" t="s">
        <v>150</v>
      </c>
      <c r="BW408" s="2" t="s">
        <v>151</v>
      </c>
      <c r="BX408" s="2" t="s">
        <v>139</v>
      </c>
      <c r="BY40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08" s="2">
        <f>IF(AND(Cases[[#This Row],[Priority Level]]&gt;=3,Cases[[#This Row],[System Role]]&lt;&gt;"Productive"),1,0)</f>
        <v>0</v>
      </c>
      <c r="CA408" s="2">
        <f>IFERROR(IF(Cases[[#This Row],[Days at Customer]]&gt;MAX(1,Cases[[#This Row],[Days at SAP]]*2),1,0),0)</f>
        <v>1</v>
      </c>
      <c r="CB408" s="2">
        <f>IF(AND(Cases[[#This Row],[Initial Component]]&lt;&gt;"",Cases[[#This Row],[Component]]&lt;&gt;"",Cases[[#This Row],[Initial Component]]&lt;&gt;Cases[[#This Row],[Component]]),1,0)</f>
        <v>0</v>
      </c>
      <c r="CC408" s="2">
        <f>IF(OR(Cases[[#This Row],[Is Reopened]]="X",Cases[[#This Row],[No. of Reopenings]]&gt;0),1,0)</f>
        <v>0</v>
      </c>
      <c r="CD408" s="2">
        <f>IF(Cases[[#This Row],[Confirmation Type]]="Automatic",1,0)</f>
        <v>1</v>
      </c>
      <c r="CE40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09" spans="1:83" x14ac:dyDescent="0.2">
      <c r="A409" s="1" t="s">
        <v>2425</v>
      </c>
      <c r="B409" s="2" t="s">
        <v>2426</v>
      </c>
      <c r="C409" s="2" t="s">
        <v>189</v>
      </c>
      <c r="D409" s="2" t="s">
        <v>238</v>
      </c>
      <c r="E409" s="3">
        <v>12.41</v>
      </c>
      <c r="F409" s="3">
        <v>22.32</v>
      </c>
      <c r="G409" s="2" t="s">
        <v>79</v>
      </c>
      <c r="H409" s="2" t="s">
        <v>80</v>
      </c>
      <c r="I409" s="3" t="s">
        <v>114</v>
      </c>
      <c r="J409" s="3">
        <v>147</v>
      </c>
      <c r="K409" s="2" t="s">
        <v>2427</v>
      </c>
      <c r="L409" s="4">
        <v>46019</v>
      </c>
      <c r="M409" s="4">
        <v>46015</v>
      </c>
      <c r="N409" s="2" t="s">
        <v>1804</v>
      </c>
      <c r="O409" s="2" t="s">
        <v>1805</v>
      </c>
      <c r="P409" s="2" t="s">
        <v>1868</v>
      </c>
      <c r="Q409" s="2" t="s">
        <v>1806</v>
      </c>
      <c r="R409" s="2" t="s">
        <v>194</v>
      </c>
      <c r="S409" s="4">
        <v>45980</v>
      </c>
      <c r="T409" s="2" t="s">
        <v>2274</v>
      </c>
      <c r="U409" s="2" t="s">
        <v>1805</v>
      </c>
      <c r="V409" s="2" t="s">
        <v>2404</v>
      </c>
      <c r="W409" s="2" t="s">
        <v>1806</v>
      </c>
      <c r="X409" s="2" t="s">
        <v>117</v>
      </c>
      <c r="Y409" s="3" t="s">
        <v>118</v>
      </c>
      <c r="Z409" s="3">
        <v>34.72</v>
      </c>
      <c r="AA409" s="2" t="s">
        <v>90</v>
      </c>
      <c r="AB409" s="2" t="s">
        <v>408</v>
      </c>
      <c r="AC409" s="2" t="s">
        <v>406</v>
      </c>
      <c r="AD409" t="str" cm="1">
        <f t="array" ref="AD40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409" s="2" t="s">
        <v>139</v>
      </c>
      <c r="AF409" s="2" t="s">
        <v>92</v>
      </c>
      <c r="AG409" s="2" t="s">
        <v>119</v>
      </c>
      <c r="AH409" s="2" t="s">
        <v>120</v>
      </c>
      <c r="AK409" s="2" t="s">
        <v>2428</v>
      </c>
      <c r="AN409" s="3">
        <v>1</v>
      </c>
      <c r="AO409" s="3">
        <v>1</v>
      </c>
      <c r="AP409" s="3">
        <v>1</v>
      </c>
      <c r="AQ409" s="3">
        <v>1</v>
      </c>
      <c r="AR409" s="3">
        <v>1</v>
      </c>
      <c r="AS409" s="3">
        <v>0</v>
      </c>
      <c r="AT409" s="3">
        <v>0</v>
      </c>
      <c r="AU409" s="3">
        <v>0</v>
      </c>
      <c r="AV409" s="3">
        <v>1</v>
      </c>
      <c r="AW409" s="3">
        <v>0</v>
      </c>
      <c r="AX409" s="3">
        <v>1</v>
      </c>
      <c r="AY409" s="3">
        <v>0</v>
      </c>
      <c r="AZ409" s="3">
        <v>0</v>
      </c>
      <c r="BA409" s="3">
        <v>1</v>
      </c>
      <c r="BB409" s="3">
        <v>0</v>
      </c>
      <c r="BC409" s="3">
        <v>0</v>
      </c>
      <c r="BD409" s="3">
        <v>0</v>
      </c>
      <c r="BE409" s="3">
        <v>0</v>
      </c>
      <c r="BG409" s="2" t="s">
        <v>91</v>
      </c>
      <c r="BH409" s="3">
        <v>3</v>
      </c>
      <c r="BJ409" s="2" t="s">
        <v>96</v>
      </c>
      <c r="BL409" s="2" t="s">
        <v>123</v>
      </c>
      <c r="BM409" s="2" t="s">
        <v>123</v>
      </c>
      <c r="BN409" s="2" t="s">
        <v>124</v>
      </c>
      <c r="BO409" s="2" t="s">
        <v>125</v>
      </c>
      <c r="BP409" s="2" t="s">
        <v>242</v>
      </c>
      <c r="BQ409" s="2" t="s">
        <v>124</v>
      </c>
      <c r="BR409" s="2" t="s">
        <v>126</v>
      </c>
      <c r="BS409" s="2" t="s">
        <v>127</v>
      </c>
      <c r="BT409" s="2" t="s">
        <v>199</v>
      </c>
      <c r="BU409" s="2" t="s">
        <v>200</v>
      </c>
      <c r="BV409" s="2" t="s">
        <v>166</v>
      </c>
      <c r="BW409" s="2" t="s">
        <v>167</v>
      </c>
      <c r="BX409" s="2" t="s">
        <v>91</v>
      </c>
      <c r="BY40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09" s="2">
        <f>IF(AND(Cases[[#This Row],[Priority Level]]&gt;=3,Cases[[#This Row],[System Role]]&lt;&gt;"Productive"),1,0)</f>
        <v>1</v>
      </c>
      <c r="CA409" s="2">
        <f>IFERROR(IF(Cases[[#This Row],[Days at Customer]]&gt;MAX(1,Cases[[#This Row],[Days at SAP]]*2),1,0),0)</f>
        <v>0</v>
      </c>
      <c r="CB409" s="2">
        <f>IF(AND(Cases[[#This Row],[Initial Component]]&lt;&gt;"",Cases[[#This Row],[Component]]&lt;&gt;"",Cases[[#This Row],[Initial Component]]&lt;&gt;Cases[[#This Row],[Component]]),1,0)</f>
        <v>1</v>
      </c>
      <c r="CC409" s="2">
        <f>IF(OR(Cases[[#This Row],[Is Reopened]]="X",Cases[[#This Row],[No. of Reopenings]]&gt;0),1,0)</f>
        <v>0</v>
      </c>
      <c r="CD409" s="2">
        <f>IF(Cases[[#This Row],[Confirmation Type]]="Automatic",1,0)</f>
        <v>1</v>
      </c>
      <c r="CE409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10" spans="1:83" x14ac:dyDescent="0.2">
      <c r="A410" s="1" t="s">
        <v>2429</v>
      </c>
      <c r="B410" s="2" t="s">
        <v>2430</v>
      </c>
      <c r="C410" s="2" t="s">
        <v>2431</v>
      </c>
      <c r="D410" s="2" t="s">
        <v>238</v>
      </c>
      <c r="E410" s="3">
        <v>0</v>
      </c>
      <c r="F410" s="3">
        <v>21.31</v>
      </c>
      <c r="G410" s="2" t="s">
        <v>79</v>
      </c>
      <c r="H410" s="2" t="s">
        <v>178</v>
      </c>
      <c r="I410" s="3" t="s">
        <v>114</v>
      </c>
      <c r="J410" s="3">
        <v>148</v>
      </c>
      <c r="K410" s="2" t="s">
        <v>2432</v>
      </c>
      <c r="L410" s="4">
        <v>46009</v>
      </c>
      <c r="M410" s="4">
        <v>46001</v>
      </c>
      <c r="N410" s="2" t="s">
        <v>1804</v>
      </c>
      <c r="O410" s="2" t="s">
        <v>1805</v>
      </c>
      <c r="P410" s="2" t="s">
        <v>2037</v>
      </c>
      <c r="Q410" s="2" t="s">
        <v>1806</v>
      </c>
      <c r="R410" s="2" t="s">
        <v>2433</v>
      </c>
      <c r="S410" s="4">
        <v>45979</v>
      </c>
      <c r="T410" s="2" t="s">
        <v>2274</v>
      </c>
      <c r="U410" s="2" t="s">
        <v>1805</v>
      </c>
      <c r="V410" s="2" t="s">
        <v>2404</v>
      </c>
      <c r="W410" s="2" t="s">
        <v>1806</v>
      </c>
      <c r="X410" s="2" t="s">
        <v>117</v>
      </c>
      <c r="Y410" s="3" t="s">
        <v>118</v>
      </c>
      <c r="Z410" s="3">
        <v>21.31</v>
      </c>
      <c r="AA410" s="2" t="s">
        <v>90</v>
      </c>
      <c r="AB410" s="2" t="s">
        <v>2433</v>
      </c>
      <c r="AC410" s="2" t="s">
        <v>2431</v>
      </c>
      <c r="AD410" t="str" cm="1">
        <f t="array" ref="AD41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410" s="2" t="s">
        <v>139</v>
      </c>
      <c r="AF410" s="2" t="s">
        <v>92</v>
      </c>
      <c r="AG410" s="2" t="s">
        <v>119</v>
      </c>
      <c r="AH410" s="2" t="s">
        <v>120</v>
      </c>
      <c r="AK410" s="2" t="s">
        <v>2434</v>
      </c>
      <c r="AN410" s="3">
        <v>1</v>
      </c>
      <c r="AO410" s="3">
        <v>1</v>
      </c>
      <c r="AP410" s="3">
        <v>1</v>
      </c>
      <c r="AQ410" s="3">
        <v>1</v>
      </c>
      <c r="AR410" s="3">
        <v>0</v>
      </c>
      <c r="AS410" s="3">
        <v>0</v>
      </c>
      <c r="AT410" s="3">
        <v>1</v>
      </c>
      <c r="AU410" s="3">
        <v>0</v>
      </c>
      <c r="AV410" s="3">
        <v>1</v>
      </c>
      <c r="AW410" s="3">
        <v>0</v>
      </c>
      <c r="AX410" s="3">
        <v>0</v>
      </c>
      <c r="AY410" s="3">
        <v>0</v>
      </c>
      <c r="AZ410" s="3">
        <v>1</v>
      </c>
      <c r="BA410" s="3">
        <v>0</v>
      </c>
      <c r="BB410" s="3">
        <v>0</v>
      </c>
      <c r="BC410" s="3">
        <v>1</v>
      </c>
      <c r="BD410" s="3">
        <v>0</v>
      </c>
      <c r="BE410" s="3">
        <v>0</v>
      </c>
      <c r="BG410" s="2" t="s">
        <v>139</v>
      </c>
      <c r="BH410" s="3">
        <v>2</v>
      </c>
      <c r="BJ410" s="2" t="s">
        <v>96</v>
      </c>
      <c r="BL410" s="2" t="s">
        <v>123</v>
      </c>
      <c r="BM410" s="2" t="s">
        <v>123</v>
      </c>
      <c r="BN410" s="2" t="s">
        <v>124</v>
      </c>
      <c r="BO410" s="2" t="s">
        <v>125</v>
      </c>
      <c r="BP410" s="2" t="s">
        <v>242</v>
      </c>
      <c r="BQ410" s="2" t="s">
        <v>124</v>
      </c>
      <c r="BR410" s="2" t="s">
        <v>126</v>
      </c>
      <c r="BS410" s="2" t="s">
        <v>127</v>
      </c>
      <c r="BT410" s="2" t="s">
        <v>207</v>
      </c>
      <c r="BU410" s="2" t="s">
        <v>208</v>
      </c>
      <c r="BV410" s="2" t="s">
        <v>150</v>
      </c>
      <c r="BW410" s="2" t="s">
        <v>151</v>
      </c>
      <c r="BX410" s="2" t="s">
        <v>139</v>
      </c>
      <c r="BY41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10" s="2">
        <f>IF(AND(Cases[[#This Row],[Priority Level]]&gt;=3,Cases[[#This Row],[System Role]]&lt;&gt;"Productive"),1,0)</f>
        <v>0</v>
      </c>
      <c r="CA410" s="2">
        <f>IFERROR(IF(Cases[[#This Row],[Days at Customer]]&gt;MAX(1,Cases[[#This Row],[Days at SAP]]*2),1,0),0)</f>
        <v>1</v>
      </c>
      <c r="CB410" s="2">
        <f>IF(AND(Cases[[#This Row],[Initial Component]]&lt;&gt;"",Cases[[#This Row],[Component]]&lt;&gt;"",Cases[[#This Row],[Initial Component]]&lt;&gt;Cases[[#This Row],[Component]]),1,0)</f>
        <v>0</v>
      </c>
      <c r="CC410" s="2">
        <f>IF(OR(Cases[[#This Row],[Is Reopened]]="X",Cases[[#This Row],[No. of Reopenings]]&gt;0),1,0)</f>
        <v>0</v>
      </c>
      <c r="CD410" s="2">
        <f>IF(Cases[[#This Row],[Confirmation Type]]="Automatic",1,0)</f>
        <v>1</v>
      </c>
      <c r="CE41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11" spans="1:83" x14ac:dyDescent="0.2">
      <c r="A411" s="1" t="s">
        <v>2016</v>
      </c>
      <c r="B411" s="2" t="s">
        <v>2017</v>
      </c>
      <c r="C411" s="2" t="s">
        <v>111</v>
      </c>
      <c r="D411" s="2" t="s">
        <v>78</v>
      </c>
      <c r="E411" s="3">
        <v>0</v>
      </c>
      <c r="F411" s="3">
        <v>22.57</v>
      </c>
      <c r="G411" s="2" t="s">
        <v>112</v>
      </c>
      <c r="H411" s="2" t="s">
        <v>113</v>
      </c>
      <c r="I411" s="3" t="s">
        <v>114</v>
      </c>
      <c r="J411" s="3">
        <v>121</v>
      </c>
      <c r="K411" s="2" t="s">
        <v>2018</v>
      </c>
      <c r="L411" s="4">
        <v>46061</v>
      </c>
      <c r="M411" s="4">
        <v>46055</v>
      </c>
      <c r="N411" s="2" t="s">
        <v>677</v>
      </c>
      <c r="O411" s="2" t="s">
        <v>181</v>
      </c>
      <c r="P411" s="2" t="s">
        <v>1165</v>
      </c>
      <c r="Q411" s="2" t="s">
        <v>86</v>
      </c>
      <c r="R411" s="2" t="s">
        <v>116</v>
      </c>
      <c r="S411" s="4">
        <v>46006</v>
      </c>
      <c r="T411" s="2" t="s">
        <v>1804</v>
      </c>
      <c r="U411" s="2" t="s">
        <v>1805</v>
      </c>
      <c r="V411" s="2" t="s">
        <v>1930</v>
      </c>
      <c r="W411" s="2" t="s">
        <v>1806</v>
      </c>
      <c r="X411" s="2" t="s">
        <v>117</v>
      </c>
      <c r="Y411" s="3" t="s">
        <v>118</v>
      </c>
      <c r="Z411" s="3">
        <v>22.57</v>
      </c>
      <c r="AA411" s="2" t="s">
        <v>90</v>
      </c>
      <c r="AB411" s="2" t="s">
        <v>116</v>
      </c>
      <c r="AC411" s="2" t="s">
        <v>111</v>
      </c>
      <c r="AD411" t="str" cm="1">
        <f t="array" ref="AD41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411" s="2" t="s">
        <v>139</v>
      </c>
      <c r="AF411" s="2" t="s">
        <v>92</v>
      </c>
      <c r="AG411" s="2" t="s">
        <v>119</v>
      </c>
      <c r="AH411" s="2" t="s">
        <v>120</v>
      </c>
      <c r="AK411" s="2" t="s">
        <v>2019</v>
      </c>
      <c r="AN411" s="3">
        <v>1</v>
      </c>
      <c r="AO411" s="3">
        <v>1</v>
      </c>
      <c r="AP411" s="3">
        <v>1</v>
      </c>
      <c r="AQ411" s="3">
        <v>1</v>
      </c>
      <c r="AR411" s="3">
        <v>1</v>
      </c>
      <c r="AS411" s="3">
        <v>0</v>
      </c>
      <c r="AT411" s="3">
        <v>0</v>
      </c>
      <c r="AU411" s="3">
        <v>0</v>
      </c>
      <c r="AV411" s="3">
        <v>0</v>
      </c>
      <c r="AW411" s="3">
        <v>1</v>
      </c>
      <c r="AX411" s="3">
        <v>1</v>
      </c>
      <c r="AY411" s="3">
        <v>0</v>
      </c>
      <c r="AZ411" s="3">
        <v>0</v>
      </c>
      <c r="BA411" s="3">
        <v>0</v>
      </c>
      <c r="BB411" s="3">
        <v>0</v>
      </c>
      <c r="BC411" s="3">
        <v>1</v>
      </c>
      <c r="BD411" s="3">
        <v>0</v>
      </c>
      <c r="BE411" s="3">
        <v>0</v>
      </c>
      <c r="BG411" s="2" t="s">
        <v>91</v>
      </c>
      <c r="BH411" s="3">
        <v>3</v>
      </c>
      <c r="BI411" s="2" t="s">
        <v>122</v>
      </c>
      <c r="BJ411" s="2" t="s">
        <v>96</v>
      </c>
      <c r="BL411" s="2" t="s">
        <v>123</v>
      </c>
      <c r="BM411" s="2" t="s">
        <v>123</v>
      </c>
      <c r="BN411" s="2" t="s">
        <v>124</v>
      </c>
      <c r="BO411" s="2" t="s">
        <v>125</v>
      </c>
      <c r="BP411" s="2" t="s">
        <v>101</v>
      </c>
      <c r="BQ411" s="2" t="s">
        <v>124</v>
      </c>
      <c r="BR411" s="2" t="s">
        <v>126</v>
      </c>
      <c r="BS411" s="2" t="s">
        <v>127</v>
      </c>
      <c r="BT411" s="2" t="s">
        <v>207</v>
      </c>
      <c r="BU411" s="2" t="s">
        <v>208</v>
      </c>
      <c r="BV411" s="2" t="s">
        <v>150</v>
      </c>
      <c r="BW411" s="2" t="s">
        <v>151</v>
      </c>
      <c r="BX411" s="2" t="s">
        <v>91</v>
      </c>
      <c r="BY41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11" s="2">
        <f>IF(AND(Cases[[#This Row],[Priority Level]]&gt;=3,Cases[[#This Row],[System Role]]&lt;&gt;"Productive"),1,0)</f>
        <v>0</v>
      </c>
      <c r="CA411" s="2">
        <f>IFERROR(IF(Cases[[#This Row],[Days at Customer]]&gt;MAX(1,Cases[[#This Row],[Days at SAP]]*2),1,0),0)</f>
        <v>1</v>
      </c>
      <c r="CB411" s="2">
        <f>IF(AND(Cases[[#This Row],[Initial Component]]&lt;&gt;"",Cases[[#This Row],[Component]]&lt;&gt;"",Cases[[#This Row],[Initial Component]]&lt;&gt;Cases[[#This Row],[Component]]),1,0)</f>
        <v>0</v>
      </c>
      <c r="CC411" s="2">
        <f>IF(OR(Cases[[#This Row],[Is Reopened]]="X",Cases[[#This Row],[No. of Reopenings]]&gt;0),1,0)</f>
        <v>0</v>
      </c>
      <c r="CD411" s="2">
        <f>IF(Cases[[#This Row],[Confirmation Type]]="Automatic",1,0)</f>
        <v>0</v>
      </c>
      <c r="CE411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12" spans="1:83" x14ac:dyDescent="0.2">
      <c r="A412" s="1" t="s">
        <v>2034</v>
      </c>
      <c r="B412" s="2" t="s">
        <v>2035</v>
      </c>
      <c r="C412" s="2" t="s">
        <v>111</v>
      </c>
      <c r="D412" s="2" t="s">
        <v>238</v>
      </c>
      <c r="E412" s="3">
        <v>0</v>
      </c>
      <c r="F412" s="3">
        <v>21.38</v>
      </c>
      <c r="G412" s="2" t="s">
        <v>112</v>
      </c>
      <c r="H412" s="2" t="s">
        <v>113</v>
      </c>
      <c r="I412" s="3" t="s">
        <v>114</v>
      </c>
      <c r="J412" s="3">
        <v>124</v>
      </c>
      <c r="K412" s="2" t="s">
        <v>2036</v>
      </c>
      <c r="L412" s="4">
        <v>46061</v>
      </c>
      <c r="M412" s="4">
        <v>46057</v>
      </c>
      <c r="N412" s="2" t="s">
        <v>677</v>
      </c>
      <c r="O412" s="2" t="s">
        <v>181</v>
      </c>
      <c r="P412" s="2" t="s">
        <v>1165</v>
      </c>
      <c r="Q412" s="2" t="s">
        <v>86</v>
      </c>
      <c r="R412" s="2" t="s">
        <v>116</v>
      </c>
      <c r="S412" s="4">
        <v>46003</v>
      </c>
      <c r="T412" s="2" t="s">
        <v>1804</v>
      </c>
      <c r="U412" s="2" t="s">
        <v>1805</v>
      </c>
      <c r="V412" s="2" t="s">
        <v>2037</v>
      </c>
      <c r="W412" s="2" t="s">
        <v>1806</v>
      </c>
      <c r="X412" s="2" t="s">
        <v>117</v>
      </c>
      <c r="Y412" s="3" t="s">
        <v>118</v>
      </c>
      <c r="Z412" s="3">
        <v>21.38</v>
      </c>
      <c r="AA412" s="2" t="s">
        <v>90</v>
      </c>
      <c r="AB412" s="2" t="s">
        <v>116</v>
      </c>
      <c r="AC412" s="2" t="s">
        <v>111</v>
      </c>
      <c r="AD412" t="str" cm="1">
        <f t="array" ref="AD41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412" s="2" t="s">
        <v>139</v>
      </c>
      <c r="AF412" s="2" t="s">
        <v>92</v>
      </c>
      <c r="AG412" s="2" t="s">
        <v>119</v>
      </c>
      <c r="AH412" s="2" t="s">
        <v>120</v>
      </c>
      <c r="AK412" s="2" t="s">
        <v>2038</v>
      </c>
      <c r="AN412" s="3">
        <v>1</v>
      </c>
      <c r="AO412" s="3">
        <v>1</v>
      </c>
      <c r="AP412" s="3">
        <v>1</v>
      </c>
      <c r="AQ412" s="3">
        <v>1</v>
      </c>
      <c r="AR412" s="3">
        <v>0</v>
      </c>
      <c r="AS412" s="3">
        <v>0</v>
      </c>
      <c r="AT412" s="3">
        <v>1</v>
      </c>
      <c r="AU412" s="3">
        <v>0</v>
      </c>
      <c r="AV412" s="3">
        <v>1</v>
      </c>
      <c r="AW412" s="3">
        <v>0</v>
      </c>
      <c r="AX412" s="3">
        <v>0</v>
      </c>
      <c r="AY412" s="3">
        <v>0</v>
      </c>
      <c r="AZ412" s="3">
        <v>1</v>
      </c>
      <c r="BA412" s="3">
        <v>1</v>
      </c>
      <c r="BB412" s="3">
        <v>0</v>
      </c>
      <c r="BC412" s="3">
        <v>0</v>
      </c>
      <c r="BD412" s="3">
        <v>0</v>
      </c>
      <c r="BE412" s="3">
        <v>0</v>
      </c>
      <c r="BG412" s="2" t="s">
        <v>139</v>
      </c>
      <c r="BH412" s="3">
        <v>2</v>
      </c>
      <c r="BI412" s="2" t="s">
        <v>122</v>
      </c>
      <c r="BJ412" s="2" t="s">
        <v>96</v>
      </c>
      <c r="BL412" s="2" t="s">
        <v>123</v>
      </c>
      <c r="BM412" s="2" t="s">
        <v>123</v>
      </c>
      <c r="BN412" s="2" t="s">
        <v>124</v>
      </c>
      <c r="BO412" s="2" t="s">
        <v>125</v>
      </c>
      <c r="BP412" s="2" t="s">
        <v>242</v>
      </c>
      <c r="BQ412" s="2" t="s">
        <v>124</v>
      </c>
      <c r="BR412" s="2" t="s">
        <v>126</v>
      </c>
      <c r="BS412" s="2" t="s">
        <v>127</v>
      </c>
      <c r="BT412" s="2" t="s">
        <v>128</v>
      </c>
      <c r="BU412" s="2" t="s">
        <v>129</v>
      </c>
      <c r="BV412" s="2" t="s">
        <v>107</v>
      </c>
      <c r="BW412" s="2" t="s">
        <v>108</v>
      </c>
      <c r="BX412" s="2" t="s">
        <v>139</v>
      </c>
      <c r="BY41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12" s="2">
        <f>IF(AND(Cases[[#This Row],[Priority Level]]&gt;=3,Cases[[#This Row],[System Role]]&lt;&gt;"Productive"),1,0)</f>
        <v>0</v>
      </c>
      <c r="CA412" s="2">
        <f>IFERROR(IF(Cases[[#This Row],[Days at Customer]]&gt;MAX(1,Cases[[#This Row],[Days at SAP]]*2),1,0),0)</f>
        <v>1</v>
      </c>
      <c r="CB412" s="2">
        <f>IF(AND(Cases[[#This Row],[Initial Component]]&lt;&gt;"",Cases[[#This Row],[Component]]&lt;&gt;"",Cases[[#This Row],[Initial Component]]&lt;&gt;Cases[[#This Row],[Component]]),1,0)</f>
        <v>0</v>
      </c>
      <c r="CC412" s="2">
        <f>IF(OR(Cases[[#This Row],[Is Reopened]]="X",Cases[[#This Row],[No. of Reopenings]]&gt;0),1,0)</f>
        <v>0</v>
      </c>
      <c r="CD412" s="2">
        <f>IF(Cases[[#This Row],[Confirmation Type]]="Automatic",1,0)</f>
        <v>1</v>
      </c>
      <c r="CE412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13" spans="1:83" x14ac:dyDescent="0.2">
      <c r="A413" s="1" t="s">
        <v>2361</v>
      </c>
      <c r="B413" s="2" t="s">
        <v>2362</v>
      </c>
      <c r="C413" s="2" t="s">
        <v>2363</v>
      </c>
      <c r="D413" s="2" t="s">
        <v>238</v>
      </c>
      <c r="E413" s="3">
        <v>15.1</v>
      </c>
      <c r="F413" s="3">
        <v>55.36</v>
      </c>
      <c r="G413" s="2" t="s">
        <v>79</v>
      </c>
      <c r="H413" s="2" t="s">
        <v>178</v>
      </c>
      <c r="I413" s="3" t="s">
        <v>114</v>
      </c>
      <c r="J413" s="3">
        <v>141</v>
      </c>
      <c r="K413" s="2" t="s">
        <v>2364</v>
      </c>
      <c r="L413" s="4">
        <v>46061</v>
      </c>
      <c r="M413" s="4">
        <v>46057</v>
      </c>
      <c r="N413" s="2" t="s">
        <v>677</v>
      </c>
      <c r="O413" s="2" t="s">
        <v>181</v>
      </c>
      <c r="P413" s="2" t="s">
        <v>1165</v>
      </c>
      <c r="Q413" s="2" t="s">
        <v>86</v>
      </c>
      <c r="R413" s="2" t="s">
        <v>2365</v>
      </c>
      <c r="S413" s="4">
        <v>45986</v>
      </c>
      <c r="T413" s="2" t="s">
        <v>2274</v>
      </c>
      <c r="U413" s="2" t="s">
        <v>1805</v>
      </c>
      <c r="V413" s="2" t="s">
        <v>2275</v>
      </c>
      <c r="W413" s="2" t="s">
        <v>1806</v>
      </c>
      <c r="X413" s="2" t="s">
        <v>117</v>
      </c>
      <c r="Y413" s="3" t="s">
        <v>118</v>
      </c>
      <c r="Z413" s="3">
        <v>70.459999999999994</v>
      </c>
      <c r="AA413" s="2" t="s">
        <v>90</v>
      </c>
      <c r="AB413" s="2" t="s">
        <v>2365</v>
      </c>
      <c r="AC413" s="2" t="s">
        <v>2363</v>
      </c>
      <c r="AD413" t="str" cm="1">
        <f t="array" ref="AD41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Others</v>
      </c>
      <c r="AE413" s="2" t="s">
        <v>139</v>
      </c>
      <c r="AF413" s="2" t="s">
        <v>92</v>
      </c>
      <c r="AG413" s="2" t="s">
        <v>527</v>
      </c>
      <c r="AH413" s="2" t="s">
        <v>528</v>
      </c>
      <c r="AK413" s="2" t="s">
        <v>2366</v>
      </c>
      <c r="AN413" s="3">
        <v>1</v>
      </c>
      <c r="AO413" s="3">
        <v>1</v>
      </c>
      <c r="AP413" s="3">
        <v>1</v>
      </c>
      <c r="AQ413" s="3">
        <v>1</v>
      </c>
      <c r="AR413" s="3">
        <v>0</v>
      </c>
      <c r="AS413" s="3">
        <v>0</v>
      </c>
      <c r="AT413" s="3">
        <v>1</v>
      </c>
      <c r="AU413" s="3">
        <v>0</v>
      </c>
      <c r="AV413" s="3">
        <v>1</v>
      </c>
      <c r="AW413" s="3">
        <v>0</v>
      </c>
      <c r="AX413" s="3">
        <v>0</v>
      </c>
      <c r="AY413" s="3">
        <v>0</v>
      </c>
      <c r="AZ413" s="3">
        <v>1</v>
      </c>
      <c r="BA413" s="3">
        <v>0</v>
      </c>
      <c r="BB413" s="3">
        <v>0</v>
      </c>
      <c r="BC413" s="3">
        <v>1</v>
      </c>
      <c r="BD413" s="3">
        <v>0</v>
      </c>
      <c r="BE413" s="3">
        <v>0</v>
      </c>
      <c r="BG413" s="2" t="s">
        <v>139</v>
      </c>
      <c r="BH413" s="3">
        <v>2</v>
      </c>
      <c r="BJ413" s="2" t="s">
        <v>96</v>
      </c>
      <c r="BL413" s="2" t="s">
        <v>184</v>
      </c>
      <c r="BM413" s="2" t="s">
        <v>184</v>
      </c>
      <c r="BN413" s="2" t="s">
        <v>124</v>
      </c>
      <c r="BO413" s="2" t="s">
        <v>125</v>
      </c>
      <c r="BP413" s="2" t="s">
        <v>242</v>
      </c>
      <c r="BQ413" s="2" t="s">
        <v>124</v>
      </c>
      <c r="BR413" s="2" t="s">
        <v>126</v>
      </c>
      <c r="BS413" s="2" t="s">
        <v>127</v>
      </c>
      <c r="BT413" s="2" t="s">
        <v>185</v>
      </c>
      <c r="BU413" s="2" t="s">
        <v>530</v>
      </c>
      <c r="BV413" s="2" t="s">
        <v>150</v>
      </c>
      <c r="BW413" s="2" t="s">
        <v>151</v>
      </c>
      <c r="BX413" s="2" t="s">
        <v>139</v>
      </c>
      <c r="BY41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13" s="2">
        <f>IF(AND(Cases[[#This Row],[Priority Level]]&gt;=3,Cases[[#This Row],[System Role]]&lt;&gt;"Productive"),1,0)</f>
        <v>0</v>
      </c>
      <c r="CA413" s="2">
        <f>IFERROR(IF(Cases[[#This Row],[Days at Customer]]&gt;MAX(1,Cases[[#This Row],[Days at SAP]]*2),1,0),0)</f>
        <v>1</v>
      </c>
      <c r="CB413" s="2">
        <f>IF(AND(Cases[[#This Row],[Initial Component]]&lt;&gt;"",Cases[[#This Row],[Component]]&lt;&gt;"",Cases[[#This Row],[Initial Component]]&lt;&gt;Cases[[#This Row],[Component]]),1,0)</f>
        <v>0</v>
      </c>
      <c r="CC413" s="2">
        <f>IF(OR(Cases[[#This Row],[Is Reopened]]="X",Cases[[#This Row],[No. of Reopenings]]&gt;0),1,0)</f>
        <v>0</v>
      </c>
      <c r="CD413" s="2">
        <f>IF(Cases[[#This Row],[Confirmation Type]]="Automatic",1,0)</f>
        <v>1</v>
      </c>
      <c r="CE413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14" spans="1:83" x14ac:dyDescent="0.2">
      <c r="A414" s="1" t="s">
        <v>2447</v>
      </c>
      <c r="B414" s="2" t="s">
        <v>2448</v>
      </c>
      <c r="C414" s="2" t="s">
        <v>2449</v>
      </c>
      <c r="D414" s="2" t="s">
        <v>238</v>
      </c>
      <c r="E414" s="3">
        <v>9.68</v>
      </c>
      <c r="F414" s="3">
        <v>34.549999999999997</v>
      </c>
      <c r="G414" s="2" t="s">
        <v>79</v>
      </c>
      <c r="H414" s="2" t="s">
        <v>178</v>
      </c>
      <c r="I414" s="3" t="s">
        <v>114</v>
      </c>
      <c r="J414" s="3">
        <v>148</v>
      </c>
      <c r="K414" s="2" t="s">
        <v>2450</v>
      </c>
      <c r="L414" s="4">
        <v>46026</v>
      </c>
      <c r="M414" s="4">
        <v>46024</v>
      </c>
      <c r="N414" s="2" t="s">
        <v>1334</v>
      </c>
      <c r="O414" s="2" t="s">
        <v>181</v>
      </c>
      <c r="P414" s="2" t="s">
        <v>1334</v>
      </c>
      <c r="Q414" s="2" t="s">
        <v>86</v>
      </c>
      <c r="R414" s="2" t="s">
        <v>2451</v>
      </c>
      <c r="S414" s="4">
        <v>45979</v>
      </c>
      <c r="T414" s="2" t="s">
        <v>2274</v>
      </c>
      <c r="U414" s="2" t="s">
        <v>1805</v>
      </c>
      <c r="V414" s="2" t="s">
        <v>2404</v>
      </c>
      <c r="W414" s="2" t="s">
        <v>1806</v>
      </c>
      <c r="X414" s="2" t="s">
        <v>117</v>
      </c>
      <c r="Y414" s="3" t="s">
        <v>118</v>
      </c>
      <c r="Z414" s="3">
        <v>44.23</v>
      </c>
      <c r="AA414" s="2" t="s">
        <v>90</v>
      </c>
      <c r="AB414" s="2" t="s">
        <v>997</v>
      </c>
      <c r="AC414" s="2" t="s">
        <v>994</v>
      </c>
      <c r="AD414" t="str" cm="1">
        <f t="array" ref="AD41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414" s="2" t="s">
        <v>91</v>
      </c>
      <c r="AF414" s="2" t="s">
        <v>92</v>
      </c>
      <c r="AG414" s="2" t="s">
        <v>119</v>
      </c>
      <c r="AH414" s="2" t="s">
        <v>120</v>
      </c>
      <c r="AK414" s="2" t="s">
        <v>2452</v>
      </c>
      <c r="AN414" s="3">
        <v>1</v>
      </c>
      <c r="AO414" s="3">
        <v>1</v>
      </c>
      <c r="AP414" s="3">
        <v>1</v>
      </c>
      <c r="AQ414" s="3">
        <v>1</v>
      </c>
      <c r="AR414" s="3">
        <v>1</v>
      </c>
      <c r="AS414" s="3">
        <v>0</v>
      </c>
      <c r="AT414" s="3">
        <v>0</v>
      </c>
      <c r="AU414" s="3">
        <v>0</v>
      </c>
      <c r="AV414" s="3">
        <v>1</v>
      </c>
      <c r="AW414" s="3">
        <v>0</v>
      </c>
      <c r="AX414" s="3">
        <v>1</v>
      </c>
      <c r="AY414" s="3">
        <v>0</v>
      </c>
      <c r="AZ414" s="3">
        <v>0</v>
      </c>
      <c r="BA414" s="3">
        <v>0</v>
      </c>
      <c r="BB414" s="3">
        <v>0</v>
      </c>
      <c r="BC414" s="3">
        <v>1</v>
      </c>
      <c r="BD414" s="3">
        <v>0</v>
      </c>
      <c r="BE414" s="3">
        <v>0</v>
      </c>
      <c r="BG414" s="2" t="s">
        <v>91</v>
      </c>
      <c r="BH414" s="3">
        <v>3</v>
      </c>
      <c r="BJ414" s="2" t="s">
        <v>96</v>
      </c>
      <c r="BL414" s="2" t="s">
        <v>382</v>
      </c>
      <c r="BM414" s="2" t="s">
        <v>382</v>
      </c>
      <c r="BN414" s="2" t="s">
        <v>99</v>
      </c>
      <c r="BO414" s="2" t="s">
        <v>100</v>
      </c>
      <c r="BP414" s="2" t="s">
        <v>242</v>
      </c>
      <c r="BQ414" s="2" t="s">
        <v>383</v>
      </c>
      <c r="BR414" s="2" t="s">
        <v>384</v>
      </c>
      <c r="BS414" s="2" t="s">
        <v>127</v>
      </c>
      <c r="BT414" s="2" t="s">
        <v>1000</v>
      </c>
      <c r="BU414" s="2" t="s">
        <v>1001</v>
      </c>
      <c r="BV414" s="2" t="s">
        <v>150</v>
      </c>
      <c r="BW414" s="2" t="s">
        <v>151</v>
      </c>
      <c r="BX414" s="2" t="s">
        <v>91</v>
      </c>
      <c r="BY41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14" s="2">
        <f>IF(AND(Cases[[#This Row],[Priority Level]]&gt;=3,Cases[[#This Row],[System Role]]&lt;&gt;"Productive"),1,0)</f>
        <v>0</v>
      </c>
      <c r="CA414" s="2">
        <f>IFERROR(IF(Cases[[#This Row],[Days at Customer]]&gt;MAX(1,Cases[[#This Row],[Days at SAP]]*2),1,0),0)</f>
        <v>1</v>
      </c>
      <c r="CB414" s="2">
        <f>IF(AND(Cases[[#This Row],[Initial Component]]&lt;&gt;"",Cases[[#This Row],[Component]]&lt;&gt;"",Cases[[#This Row],[Initial Component]]&lt;&gt;Cases[[#This Row],[Component]]),1,0)</f>
        <v>1</v>
      </c>
      <c r="CC414" s="2">
        <f>IF(OR(Cases[[#This Row],[Is Reopened]]="X",Cases[[#This Row],[No. of Reopenings]]&gt;0),1,0)</f>
        <v>0</v>
      </c>
      <c r="CD414" s="2">
        <f>IF(Cases[[#This Row],[Confirmation Type]]="Automatic",1,0)</f>
        <v>1</v>
      </c>
      <c r="CE414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415" spans="1:83" x14ac:dyDescent="0.2">
      <c r="A415" s="1" t="s">
        <v>2453</v>
      </c>
      <c r="B415" s="2" t="s">
        <v>2454</v>
      </c>
      <c r="C415" s="2" t="s">
        <v>2455</v>
      </c>
      <c r="D415" s="2" t="s">
        <v>78</v>
      </c>
      <c r="E415" s="3">
        <v>13.53</v>
      </c>
      <c r="F415" s="3">
        <v>0.51</v>
      </c>
      <c r="G415" s="2" t="s">
        <v>79</v>
      </c>
      <c r="H415" s="2" t="s">
        <v>80</v>
      </c>
      <c r="I415" s="3" t="s">
        <v>114</v>
      </c>
      <c r="J415" s="3">
        <v>149</v>
      </c>
      <c r="K415" s="2" t="s">
        <v>2456</v>
      </c>
      <c r="L415" s="4">
        <v>46009</v>
      </c>
      <c r="M415" s="4">
        <v>45992</v>
      </c>
      <c r="N415" s="2" t="s">
        <v>1804</v>
      </c>
      <c r="O415" s="2" t="s">
        <v>1805</v>
      </c>
      <c r="P415" s="2" t="s">
        <v>2169</v>
      </c>
      <c r="Q415" s="2" t="s">
        <v>1806</v>
      </c>
      <c r="R415" s="2" t="s">
        <v>1040</v>
      </c>
      <c r="S415" s="4">
        <v>45978</v>
      </c>
      <c r="T415" s="2" t="s">
        <v>2274</v>
      </c>
      <c r="U415" s="2" t="s">
        <v>1805</v>
      </c>
      <c r="V415" s="2" t="s">
        <v>2404</v>
      </c>
      <c r="W415" s="2" t="s">
        <v>1806</v>
      </c>
      <c r="X415" s="2" t="s">
        <v>117</v>
      </c>
      <c r="Y415" s="3" t="s">
        <v>118</v>
      </c>
      <c r="Z415" s="3">
        <v>14.04</v>
      </c>
      <c r="AA415" s="2" t="s">
        <v>90</v>
      </c>
      <c r="AB415" s="2" t="s">
        <v>1040</v>
      </c>
      <c r="AC415" s="2" t="s">
        <v>2455</v>
      </c>
      <c r="AD415" t="str" cm="1">
        <f t="array" ref="AD41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415" s="2" t="s">
        <v>91</v>
      </c>
      <c r="AF415" s="2" t="s">
        <v>92</v>
      </c>
      <c r="AG415" s="2" t="s">
        <v>119</v>
      </c>
      <c r="AH415" s="2" t="s">
        <v>120</v>
      </c>
      <c r="AJ415" s="2" t="s">
        <v>122</v>
      </c>
      <c r="AK415" s="2" t="s">
        <v>2457</v>
      </c>
      <c r="AN415" s="3">
        <v>1</v>
      </c>
      <c r="AO415" s="3">
        <v>1</v>
      </c>
      <c r="AP415" s="3">
        <v>1</v>
      </c>
      <c r="AQ415" s="3">
        <v>1</v>
      </c>
      <c r="AR415" s="3">
        <v>1</v>
      </c>
      <c r="AS415" s="3">
        <v>0</v>
      </c>
      <c r="AT415" s="3">
        <v>0</v>
      </c>
      <c r="AU415" s="3">
        <v>0</v>
      </c>
      <c r="AV415" s="3">
        <v>0</v>
      </c>
      <c r="AW415" s="3">
        <v>1</v>
      </c>
      <c r="AX415" s="3">
        <v>1</v>
      </c>
      <c r="AY415" s="3">
        <v>0</v>
      </c>
      <c r="AZ415" s="3">
        <v>0</v>
      </c>
      <c r="BA415" s="3">
        <v>1</v>
      </c>
      <c r="BB415" s="3">
        <v>0</v>
      </c>
      <c r="BC415" s="3">
        <v>0</v>
      </c>
      <c r="BD415" s="3">
        <v>1</v>
      </c>
      <c r="BE415" s="3">
        <v>0</v>
      </c>
      <c r="BG415" s="2" t="s">
        <v>91</v>
      </c>
      <c r="BH415" s="3">
        <v>3</v>
      </c>
      <c r="BJ415" s="2" t="s">
        <v>96</v>
      </c>
      <c r="BL415" s="2" t="s">
        <v>123</v>
      </c>
      <c r="BM415" s="2" t="s">
        <v>123</v>
      </c>
      <c r="BN415" s="2" t="s">
        <v>124</v>
      </c>
      <c r="BO415" s="2" t="s">
        <v>125</v>
      </c>
      <c r="BP415" s="2" t="s">
        <v>101</v>
      </c>
      <c r="BQ415" s="2" t="s">
        <v>124</v>
      </c>
      <c r="BR415" s="2" t="s">
        <v>126</v>
      </c>
      <c r="BS415" s="2" t="s">
        <v>127</v>
      </c>
      <c r="BT415" s="2" t="s">
        <v>2458</v>
      </c>
      <c r="BU415" s="2" t="s">
        <v>2459</v>
      </c>
      <c r="BV415" s="2" t="s">
        <v>771</v>
      </c>
      <c r="BW415" s="2" t="s">
        <v>772</v>
      </c>
      <c r="BX415" s="2" t="s">
        <v>91</v>
      </c>
      <c r="BY41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15" s="2">
        <f>IF(AND(Cases[[#This Row],[Priority Level]]&gt;=3,Cases[[#This Row],[System Role]]&lt;&gt;"Productive"),1,0)</f>
        <v>1</v>
      </c>
      <c r="CA415" s="2">
        <f>IFERROR(IF(Cases[[#This Row],[Days at Customer]]&gt;MAX(1,Cases[[#This Row],[Days at SAP]]*2),1,0),0)</f>
        <v>0</v>
      </c>
      <c r="CB415" s="2">
        <f>IF(AND(Cases[[#This Row],[Initial Component]]&lt;&gt;"",Cases[[#This Row],[Component]]&lt;&gt;"",Cases[[#This Row],[Initial Component]]&lt;&gt;Cases[[#This Row],[Component]]),1,0)</f>
        <v>0</v>
      </c>
      <c r="CC415" s="2">
        <f>IF(OR(Cases[[#This Row],[Is Reopened]]="X",Cases[[#This Row],[No. of Reopenings]]&gt;0),1,0)</f>
        <v>1</v>
      </c>
      <c r="CD415" s="2">
        <f>IF(Cases[[#This Row],[Confirmation Type]]="Automatic",1,0)</f>
        <v>0</v>
      </c>
      <c r="CE415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16" spans="1:83" x14ac:dyDescent="0.2">
      <c r="A416" s="1" t="s">
        <v>2460</v>
      </c>
      <c r="B416" s="2" t="s">
        <v>2461</v>
      </c>
      <c r="C416" s="2" t="s">
        <v>77</v>
      </c>
      <c r="D416" s="2" t="s">
        <v>78</v>
      </c>
      <c r="E416" s="3">
        <v>1.07</v>
      </c>
      <c r="F416" s="3">
        <v>20.91</v>
      </c>
      <c r="G416" s="2" t="s">
        <v>79</v>
      </c>
      <c r="H416" s="2" t="s">
        <v>155</v>
      </c>
      <c r="I416" s="3" t="s">
        <v>81</v>
      </c>
      <c r="J416" s="3">
        <v>149</v>
      </c>
      <c r="K416" s="2" t="s">
        <v>2462</v>
      </c>
      <c r="L416" s="4">
        <v>46009</v>
      </c>
      <c r="M416" s="4">
        <v>46000</v>
      </c>
      <c r="N416" s="2" t="s">
        <v>1804</v>
      </c>
      <c r="O416" s="2" t="s">
        <v>1805</v>
      </c>
      <c r="P416" s="2" t="s">
        <v>2037</v>
      </c>
      <c r="Q416" s="2" t="s">
        <v>1806</v>
      </c>
      <c r="R416" s="2" t="s">
        <v>87</v>
      </c>
      <c r="S416" s="4">
        <v>45978</v>
      </c>
      <c r="T416" s="2" t="s">
        <v>2274</v>
      </c>
      <c r="U416" s="2" t="s">
        <v>1805</v>
      </c>
      <c r="V416" s="2" t="s">
        <v>2404</v>
      </c>
      <c r="W416" s="2" t="s">
        <v>1806</v>
      </c>
      <c r="X416" s="2" t="s">
        <v>88</v>
      </c>
      <c r="Y416" s="3" t="s">
        <v>89</v>
      </c>
      <c r="Z416" s="3">
        <v>21.98</v>
      </c>
      <c r="AA416" s="2" t="s">
        <v>90</v>
      </c>
      <c r="AB416" s="2" t="s">
        <v>87</v>
      </c>
      <c r="AC416" s="2" t="s">
        <v>77</v>
      </c>
      <c r="AD416" t="str" cm="1">
        <f t="array" ref="AD41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416" s="2" t="s">
        <v>91</v>
      </c>
      <c r="AF416" s="2" t="s">
        <v>92</v>
      </c>
      <c r="AG416" s="2" t="s">
        <v>93</v>
      </c>
      <c r="AH416" s="2" t="s">
        <v>94</v>
      </c>
      <c r="AK416" s="2" t="s">
        <v>2463</v>
      </c>
      <c r="AN416" s="3">
        <v>1</v>
      </c>
      <c r="AO416" s="3">
        <v>1</v>
      </c>
      <c r="AP416" s="3">
        <v>1</v>
      </c>
      <c r="AQ416" s="3">
        <v>1</v>
      </c>
      <c r="AR416" s="3">
        <v>1</v>
      </c>
      <c r="AS416" s="3">
        <v>0</v>
      </c>
      <c r="AT416" s="3">
        <v>0</v>
      </c>
      <c r="AU416" s="3">
        <v>0</v>
      </c>
      <c r="AV416" s="3">
        <v>0</v>
      </c>
      <c r="AW416" s="3">
        <v>1</v>
      </c>
      <c r="AX416" s="3">
        <v>1</v>
      </c>
      <c r="AY416" s="3">
        <v>0</v>
      </c>
      <c r="AZ416" s="3">
        <v>0</v>
      </c>
      <c r="BA416" s="3">
        <v>1</v>
      </c>
      <c r="BB416" s="3">
        <v>0</v>
      </c>
      <c r="BC416" s="3">
        <v>0</v>
      </c>
      <c r="BD416" s="3">
        <v>0</v>
      </c>
      <c r="BE416" s="3">
        <v>0</v>
      </c>
      <c r="BG416" s="2" t="s">
        <v>91</v>
      </c>
      <c r="BH416" s="3">
        <v>3</v>
      </c>
      <c r="BJ416" s="2" t="s">
        <v>96</v>
      </c>
      <c r="BL416" s="2" t="s">
        <v>184</v>
      </c>
      <c r="BM416" s="2" t="s">
        <v>184</v>
      </c>
      <c r="BN416" s="2" t="s">
        <v>124</v>
      </c>
      <c r="BO416" s="2" t="s">
        <v>125</v>
      </c>
      <c r="BP416" s="2" t="s">
        <v>101</v>
      </c>
      <c r="BQ416" s="2" t="s">
        <v>124</v>
      </c>
      <c r="BR416" s="2" t="s">
        <v>126</v>
      </c>
      <c r="BS416" s="2" t="s">
        <v>104</v>
      </c>
      <c r="BT416" s="2" t="s">
        <v>343</v>
      </c>
      <c r="BU416" s="2" t="s">
        <v>344</v>
      </c>
      <c r="BV416" s="2" t="s">
        <v>166</v>
      </c>
      <c r="BW416" s="2" t="s">
        <v>167</v>
      </c>
      <c r="BX416" s="2" t="s">
        <v>91</v>
      </c>
      <c r="BY41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16" s="2">
        <f>IF(AND(Cases[[#This Row],[Priority Level]]&gt;=3,Cases[[#This Row],[System Role]]&lt;&gt;"Productive"),1,0)</f>
        <v>1</v>
      </c>
      <c r="CA416" s="2">
        <f>IFERROR(IF(Cases[[#This Row],[Days at Customer]]&gt;MAX(1,Cases[[#This Row],[Days at SAP]]*2),1,0),0)</f>
        <v>1</v>
      </c>
      <c r="CB416" s="2">
        <f>IF(AND(Cases[[#This Row],[Initial Component]]&lt;&gt;"",Cases[[#This Row],[Component]]&lt;&gt;"",Cases[[#This Row],[Initial Component]]&lt;&gt;Cases[[#This Row],[Component]]),1,0)</f>
        <v>0</v>
      </c>
      <c r="CC416" s="2">
        <f>IF(OR(Cases[[#This Row],[Is Reopened]]="X",Cases[[#This Row],[No. of Reopenings]]&gt;0),1,0)</f>
        <v>0</v>
      </c>
      <c r="CD416" s="2">
        <f>IF(Cases[[#This Row],[Confirmation Type]]="Automatic",1,0)</f>
        <v>0</v>
      </c>
      <c r="CE416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417" spans="1:83" x14ac:dyDescent="0.2">
      <c r="A417" s="1" t="s">
        <v>2464</v>
      </c>
      <c r="B417" s="2" t="s">
        <v>2465</v>
      </c>
      <c r="C417" s="2" t="s">
        <v>1590</v>
      </c>
      <c r="D417" s="2" t="s">
        <v>238</v>
      </c>
      <c r="E417" s="3">
        <v>2.89</v>
      </c>
      <c r="F417" s="3">
        <v>21.71</v>
      </c>
      <c r="G417" s="2" t="s">
        <v>133</v>
      </c>
      <c r="H417" s="2" t="s">
        <v>324</v>
      </c>
      <c r="I417" s="3" t="s">
        <v>81</v>
      </c>
      <c r="J417" s="3">
        <v>152</v>
      </c>
      <c r="K417" s="2" t="s">
        <v>2466</v>
      </c>
      <c r="L417" s="4">
        <v>46009</v>
      </c>
      <c r="M417" s="4">
        <v>46000</v>
      </c>
      <c r="N417" s="2" t="s">
        <v>1804</v>
      </c>
      <c r="O417" s="2" t="s">
        <v>1805</v>
      </c>
      <c r="P417" s="2" t="s">
        <v>2037</v>
      </c>
      <c r="Q417" s="2" t="s">
        <v>1806</v>
      </c>
      <c r="R417" s="2" t="s">
        <v>1592</v>
      </c>
      <c r="S417" s="4">
        <v>45975</v>
      </c>
      <c r="T417" s="2" t="s">
        <v>2274</v>
      </c>
      <c r="U417" s="2" t="s">
        <v>1805</v>
      </c>
      <c r="V417" s="2" t="s">
        <v>2467</v>
      </c>
      <c r="W417" s="2" t="s">
        <v>1806</v>
      </c>
      <c r="X417" s="2" t="s">
        <v>88</v>
      </c>
      <c r="Y417" s="3" t="s">
        <v>89</v>
      </c>
      <c r="Z417" s="3">
        <v>24.6</v>
      </c>
      <c r="AA417" s="2" t="s">
        <v>90</v>
      </c>
      <c r="AB417" s="2" t="s">
        <v>1592</v>
      </c>
      <c r="AC417" s="2" t="s">
        <v>1590</v>
      </c>
      <c r="AD417" t="str" cm="1">
        <f t="array" ref="AD41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417" s="2" t="s">
        <v>139</v>
      </c>
      <c r="AF417" s="2" t="s">
        <v>92</v>
      </c>
      <c r="AG417" s="2" t="s">
        <v>93</v>
      </c>
      <c r="AH417" s="2" t="s">
        <v>94</v>
      </c>
      <c r="AJ417" s="2" t="s">
        <v>122</v>
      </c>
      <c r="AK417" s="2" t="s">
        <v>2468</v>
      </c>
      <c r="AN417" s="3">
        <v>1</v>
      </c>
      <c r="AO417" s="3">
        <v>1</v>
      </c>
      <c r="AP417" s="3">
        <v>1</v>
      </c>
      <c r="AQ417" s="3">
        <v>1</v>
      </c>
      <c r="AR417" s="3">
        <v>0</v>
      </c>
      <c r="AS417" s="3">
        <v>0</v>
      </c>
      <c r="AT417" s="3">
        <v>1</v>
      </c>
      <c r="AU417" s="3">
        <v>0</v>
      </c>
      <c r="AV417" s="3">
        <v>1</v>
      </c>
      <c r="AW417" s="3">
        <v>0</v>
      </c>
      <c r="AX417" s="3">
        <v>0</v>
      </c>
      <c r="AY417" s="3">
        <v>0</v>
      </c>
      <c r="AZ417" s="3">
        <v>1</v>
      </c>
      <c r="BA417" s="3">
        <v>0</v>
      </c>
      <c r="BB417" s="3">
        <v>0</v>
      </c>
      <c r="BC417" s="3">
        <v>1</v>
      </c>
      <c r="BD417" s="3">
        <v>1</v>
      </c>
      <c r="BE417" s="3">
        <v>0</v>
      </c>
      <c r="BG417" s="2" t="s">
        <v>139</v>
      </c>
      <c r="BH417" s="3">
        <v>2</v>
      </c>
      <c r="BJ417" s="2" t="s">
        <v>96</v>
      </c>
      <c r="BL417" s="2" t="s">
        <v>184</v>
      </c>
      <c r="BM417" s="2" t="s">
        <v>184</v>
      </c>
      <c r="BN417" s="2" t="s">
        <v>124</v>
      </c>
      <c r="BO417" s="2" t="s">
        <v>125</v>
      </c>
      <c r="BP417" s="2" t="s">
        <v>242</v>
      </c>
      <c r="BQ417" s="2" t="s">
        <v>124</v>
      </c>
      <c r="BR417" s="2" t="s">
        <v>126</v>
      </c>
      <c r="BS417" s="2" t="s">
        <v>127</v>
      </c>
      <c r="BT417" s="2" t="s">
        <v>185</v>
      </c>
      <c r="BU417" s="2" t="s">
        <v>186</v>
      </c>
      <c r="BV417" s="2" t="s">
        <v>150</v>
      </c>
      <c r="BW417" s="2" t="s">
        <v>151</v>
      </c>
      <c r="BX417" s="2" t="s">
        <v>139</v>
      </c>
      <c r="BY41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17" s="2">
        <f>IF(AND(Cases[[#This Row],[Priority Level]]&gt;=3,Cases[[#This Row],[System Role]]&lt;&gt;"Productive"),1,0)</f>
        <v>0</v>
      </c>
      <c r="CA417" s="2">
        <f>IFERROR(IF(Cases[[#This Row],[Days at Customer]]&gt;MAX(1,Cases[[#This Row],[Days at SAP]]*2),1,0),0)</f>
        <v>1</v>
      </c>
      <c r="CB417" s="2">
        <f>IF(AND(Cases[[#This Row],[Initial Component]]&lt;&gt;"",Cases[[#This Row],[Component]]&lt;&gt;"",Cases[[#This Row],[Initial Component]]&lt;&gt;Cases[[#This Row],[Component]]),1,0)</f>
        <v>0</v>
      </c>
      <c r="CC417" s="2">
        <f>IF(OR(Cases[[#This Row],[Is Reopened]]="X",Cases[[#This Row],[No. of Reopenings]]&gt;0),1,0)</f>
        <v>1</v>
      </c>
      <c r="CD417" s="2">
        <f>IF(Cases[[#This Row],[Confirmation Type]]="Automatic",1,0)</f>
        <v>1</v>
      </c>
      <c r="CE41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18" spans="1:83" x14ac:dyDescent="0.2">
      <c r="A418" s="1" t="s">
        <v>2723</v>
      </c>
      <c r="B418" s="2" t="s">
        <v>2724</v>
      </c>
      <c r="C418" s="2" t="s">
        <v>2725</v>
      </c>
      <c r="D418" s="2" t="s">
        <v>238</v>
      </c>
      <c r="E418" s="3">
        <v>59.81</v>
      </c>
      <c r="F418" s="3">
        <v>36.07</v>
      </c>
      <c r="G418" s="2" t="s">
        <v>79</v>
      </c>
      <c r="H418" s="2" t="s">
        <v>80</v>
      </c>
      <c r="I418" s="3" t="s">
        <v>114</v>
      </c>
      <c r="J418" s="3">
        <v>166</v>
      </c>
      <c r="K418" s="2" t="s">
        <v>2726</v>
      </c>
      <c r="L418" s="4">
        <v>46061</v>
      </c>
      <c r="M418" s="4">
        <v>46057</v>
      </c>
      <c r="N418" s="2" t="s">
        <v>677</v>
      </c>
      <c r="O418" s="2" t="s">
        <v>181</v>
      </c>
      <c r="P418" s="2" t="s">
        <v>1165</v>
      </c>
      <c r="Q418" s="2" t="s">
        <v>86</v>
      </c>
      <c r="R418" s="2" t="s">
        <v>2324</v>
      </c>
      <c r="S418" s="4">
        <v>45961</v>
      </c>
      <c r="T418" s="2" t="s">
        <v>2727</v>
      </c>
      <c r="U418" s="2" t="s">
        <v>1805</v>
      </c>
      <c r="V418" s="2" t="s">
        <v>2717</v>
      </c>
      <c r="W418" s="2" t="s">
        <v>1806</v>
      </c>
      <c r="X418" s="2" t="s">
        <v>117</v>
      </c>
      <c r="Y418" s="3" t="s">
        <v>118</v>
      </c>
      <c r="Z418" s="3">
        <v>95.88</v>
      </c>
      <c r="AA418" s="2" t="s">
        <v>138</v>
      </c>
      <c r="AB418" s="2" t="s">
        <v>2324</v>
      </c>
      <c r="AC418" s="2" t="s">
        <v>2725</v>
      </c>
      <c r="AD418" t="str" cm="1">
        <f t="array" ref="AD41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418" s="2" t="s">
        <v>91</v>
      </c>
      <c r="AF418" s="2" t="s">
        <v>92</v>
      </c>
      <c r="AG418" s="2" t="s">
        <v>274</v>
      </c>
      <c r="AH418" s="2" t="s">
        <v>275</v>
      </c>
      <c r="AK418" s="2" t="s">
        <v>2728</v>
      </c>
      <c r="AN418" s="3">
        <v>1</v>
      </c>
      <c r="AO418" s="3">
        <v>1</v>
      </c>
      <c r="AP418" s="3">
        <v>1</v>
      </c>
      <c r="AQ418" s="3">
        <v>1</v>
      </c>
      <c r="AR418" s="3">
        <v>1</v>
      </c>
      <c r="AS418" s="3">
        <v>0</v>
      </c>
      <c r="AT418" s="3">
        <v>0</v>
      </c>
      <c r="AU418" s="3">
        <v>0</v>
      </c>
      <c r="AV418" s="3">
        <v>1</v>
      </c>
      <c r="AW418" s="3">
        <v>0</v>
      </c>
      <c r="AX418" s="3">
        <v>1</v>
      </c>
      <c r="AY418" s="3">
        <v>0</v>
      </c>
      <c r="AZ418" s="3">
        <v>0</v>
      </c>
      <c r="BA418" s="3">
        <v>0</v>
      </c>
      <c r="BB418" s="3">
        <v>0</v>
      </c>
      <c r="BC418" s="3">
        <v>1</v>
      </c>
      <c r="BD418" s="3">
        <v>0</v>
      </c>
      <c r="BE418" s="3">
        <v>0</v>
      </c>
      <c r="BG418" s="2" t="s">
        <v>91</v>
      </c>
      <c r="BH418" s="3">
        <v>3</v>
      </c>
      <c r="BJ418" s="2" t="s">
        <v>96</v>
      </c>
      <c r="BL418" s="2" t="s">
        <v>2324</v>
      </c>
      <c r="BM418" s="2" t="s">
        <v>2325</v>
      </c>
      <c r="BN418" s="2" t="s">
        <v>279</v>
      </c>
      <c r="BO418" s="2" t="s">
        <v>280</v>
      </c>
      <c r="BP418" s="2" t="s">
        <v>242</v>
      </c>
      <c r="BQ418" s="2" t="s">
        <v>448</v>
      </c>
      <c r="BR418" s="2" t="s">
        <v>449</v>
      </c>
      <c r="BS418" s="2" t="s">
        <v>147</v>
      </c>
      <c r="BT418" s="2" t="s">
        <v>148</v>
      </c>
      <c r="BU418" s="2" t="s">
        <v>2326</v>
      </c>
      <c r="BV418" s="2" t="s">
        <v>150</v>
      </c>
      <c r="BW418" s="2" t="s">
        <v>151</v>
      </c>
      <c r="BX418" s="2" t="s">
        <v>91</v>
      </c>
      <c r="BY41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18" s="2">
        <f>IF(AND(Cases[[#This Row],[Priority Level]]&gt;=3,Cases[[#This Row],[System Role]]&lt;&gt;"Productive"),1,0)</f>
        <v>0</v>
      </c>
      <c r="CA418" s="2">
        <f>IFERROR(IF(Cases[[#This Row],[Days at Customer]]&gt;MAX(1,Cases[[#This Row],[Days at SAP]]*2),1,0),0)</f>
        <v>0</v>
      </c>
      <c r="CB418" s="2">
        <f>IF(AND(Cases[[#This Row],[Initial Component]]&lt;&gt;"",Cases[[#This Row],[Component]]&lt;&gt;"",Cases[[#This Row],[Initial Component]]&lt;&gt;Cases[[#This Row],[Component]]),1,0)</f>
        <v>0</v>
      </c>
      <c r="CC418" s="2">
        <f>IF(OR(Cases[[#This Row],[Is Reopened]]="X",Cases[[#This Row],[No. of Reopenings]]&gt;0),1,0)</f>
        <v>0</v>
      </c>
      <c r="CD418" s="2">
        <f>IF(Cases[[#This Row],[Confirmation Type]]="Automatic",1,0)</f>
        <v>1</v>
      </c>
      <c r="CE418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419" spans="1:83" x14ac:dyDescent="0.2">
      <c r="A419" s="1" t="s">
        <v>2473</v>
      </c>
      <c r="B419" s="2" t="s">
        <v>2474</v>
      </c>
      <c r="C419" s="2" t="s">
        <v>2475</v>
      </c>
      <c r="D419" s="2" t="s">
        <v>238</v>
      </c>
      <c r="E419" s="3">
        <v>5.21</v>
      </c>
      <c r="F419" s="3">
        <v>22.41</v>
      </c>
      <c r="G419" s="2" t="s">
        <v>79</v>
      </c>
      <c r="H419" s="2" t="s">
        <v>290</v>
      </c>
      <c r="I419" s="3" t="s">
        <v>114</v>
      </c>
      <c r="J419" s="3">
        <v>152</v>
      </c>
      <c r="K419" s="2" t="s">
        <v>2476</v>
      </c>
      <c r="L419" s="4">
        <v>46009</v>
      </c>
      <c r="M419" s="4">
        <v>46003</v>
      </c>
      <c r="N419" s="2" t="s">
        <v>1804</v>
      </c>
      <c r="O419" s="2" t="s">
        <v>1805</v>
      </c>
      <c r="P419" s="2" t="s">
        <v>2037</v>
      </c>
      <c r="Q419" s="2" t="s">
        <v>1806</v>
      </c>
      <c r="R419" s="2" t="s">
        <v>2477</v>
      </c>
      <c r="S419" s="4">
        <v>45975</v>
      </c>
      <c r="T419" s="2" t="s">
        <v>2274</v>
      </c>
      <c r="U419" s="2" t="s">
        <v>1805</v>
      </c>
      <c r="V419" s="2" t="s">
        <v>2467</v>
      </c>
      <c r="W419" s="2" t="s">
        <v>1806</v>
      </c>
      <c r="X419" s="2" t="s">
        <v>117</v>
      </c>
      <c r="Y419" s="3" t="s">
        <v>118</v>
      </c>
      <c r="Z419" s="3">
        <v>27.62</v>
      </c>
      <c r="AA419" s="2" t="s">
        <v>90</v>
      </c>
      <c r="AB419" s="2" t="s">
        <v>2478</v>
      </c>
      <c r="AC419" s="2" t="s">
        <v>2479</v>
      </c>
      <c r="AD419" t="str" cm="1">
        <f t="array" ref="AD41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419" s="2" t="s">
        <v>91</v>
      </c>
      <c r="AF419" s="2" t="s">
        <v>92</v>
      </c>
      <c r="AG419" s="2" t="s">
        <v>119</v>
      </c>
      <c r="AH419" s="2" t="s">
        <v>120</v>
      </c>
      <c r="AK419" s="2" t="s">
        <v>2480</v>
      </c>
      <c r="AN419" s="3">
        <v>1</v>
      </c>
      <c r="AO419" s="3">
        <v>1</v>
      </c>
      <c r="AP419" s="3">
        <v>1</v>
      </c>
      <c r="AQ419" s="3">
        <v>1</v>
      </c>
      <c r="AR419" s="3">
        <v>1</v>
      </c>
      <c r="AS419" s="3">
        <v>0</v>
      </c>
      <c r="AT419" s="3">
        <v>0</v>
      </c>
      <c r="AU419" s="3">
        <v>0</v>
      </c>
      <c r="AV419" s="3">
        <v>1</v>
      </c>
      <c r="AW419" s="3">
        <v>0</v>
      </c>
      <c r="AX419" s="3">
        <v>1</v>
      </c>
      <c r="AY419" s="3">
        <v>0</v>
      </c>
      <c r="AZ419" s="3">
        <v>0</v>
      </c>
      <c r="BA419" s="3">
        <v>0</v>
      </c>
      <c r="BB419" s="3">
        <v>0</v>
      </c>
      <c r="BC419" s="3">
        <v>1</v>
      </c>
      <c r="BD419" s="3">
        <v>0</v>
      </c>
      <c r="BE419" s="3">
        <v>0</v>
      </c>
      <c r="BG419" s="2" t="s">
        <v>91</v>
      </c>
      <c r="BH419" s="3">
        <v>3</v>
      </c>
      <c r="BJ419" s="2" t="s">
        <v>96</v>
      </c>
      <c r="BL419" s="2" t="s">
        <v>123</v>
      </c>
      <c r="BM419" s="2" t="s">
        <v>123</v>
      </c>
      <c r="BN419" s="2" t="s">
        <v>124</v>
      </c>
      <c r="BO419" s="2" t="s">
        <v>125</v>
      </c>
      <c r="BP419" s="2" t="s">
        <v>242</v>
      </c>
      <c r="BQ419" s="2" t="s">
        <v>124</v>
      </c>
      <c r="BR419" s="2" t="s">
        <v>126</v>
      </c>
      <c r="BS419" s="2" t="s">
        <v>127</v>
      </c>
      <c r="BT419" s="2" t="s">
        <v>420</v>
      </c>
      <c r="BU419" s="2" t="s">
        <v>421</v>
      </c>
      <c r="BV419" s="2" t="s">
        <v>150</v>
      </c>
      <c r="BW419" s="2" t="s">
        <v>151</v>
      </c>
      <c r="BX419" s="2" t="s">
        <v>91</v>
      </c>
      <c r="BY41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19" s="2">
        <f>IF(AND(Cases[[#This Row],[Priority Level]]&gt;=3,Cases[[#This Row],[System Role]]&lt;&gt;"Productive"),1,0)</f>
        <v>0</v>
      </c>
      <c r="CA419" s="2">
        <f>IFERROR(IF(Cases[[#This Row],[Days at Customer]]&gt;MAX(1,Cases[[#This Row],[Days at SAP]]*2),1,0),0)</f>
        <v>1</v>
      </c>
      <c r="CB419" s="2">
        <f>IF(AND(Cases[[#This Row],[Initial Component]]&lt;&gt;"",Cases[[#This Row],[Component]]&lt;&gt;"",Cases[[#This Row],[Initial Component]]&lt;&gt;Cases[[#This Row],[Component]]),1,0)</f>
        <v>1</v>
      </c>
      <c r="CC419" s="2">
        <f>IF(OR(Cases[[#This Row],[Is Reopened]]="X",Cases[[#This Row],[No. of Reopenings]]&gt;0),1,0)</f>
        <v>0</v>
      </c>
      <c r="CD419" s="2">
        <f>IF(Cases[[#This Row],[Confirmation Type]]="Automatic",1,0)</f>
        <v>1</v>
      </c>
      <c r="CE419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420" spans="1:83" x14ac:dyDescent="0.2">
      <c r="A420" s="1" t="s">
        <v>2969</v>
      </c>
      <c r="B420" s="2" t="s">
        <v>2970</v>
      </c>
      <c r="C420" s="2" t="s">
        <v>639</v>
      </c>
      <c r="D420" s="2" t="s">
        <v>78</v>
      </c>
      <c r="E420" s="3">
        <v>0.04</v>
      </c>
      <c r="F420" s="3">
        <v>17.89</v>
      </c>
      <c r="G420" s="2" t="s">
        <v>133</v>
      </c>
      <c r="H420" s="2" t="s">
        <v>892</v>
      </c>
      <c r="I420" s="3" t="s">
        <v>114</v>
      </c>
      <c r="J420" s="3">
        <v>180</v>
      </c>
      <c r="K420" s="2" t="s">
        <v>2971</v>
      </c>
      <c r="L420" s="4">
        <v>46061</v>
      </c>
      <c r="M420" s="4">
        <v>45965</v>
      </c>
      <c r="N420" s="2" t="s">
        <v>2274</v>
      </c>
      <c r="O420" s="2" t="s">
        <v>1805</v>
      </c>
      <c r="P420" s="2" t="s">
        <v>2583</v>
      </c>
      <c r="Q420" s="2" t="s">
        <v>1806</v>
      </c>
      <c r="R420" s="2" t="s">
        <v>641</v>
      </c>
      <c r="S420" s="4">
        <v>45947</v>
      </c>
      <c r="T420" s="2" t="s">
        <v>2727</v>
      </c>
      <c r="U420" s="2" t="s">
        <v>1805</v>
      </c>
      <c r="V420" s="2" t="s">
        <v>2936</v>
      </c>
      <c r="W420" s="2" t="s">
        <v>1806</v>
      </c>
      <c r="X420" s="2" t="s">
        <v>117</v>
      </c>
      <c r="Y420" s="3" t="s">
        <v>118</v>
      </c>
      <c r="Z420" s="3">
        <v>17.93</v>
      </c>
      <c r="AA420" s="2" t="s">
        <v>90</v>
      </c>
      <c r="AB420" s="2" t="s">
        <v>641</v>
      </c>
      <c r="AC420" s="2" t="s">
        <v>639</v>
      </c>
      <c r="AD420" t="str" cm="1">
        <f t="array" ref="AD42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420" s="2" t="s">
        <v>158</v>
      </c>
      <c r="AF420" s="2" t="s">
        <v>92</v>
      </c>
      <c r="AG420" s="2" t="s">
        <v>159</v>
      </c>
      <c r="AH420" s="2" t="s">
        <v>160</v>
      </c>
      <c r="AK420" s="2" t="s">
        <v>2972</v>
      </c>
      <c r="AN420" s="3">
        <v>1</v>
      </c>
      <c r="AO420" s="3">
        <v>1</v>
      </c>
      <c r="AP420" s="3">
        <v>1</v>
      </c>
      <c r="AQ420" s="3">
        <v>1</v>
      </c>
      <c r="AR420" s="3">
        <v>0</v>
      </c>
      <c r="AS420" s="3">
        <v>1</v>
      </c>
      <c r="AT420" s="3">
        <v>0</v>
      </c>
      <c r="AU420" s="3">
        <v>0</v>
      </c>
      <c r="AV420" s="3">
        <v>0</v>
      </c>
      <c r="AW420" s="3">
        <v>1</v>
      </c>
      <c r="AX420" s="3">
        <v>0</v>
      </c>
      <c r="AY420" s="3">
        <v>1</v>
      </c>
      <c r="AZ420" s="3">
        <v>0</v>
      </c>
      <c r="BA420" s="3">
        <v>1</v>
      </c>
      <c r="BB420" s="3">
        <v>0</v>
      </c>
      <c r="BC420" s="3">
        <v>0</v>
      </c>
      <c r="BD420" s="3">
        <v>0</v>
      </c>
      <c r="BE420" s="3">
        <v>0</v>
      </c>
      <c r="BG420" s="2" t="s">
        <v>158</v>
      </c>
      <c r="BH420" s="3">
        <v>1</v>
      </c>
      <c r="BJ420" s="2" t="s">
        <v>96</v>
      </c>
      <c r="BL420" s="2" t="s">
        <v>643</v>
      </c>
      <c r="BM420" s="2" t="s">
        <v>644</v>
      </c>
      <c r="BN420" s="2" t="s">
        <v>99</v>
      </c>
      <c r="BO420" s="2" t="s">
        <v>100</v>
      </c>
      <c r="BP420" s="2" t="s">
        <v>101</v>
      </c>
      <c r="BQ420" s="2" t="s">
        <v>102</v>
      </c>
      <c r="BR420" s="2" t="s">
        <v>103</v>
      </c>
      <c r="BS420" s="2" t="s">
        <v>127</v>
      </c>
      <c r="BT420" s="2" t="s">
        <v>645</v>
      </c>
      <c r="BU420" s="2" t="s">
        <v>2973</v>
      </c>
      <c r="BV420" s="2" t="s">
        <v>166</v>
      </c>
      <c r="BW420" s="2" t="s">
        <v>167</v>
      </c>
      <c r="BX420" s="2" t="s">
        <v>158</v>
      </c>
      <c r="BY42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20" s="2">
        <f>IF(AND(Cases[[#This Row],[Priority Level]]&gt;=3,Cases[[#This Row],[System Role]]&lt;&gt;"Productive"),1,0)</f>
        <v>0</v>
      </c>
      <c r="CA420" s="2">
        <f>IFERROR(IF(Cases[[#This Row],[Days at Customer]]&gt;MAX(1,Cases[[#This Row],[Days at SAP]]*2),1,0),0)</f>
        <v>1</v>
      </c>
      <c r="CB420" s="2">
        <f>IF(AND(Cases[[#This Row],[Initial Component]]&lt;&gt;"",Cases[[#This Row],[Component]]&lt;&gt;"",Cases[[#This Row],[Initial Component]]&lt;&gt;Cases[[#This Row],[Component]]),1,0)</f>
        <v>0</v>
      </c>
      <c r="CC420" s="2">
        <f>IF(OR(Cases[[#This Row],[Is Reopened]]="X",Cases[[#This Row],[No. of Reopenings]]&gt;0),1,0)</f>
        <v>0</v>
      </c>
      <c r="CD420" s="2">
        <f>IF(Cases[[#This Row],[Confirmation Type]]="Automatic",1,0)</f>
        <v>0</v>
      </c>
      <c r="CE420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21" spans="1:83" x14ac:dyDescent="0.2">
      <c r="A421" s="1" t="s">
        <v>2485</v>
      </c>
      <c r="B421" s="2" t="s">
        <v>2486</v>
      </c>
      <c r="C421" s="2" t="s">
        <v>406</v>
      </c>
      <c r="D421" s="2" t="s">
        <v>78</v>
      </c>
      <c r="E421" s="3">
        <v>8.11</v>
      </c>
      <c r="F421" s="3">
        <v>16.78</v>
      </c>
      <c r="G421" s="2" t="s">
        <v>190</v>
      </c>
      <c r="H421" s="2" t="s">
        <v>666</v>
      </c>
      <c r="I421" s="3" t="s">
        <v>114</v>
      </c>
      <c r="J421" s="3">
        <v>152</v>
      </c>
      <c r="K421" s="2" t="s">
        <v>2487</v>
      </c>
      <c r="L421" s="4">
        <v>46009</v>
      </c>
      <c r="M421" s="4">
        <v>46000</v>
      </c>
      <c r="N421" s="2" t="s">
        <v>1804</v>
      </c>
      <c r="O421" s="2" t="s">
        <v>1805</v>
      </c>
      <c r="P421" s="2" t="s">
        <v>2037</v>
      </c>
      <c r="Q421" s="2" t="s">
        <v>1806</v>
      </c>
      <c r="R421" s="2" t="s">
        <v>408</v>
      </c>
      <c r="S421" s="4">
        <v>45975</v>
      </c>
      <c r="T421" s="2" t="s">
        <v>2274</v>
      </c>
      <c r="U421" s="2" t="s">
        <v>1805</v>
      </c>
      <c r="V421" s="2" t="s">
        <v>2467</v>
      </c>
      <c r="W421" s="2" t="s">
        <v>1806</v>
      </c>
      <c r="X421" s="2" t="s">
        <v>117</v>
      </c>
      <c r="Y421" s="3" t="s">
        <v>118</v>
      </c>
      <c r="Z421" s="3">
        <v>24.89</v>
      </c>
      <c r="AA421" s="2" t="s">
        <v>90</v>
      </c>
      <c r="AB421" s="2" t="s">
        <v>408</v>
      </c>
      <c r="AC421" s="2" t="s">
        <v>406</v>
      </c>
      <c r="AD421" t="str" cm="1">
        <f t="array" ref="AD42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421" s="2" t="s">
        <v>91</v>
      </c>
      <c r="AF421" s="2" t="s">
        <v>92</v>
      </c>
      <c r="AG421" s="2" t="s">
        <v>119</v>
      </c>
      <c r="AH421" s="2" t="s">
        <v>120</v>
      </c>
      <c r="AJ421" s="2" t="s">
        <v>122</v>
      </c>
      <c r="AK421" s="2" t="s">
        <v>2488</v>
      </c>
      <c r="AN421" s="3">
        <v>1</v>
      </c>
      <c r="AO421" s="3">
        <v>1</v>
      </c>
      <c r="AP421" s="3">
        <v>1</v>
      </c>
      <c r="AQ421" s="3">
        <v>1</v>
      </c>
      <c r="AR421" s="3">
        <v>1</v>
      </c>
      <c r="AS421" s="3">
        <v>0</v>
      </c>
      <c r="AT421" s="3">
        <v>0</v>
      </c>
      <c r="AU421" s="3">
        <v>0</v>
      </c>
      <c r="AV421" s="3">
        <v>0</v>
      </c>
      <c r="AW421" s="3">
        <v>1</v>
      </c>
      <c r="AX421" s="3">
        <v>1</v>
      </c>
      <c r="AY421" s="3">
        <v>0</v>
      </c>
      <c r="AZ421" s="3">
        <v>0</v>
      </c>
      <c r="BA421" s="3">
        <v>1</v>
      </c>
      <c r="BB421" s="3">
        <v>0</v>
      </c>
      <c r="BC421" s="3">
        <v>0</v>
      </c>
      <c r="BD421" s="3">
        <v>1</v>
      </c>
      <c r="BE421" s="3">
        <v>0</v>
      </c>
      <c r="BG421" s="2" t="s">
        <v>91</v>
      </c>
      <c r="BH421" s="3">
        <v>3</v>
      </c>
      <c r="BJ421" s="2" t="s">
        <v>96</v>
      </c>
      <c r="BL421" s="2" t="s">
        <v>123</v>
      </c>
      <c r="BM421" s="2" t="s">
        <v>123</v>
      </c>
      <c r="BN421" s="2" t="s">
        <v>124</v>
      </c>
      <c r="BO421" s="2" t="s">
        <v>125</v>
      </c>
      <c r="BP421" s="2" t="s">
        <v>101</v>
      </c>
      <c r="BQ421" s="2" t="s">
        <v>124</v>
      </c>
      <c r="BR421" s="2" t="s">
        <v>126</v>
      </c>
      <c r="BS421" s="2" t="s">
        <v>127</v>
      </c>
      <c r="BT421" s="2" t="s">
        <v>199</v>
      </c>
      <c r="BU421" s="2" t="s">
        <v>200</v>
      </c>
      <c r="BV421" s="2" t="s">
        <v>166</v>
      </c>
      <c r="BW421" s="2" t="s">
        <v>167</v>
      </c>
      <c r="BX421" s="2" t="s">
        <v>91</v>
      </c>
      <c r="BY42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21" s="2">
        <f>IF(AND(Cases[[#This Row],[Priority Level]]&gt;=3,Cases[[#This Row],[System Role]]&lt;&gt;"Productive"),1,0)</f>
        <v>1</v>
      </c>
      <c r="CA421" s="2">
        <f>IFERROR(IF(Cases[[#This Row],[Days at Customer]]&gt;MAX(1,Cases[[#This Row],[Days at SAP]]*2),1,0),0)</f>
        <v>1</v>
      </c>
      <c r="CB421" s="2">
        <f>IF(AND(Cases[[#This Row],[Initial Component]]&lt;&gt;"",Cases[[#This Row],[Component]]&lt;&gt;"",Cases[[#This Row],[Initial Component]]&lt;&gt;Cases[[#This Row],[Component]]),1,0)</f>
        <v>0</v>
      </c>
      <c r="CC421" s="2">
        <f>IF(OR(Cases[[#This Row],[Is Reopened]]="X",Cases[[#This Row],[No. of Reopenings]]&gt;0),1,0)</f>
        <v>1</v>
      </c>
      <c r="CD421" s="2">
        <f>IF(Cases[[#This Row],[Confirmation Type]]="Automatic",1,0)</f>
        <v>0</v>
      </c>
      <c r="CE421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422" spans="1:83" x14ac:dyDescent="0.2">
      <c r="A422" s="1" t="s">
        <v>3138</v>
      </c>
      <c r="B422" s="2" t="s">
        <v>3139</v>
      </c>
      <c r="C422" s="2" t="s">
        <v>203</v>
      </c>
      <c r="D422" s="2" t="s">
        <v>238</v>
      </c>
      <c r="E422" s="3">
        <v>0</v>
      </c>
      <c r="F422" s="3">
        <v>26.52</v>
      </c>
      <c r="G422" s="2" t="s">
        <v>112</v>
      </c>
      <c r="H422" s="2" t="s">
        <v>113</v>
      </c>
      <c r="I422" s="3" t="s">
        <v>114</v>
      </c>
      <c r="J422" s="3">
        <v>187</v>
      </c>
      <c r="K422" s="2" t="s">
        <v>3140</v>
      </c>
      <c r="L422" s="4">
        <v>46061</v>
      </c>
      <c r="M422" s="4">
        <v>45967</v>
      </c>
      <c r="N422" s="2" t="s">
        <v>2274</v>
      </c>
      <c r="O422" s="2" t="s">
        <v>1805</v>
      </c>
      <c r="P422" s="2" t="s">
        <v>2583</v>
      </c>
      <c r="Q422" s="2" t="s">
        <v>1806</v>
      </c>
      <c r="R422" s="2" t="s">
        <v>205</v>
      </c>
      <c r="S422" s="4">
        <v>45940</v>
      </c>
      <c r="T422" s="2" t="s">
        <v>2727</v>
      </c>
      <c r="U422" s="2" t="s">
        <v>1805</v>
      </c>
      <c r="V422" s="2" t="s">
        <v>3126</v>
      </c>
      <c r="W422" s="2" t="s">
        <v>1806</v>
      </c>
      <c r="X422" s="2" t="s">
        <v>117</v>
      </c>
      <c r="Y422" s="3" t="s">
        <v>118</v>
      </c>
      <c r="Z422" s="3">
        <v>26.52</v>
      </c>
      <c r="AA422" s="2" t="s">
        <v>90</v>
      </c>
      <c r="AB422" s="2" t="s">
        <v>205</v>
      </c>
      <c r="AC422" s="2" t="s">
        <v>203</v>
      </c>
      <c r="AD422" t="str" cm="1">
        <f t="array" ref="AD42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422" s="2" t="s">
        <v>91</v>
      </c>
      <c r="AF422" s="2" t="s">
        <v>92</v>
      </c>
      <c r="AG422" s="2" t="s">
        <v>119</v>
      </c>
      <c r="AH422" s="2" t="s">
        <v>120</v>
      </c>
      <c r="AK422" s="2" t="s">
        <v>3141</v>
      </c>
      <c r="AN422" s="3">
        <v>1</v>
      </c>
      <c r="AO422" s="3">
        <v>1</v>
      </c>
      <c r="AP422" s="3">
        <v>1</v>
      </c>
      <c r="AQ422" s="3">
        <v>1</v>
      </c>
      <c r="AR422" s="3">
        <v>1</v>
      </c>
      <c r="AS422" s="3">
        <v>0</v>
      </c>
      <c r="AT422" s="3">
        <v>0</v>
      </c>
      <c r="AU422" s="3">
        <v>0</v>
      </c>
      <c r="AV422" s="3">
        <v>1</v>
      </c>
      <c r="AW422" s="3">
        <v>0</v>
      </c>
      <c r="AX422" s="3">
        <v>1</v>
      </c>
      <c r="AY422" s="3">
        <v>0</v>
      </c>
      <c r="AZ422" s="3">
        <v>0</v>
      </c>
      <c r="BA422" s="3">
        <v>0</v>
      </c>
      <c r="BB422" s="3">
        <v>0</v>
      </c>
      <c r="BC422" s="3">
        <v>1</v>
      </c>
      <c r="BD422" s="3">
        <v>0</v>
      </c>
      <c r="BE422" s="3">
        <v>0</v>
      </c>
      <c r="BG422" s="2" t="s">
        <v>91</v>
      </c>
      <c r="BH422" s="3">
        <v>3</v>
      </c>
      <c r="BI422" s="2" t="s">
        <v>122</v>
      </c>
      <c r="BJ422" s="2" t="s">
        <v>96</v>
      </c>
      <c r="BL422" s="2" t="s">
        <v>123</v>
      </c>
      <c r="BM422" s="2" t="s">
        <v>123</v>
      </c>
      <c r="BN422" s="2" t="s">
        <v>124</v>
      </c>
      <c r="BO422" s="2" t="s">
        <v>125</v>
      </c>
      <c r="BP422" s="2" t="s">
        <v>242</v>
      </c>
      <c r="BQ422" s="2" t="s">
        <v>124</v>
      </c>
      <c r="BR422" s="2" t="s">
        <v>126</v>
      </c>
      <c r="BS422" s="2" t="s">
        <v>127</v>
      </c>
      <c r="BT422" s="2" t="s">
        <v>207</v>
      </c>
      <c r="BU422" s="2" t="s">
        <v>208</v>
      </c>
      <c r="BV422" s="2" t="s">
        <v>150</v>
      </c>
      <c r="BW422" s="2" t="s">
        <v>151</v>
      </c>
      <c r="BX422" s="2" t="s">
        <v>91</v>
      </c>
      <c r="BY42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22" s="2">
        <f>IF(AND(Cases[[#This Row],[Priority Level]]&gt;=3,Cases[[#This Row],[System Role]]&lt;&gt;"Productive"),1,0)</f>
        <v>0</v>
      </c>
      <c r="CA422" s="2">
        <f>IFERROR(IF(Cases[[#This Row],[Days at Customer]]&gt;MAX(1,Cases[[#This Row],[Days at SAP]]*2),1,0),0)</f>
        <v>1</v>
      </c>
      <c r="CB422" s="2">
        <f>IF(AND(Cases[[#This Row],[Initial Component]]&lt;&gt;"",Cases[[#This Row],[Component]]&lt;&gt;"",Cases[[#This Row],[Initial Component]]&lt;&gt;Cases[[#This Row],[Component]]),1,0)</f>
        <v>0</v>
      </c>
      <c r="CC422" s="2">
        <f>IF(OR(Cases[[#This Row],[Is Reopened]]="X",Cases[[#This Row],[No. of Reopenings]]&gt;0),1,0)</f>
        <v>0</v>
      </c>
      <c r="CD422" s="2">
        <f>IF(Cases[[#This Row],[Confirmation Type]]="Automatic",1,0)</f>
        <v>1</v>
      </c>
      <c r="CE422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23" spans="1:83" x14ac:dyDescent="0.2">
      <c r="A423" s="1" t="s">
        <v>2494</v>
      </c>
      <c r="B423" s="2" t="s">
        <v>2495</v>
      </c>
      <c r="C423" s="2" t="s">
        <v>2496</v>
      </c>
      <c r="D423" s="2" t="s">
        <v>238</v>
      </c>
      <c r="E423" s="3">
        <v>5.12</v>
      </c>
      <c r="F423" s="3">
        <v>22.69</v>
      </c>
      <c r="G423" s="2" t="s">
        <v>79</v>
      </c>
      <c r="H423" s="2" t="s">
        <v>178</v>
      </c>
      <c r="I423" s="3" t="s">
        <v>114</v>
      </c>
      <c r="J423" s="3">
        <v>153</v>
      </c>
      <c r="K423" s="2" t="s">
        <v>2497</v>
      </c>
      <c r="L423" s="4">
        <v>46009</v>
      </c>
      <c r="M423" s="4">
        <v>46001</v>
      </c>
      <c r="N423" s="2" t="s">
        <v>1804</v>
      </c>
      <c r="O423" s="2" t="s">
        <v>1805</v>
      </c>
      <c r="P423" s="2" t="s">
        <v>2037</v>
      </c>
      <c r="Q423" s="2" t="s">
        <v>1806</v>
      </c>
      <c r="R423" s="2" t="s">
        <v>2498</v>
      </c>
      <c r="S423" s="4">
        <v>45974</v>
      </c>
      <c r="T423" s="2" t="s">
        <v>2274</v>
      </c>
      <c r="U423" s="2" t="s">
        <v>1805</v>
      </c>
      <c r="V423" s="2" t="s">
        <v>2467</v>
      </c>
      <c r="W423" s="2" t="s">
        <v>1806</v>
      </c>
      <c r="X423" s="2" t="s">
        <v>117</v>
      </c>
      <c r="Y423" s="3" t="s">
        <v>118</v>
      </c>
      <c r="Z423" s="3">
        <v>27.81</v>
      </c>
      <c r="AA423" s="2" t="s">
        <v>138</v>
      </c>
      <c r="AB423" s="2" t="s">
        <v>443</v>
      </c>
      <c r="AC423" s="2" t="s">
        <v>444</v>
      </c>
      <c r="AD423" t="str" cm="1">
        <f t="array" ref="AD42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423" s="2" t="s">
        <v>139</v>
      </c>
      <c r="AF423" s="2" t="s">
        <v>92</v>
      </c>
      <c r="AG423" s="2" t="s">
        <v>274</v>
      </c>
      <c r="AH423" s="2" t="s">
        <v>275</v>
      </c>
      <c r="AJ423" s="2" t="s">
        <v>122</v>
      </c>
      <c r="AK423" s="2" t="s">
        <v>2499</v>
      </c>
      <c r="AN423" s="3">
        <v>1</v>
      </c>
      <c r="AO423" s="3">
        <v>1</v>
      </c>
      <c r="AP423" s="3">
        <v>1</v>
      </c>
      <c r="AQ423" s="3">
        <v>1</v>
      </c>
      <c r="AR423" s="3">
        <v>0</v>
      </c>
      <c r="AS423" s="3">
        <v>0</v>
      </c>
      <c r="AT423" s="3">
        <v>1</v>
      </c>
      <c r="AU423" s="3">
        <v>0</v>
      </c>
      <c r="AV423" s="3">
        <v>1</v>
      </c>
      <c r="AW423" s="3">
        <v>0</v>
      </c>
      <c r="AX423" s="3">
        <v>0</v>
      </c>
      <c r="AY423" s="3">
        <v>0</v>
      </c>
      <c r="AZ423" s="3">
        <v>1</v>
      </c>
      <c r="BA423" s="3">
        <v>1</v>
      </c>
      <c r="BB423" s="3">
        <v>0</v>
      </c>
      <c r="BC423" s="3">
        <v>0</v>
      </c>
      <c r="BD423" s="3">
        <v>2</v>
      </c>
      <c r="BE423" s="3">
        <v>0</v>
      </c>
      <c r="BG423" s="2" t="s">
        <v>139</v>
      </c>
      <c r="BH423" s="3">
        <v>2</v>
      </c>
      <c r="BJ423" s="2" t="s">
        <v>96</v>
      </c>
      <c r="BL423" s="2" t="s">
        <v>446</v>
      </c>
      <c r="BM423" s="2" t="s">
        <v>447</v>
      </c>
      <c r="BN423" s="2" t="s">
        <v>279</v>
      </c>
      <c r="BO423" s="2" t="s">
        <v>280</v>
      </c>
      <c r="BP423" s="2" t="s">
        <v>242</v>
      </c>
      <c r="BQ423" s="2" t="s">
        <v>448</v>
      </c>
      <c r="BR423" s="2" t="s">
        <v>449</v>
      </c>
      <c r="BS423" s="2" t="s">
        <v>450</v>
      </c>
      <c r="BT423" s="2" t="s">
        <v>1030</v>
      </c>
      <c r="BU423" s="2" t="s">
        <v>1031</v>
      </c>
      <c r="BV423" s="2" t="s">
        <v>166</v>
      </c>
      <c r="BW423" s="2" t="s">
        <v>167</v>
      </c>
      <c r="BX423" s="2" t="s">
        <v>139</v>
      </c>
      <c r="BY42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23" s="2">
        <f>IF(AND(Cases[[#This Row],[Priority Level]]&gt;=3,Cases[[#This Row],[System Role]]&lt;&gt;"Productive"),1,0)</f>
        <v>0</v>
      </c>
      <c r="CA423" s="2">
        <f>IFERROR(IF(Cases[[#This Row],[Days at Customer]]&gt;MAX(1,Cases[[#This Row],[Days at SAP]]*2),1,0),0)</f>
        <v>1</v>
      </c>
      <c r="CB423" s="2">
        <f>IF(AND(Cases[[#This Row],[Initial Component]]&lt;&gt;"",Cases[[#This Row],[Component]]&lt;&gt;"",Cases[[#This Row],[Initial Component]]&lt;&gt;Cases[[#This Row],[Component]]),1,0)</f>
        <v>1</v>
      </c>
      <c r="CC423" s="2">
        <f>IF(OR(Cases[[#This Row],[Is Reopened]]="X",Cases[[#This Row],[No. of Reopenings]]&gt;0),1,0)</f>
        <v>1</v>
      </c>
      <c r="CD423" s="2">
        <f>IF(Cases[[#This Row],[Confirmation Type]]="Automatic",1,0)</f>
        <v>1</v>
      </c>
      <c r="CE423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424" spans="1:83" x14ac:dyDescent="0.2">
      <c r="A424" s="1" t="s">
        <v>3429</v>
      </c>
      <c r="B424" s="2" t="s">
        <v>3430</v>
      </c>
      <c r="C424" s="2" t="s">
        <v>111</v>
      </c>
      <c r="D424" s="2" t="s">
        <v>238</v>
      </c>
      <c r="E424" s="3">
        <v>0</v>
      </c>
      <c r="F424" s="3">
        <v>41.04</v>
      </c>
      <c r="G424" s="2" t="s">
        <v>112</v>
      </c>
      <c r="H424" s="2" t="s">
        <v>113</v>
      </c>
      <c r="I424" s="3" t="s">
        <v>114</v>
      </c>
      <c r="J424" s="3">
        <v>208</v>
      </c>
      <c r="K424" s="2" t="s">
        <v>3431</v>
      </c>
      <c r="L424" s="4">
        <v>46061</v>
      </c>
      <c r="M424" s="4">
        <v>45968</v>
      </c>
      <c r="N424" s="2" t="s">
        <v>2274</v>
      </c>
      <c r="O424" s="2" t="s">
        <v>1805</v>
      </c>
      <c r="P424" s="2" t="s">
        <v>2583</v>
      </c>
      <c r="Q424" s="2" t="s">
        <v>1806</v>
      </c>
      <c r="R424" s="2" t="s">
        <v>116</v>
      </c>
      <c r="S424" s="4">
        <v>45919</v>
      </c>
      <c r="T424" s="2" t="s">
        <v>3264</v>
      </c>
      <c r="U424" s="2" t="s">
        <v>3265</v>
      </c>
      <c r="V424" s="2" t="s">
        <v>3423</v>
      </c>
      <c r="W424" s="2" t="s">
        <v>1806</v>
      </c>
      <c r="X424" s="2" t="s">
        <v>117</v>
      </c>
      <c r="Y424" s="3" t="s">
        <v>118</v>
      </c>
      <c r="Z424" s="3">
        <v>41.04</v>
      </c>
      <c r="AA424" s="2" t="s">
        <v>90</v>
      </c>
      <c r="AB424" s="2" t="s">
        <v>116</v>
      </c>
      <c r="AC424" s="2" t="s">
        <v>111</v>
      </c>
      <c r="AD424" t="str" cm="1">
        <f t="array" ref="AD42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424" s="2" t="s">
        <v>139</v>
      </c>
      <c r="AF424" s="2" t="s">
        <v>92</v>
      </c>
      <c r="AG424" s="2" t="s">
        <v>119</v>
      </c>
      <c r="AH424" s="2" t="s">
        <v>120</v>
      </c>
      <c r="AK424" s="2" t="s">
        <v>3432</v>
      </c>
      <c r="AN424" s="3">
        <v>1</v>
      </c>
      <c r="AO424" s="3">
        <v>0</v>
      </c>
      <c r="AP424" s="3">
        <v>1</v>
      </c>
      <c r="AQ424" s="3">
        <v>1</v>
      </c>
      <c r="AR424" s="3">
        <v>1</v>
      </c>
      <c r="AS424" s="3">
        <v>0</v>
      </c>
      <c r="AT424" s="3">
        <v>0</v>
      </c>
      <c r="AU424" s="3">
        <v>0</v>
      </c>
      <c r="AV424" s="3">
        <v>1</v>
      </c>
      <c r="AW424" s="3">
        <v>0</v>
      </c>
      <c r="AX424" s="3">
        <v>1</v>
      </c>
      <c r="AY424" s="3">
        <v>0</v>
      </c>
      <c r="AZ424" s="3">
        <v>0</v>
      </c>
      <c r="BA424" s="3">
        <v>0</v>
      </c>
      <c r="BB424" s="3">
        <v>0</v>
      </c>
      <c r="BC424" s="3">
        <v>1</v>
      </c>
      <c r="BD424" s="3">
        <v>0</v>
      </c>
      <c r="BE424" s="3">
        <v>0</v>
      </c>
      <c r="BG424" s="2" t="s">
        <v>91</v>
      </c>
      <c r="BH424" s="3">
        <v>3</v>
      </c>
      <c r="BI424" s="2" t="s">
        <v>122</v>
      </c>
      <c r="BJ424" s="2" t="s">
        <v>96</v>
      </c>
      <c r="BL424" s="2" t="s">
        <v>123</v>
      </c>
      <c r="BM424" s="2" t="s">
        <v>123</v>
      </c>
      <c r="BN424" s="2" t="s">
        <v>124</v>
      </c>
      <c r="BO424" s="2" t="s">
        <v>125</v>
      </c>
      <c r="BP424" s="2" t="s">
        <v>242</v>
      </c>
      <c r="BQ424" s="2" t="s">
        <v>124</v>
      </c>
      <c r="BR424" s="2" t="s">
        <v>126</v>
      </c>
      <c r="BS424" s="2" t="s">
        <v>127</v>
      </c>
      <c r="BT424" s="2" t="s">
        <v>207</v>
      </c>
      <c r="BU424" s="2" t="s">
        <v>208</v>
      </c>
      <c r="BV424" s="2" t="s">
        <v>150</v>
      </c>
      <c r="BW424" s="2" t="s">
        <v>151</v>
      </c>
      <c r="BX424" s="2" t="s">
        <v>91</v>
      </c>
      <c r="BY42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24" s="2">
        <f>IF(AND(Cases[[#This Row],[Priority Level]]&gt;=3,Cases[[#This Row],[System Role]]&lt;&gt;"Productive"),1,0)</f>
        <v>0</v>
      </c>
      <c r="CA424" s="2">
        <f>IFERROR(IF(Cases[[#This Row],[Days at Customer]]&gt;MAX(1,Cases[[#This Row],[Days at SAP]]*2),1,0),0)</f>
        <v>1</v>
      </c>
      <c r="CB424" s="2">
        <f>IF(AND(Cases[[#This Row],[Initial Component]]&lt;&gt;"",Cases[[#This Row],[Component]]&lt;&gt;"",Cases[[#This Row],[Initial Component]]&lt;&gt;Cases[[#This Row],[Component]]),1,0)</f>
        <v>0</v>
      </c>
      <c r="CC424" s="2">
        <f>IF(OR(Cases[[#This Row],[Is Reopened]]="X",Cases[[#This Row],[No. of Reopenings]]&gt;0),1,0)</f>
        <v>0</v>
      </c>
      <c r="CD424" s="2">
        <f>IF(Cases[[#This Row],[Confirmation Type]]="Automatic",1,0)</f>
        <v>1</v>
      </c>
      <c r="CE42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25" spans="1:83" x14ac:dyDescent="0.2">
      <c r="A425" s="1" t="s">
        <v>2504</v>
      </c>
      <c r="B425" s="2" t="s">
        <v>2505</v>
      </c>
      <c r="C425" s="2" t="s">
        <v>2506</v>
      </c>
      <c r="D425" s="2" t="s">
        <v>238</v>
      </c>
      <c r="E425" s="3">
        <v>1.6</v>
      </c>
      <c r="F425" s="3">
        <v>26.43</v>
      </c>
      <c r="G425" s="2" t="s">
        <v>79</v>
      </c>
      <c r="H425" s="2" t="s">
        <v>178</v>
      </c>
      <c r="I425" s="3" t="s">
        <v>114</v>
      </c>
      <c r="J425" s="3">
        <v>153</v>
      </c>
      <c r="K425" s="2" t="s">
        <v>2507</v>
      </c>
      <c r="L425" s="4">
        <v>46009</v>
      </c>
      <c r="M425" s="4">
        <v>46003</v>
      </c>
      <c r="N425" s="2" t="s">
        <v>1804</v>
      </c>
      <c r="O425" s="2" t="s">
        <v>1805</v>
      </c>
      <c r="P425" s="2" t="s">
        <v>2037</v>
      </c>
      <c r="Q425" s="2" t="s">
        <v>1806</v>
      </c>
      <c r="R425" s="2" t="s">
        <v>2508</v>
      </c>
      <c r="S425" s="4">
        <v>45974</v>
      </c>
      <c r="T425" s="2" t="s">
        <v>2274</v>
      </c>
      <c r="U425" s="2" t="s">
        <v>1805</v>
      </c>
      <c r="V425" s="2" t="s">
        <v>2467</v>
      </c>
      <c r="W425" s="2" t="s">
        <v>1806</v>
      </c>
      <c r="X425" s="2" t="s">
        <v>117</v>
      </c>
      <c r="Y425" s="3" t="s">
        <v>118</v>
      </c>
      <c r="Z425" s="3">
        <v>28.03</v>
      </c>
      <c r="AA425" s="2" t="s">
        <v>90</v>
      </c>
      <c r="AB425" s="2" t="s">
        <v>2508</v>
      </c>
      <c r="AC425" s="2" t="s">
        <v>2506</v>
      </c>
      <c r="AD425" t="str" cm="1">
        <f t="array" ref="AD42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425" s="2" t="s">
        <v>139</v>
      </c>
      <c r="AF425" s="2" t="s">
        <v>92</v>
      </c>
      <c r="AG425" s="2" t="s">
        <v>159</v>
      </c>
      <c r="AH425" s="2" t="s">
        <v>160</v>
      </c>
      <c r="AK425" s="2" t="s">
        <v>2509</v>
      </c>
      <c r="AN425" s="3">
        <v>1</v>
      </c>
      <c r="AO425" s="3">
        <v>1</v>
      </c>
      <c r="AP425" s="3">
        <v>1</v>
      </c>
      <c r="AQ425" s="3">
        <v>1</v>
      </c>
      <c r="AR425" s="3">
        <v>0</v>
      </c>
      <c r="AS425" s="3">
        <v>0</v>
      </c>
      <c r="AT425" s="3">
        <v>1</v>
      </c>
      <c r="AU425" s="3">
        <v>0</v>
      </c>
      <c r="AV425" s="3">
        <v>1</v>
      </c>
      <c r="AW425" s="3">
        <v>0</v>
      </c>
      <c r="AX425" s="3">
        <v>0</v>
      </c>
      <c r="AY425" s="3">
        <v>0</v>
      </c>
      <c r="AZ425" s="3">
        <v>1</v>
      </c>
      <c r="BA425" s="3">
        <v>0</v>
      </c>
      <c r="BB425" s="3">
        <v>0</v>
      </c>
      <c r="BC425" s="3">
        <v>1</v>
      </c>
      <c r="BD425" s="3">
        <v>0</v>
      </c>
      <c r="BE425" s="3">
        <v>0</v>
      </c>
      <c r="BG425" s="2" t="s">
        <v>139</v>
      </c>
      <c r="BH425" s="3">
        <v>2</v>
      </c>
      <c r="BJ425" s="2" t="s">
        <v>96</v>
      </c>
      <c r="BL425" s="2" t="s">
        <v>162</v>
      </c>
      <c r="BM425" s="2" t="s">
        <v>163</v>
      </c>
      <c r="BN425" s="2" t="s">
        <v>99</v>
      </c>
      <c r="BO425" s="2" t="s">
        <v>100</v>
      </c>
      <c r="BP425" s="2" t="s">
        <v>242</v>
      </c>
      <c r="BQ425" s="2" t="s">
        <v>102</v>
      </c>
      <c r="BR425" s="2" t="s">
        <v>103</v>
      </c>
      <c r="BS425" s="2" t="s">
        <v>127</v>
      </c>
      <c r="BT425" s="2" t="s">
        <v>398</v>
      </c>
      <c r="BU425" s="2" t="s">
        <v>399</v>
      </c>
      <c r="BV425" s="2" t="s">
        <v>150</v>
      </c>
      <c r="BW425" s="2" t="s">
        <v>151</v>
      </c>
      <c r="BX425" s="2" t="s">
        <v>139</v>
      </c>
      <c r="BY42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25" s="2">
        <f>IF(AND(Cases[[#This Row],[Priority Level]]&gt;=3,Cases[[#This Row],[System Role]]&lt;&gt;"Productive"),1,0)</f>
        <v>0</v>
      </c>
      <c r="CA425" s="2">
        <f>IFERROR(IF(Cases[[#This Row],[Days at Customer]]&gt;MAX(1,Cases[[#This Row],[Days at SAP]]*2),1,0),0)</f>
        <v>1</v>
      </c>
      <c r="CB425" s="2">
        <f>IF(AND(Cases[[#This Row],[Initial Component]]&lt;&gt;"",Cases[[#This Row],[Component]]&lt;&gt;"",Cases[[#This Row],[Initial Component]]&lt;&gt;Cases[[#This Row],[Component]]),1,0)</f>
        <v>0</v>
      </c>
      <c r="CC425" s="2">
        <f>IF(OR(Cases[[#This Row],[Is Reopened]]="X",Cases[[#This Row],[No. of Reopenings]]&gt;0),1,0)</f>
        <v>0</v>
      </c>
      <c r="CD425" s="2">
        <f>IF(Cases[[#This Row],[Confirmation Type]]="Automatic",1,0)</f>
        <v>1</v>
      </c>
      <c r="CE425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26" spans="1:83" x14ac:dyDescent="0.2">
      <c r="A426" s="1" t="s">
        <v>3463</v>
      </c>
      <c r="B426" s="2" t="s">
        <v>3464</v>
      </c>
      <c r="C426" s="2" t="s">
        <v>378</v>
      </c>
      <c r="D426" s="2" t="s">
        <v>238</v>
      </c>
      <c r="E426" s="3">
        <v>8.31</v>
      </c>
      <c r="F426" s="3">
        <v>42.03</v>
      </c>
      <c r="G426" s="2" t="s">
        <v>133</v>
      </c>
      <c r="H426" s="2" t="s">
        <v>324</v>
      </c>
      <c r="I426" s="3" t="s">
        <v>114</v>
      </c>
      <c r="J426" s="3">
        <v>209</v>
      </c>
      <c r="K426" s="2" t="s">
        <v>3465</v>
      </c>
      <c r="L426" s="4">
        <v>46061</v>
      </c>
      <c r="M426" s="4">
        <v>45968</v>
      </c>
      <c r="N426" s="2" t="s">
        <v>2274</v>
      </c>
      <c r="O426" s="2" t="s">
        <v>1805</v>
      </c>
      <c r="P426" s="2" t="s">
        <v>2583</v>
      </c>
      <c r="Q426" s="2" t="s">
        <v>1806</v>
      </c>
      <c r="R426" s="2" t="s">
        <v>380</v>
      </c>
      <c r="S426" s="4">
        <v>45918</v>
      </c>
      <c r="T426" s="2" t="s">
        <v>3264</v>
      </c>
      <c r="U426" s="2" t="s">
        <v>3265</v>
      </c>
      <c r="V426" s="2" t="s">
        <v>3423</v>
      </c>
      <c r="W426" s="2" t="s">
        <v>1806</v>
      </c>
      <c r="X426" s="2" t="s">
        <v>117</v>
      </c>
      <c r="Y426" s="3" t="s">
        <v>118</v>
      </c>
      <c r="Z426" s="3">
        <v>50.34</v>
      </c>
      <c r="AA426" s="2" t="s">
        <v>90</v>
      </c>
      <c r="AB426" s="2" t="s">
        <v>641</v>
      </c>
      <c r="AC426" s="2" t="s">
        <v>639</v>
      </c>
      <c r="AD426" t="str" cm="1">
        <f t="array" ref="AD42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426" s="2" t="s">
        <v>91</v>
      </c>
      <c r="AF426" s="2" t="s">
        <v>92</v>
      </c>
      <c r="AG426" s="2" t="s">
        <v>159</v>
      </c>
      <c r="AH426" s="2" t="s">
        <v>160</v>
      </c>
      <c r="AK426" s="2" t="s">
        <v>3466</v>
      </c>
      <c r="AN426" s="3">
        <v>1</v>
      </c>
      <c r="AO426" s="3">
        <v>0</v>
      </c>
      <c r="AP426" s="3">
        <v>1</v>
      </c>
      <c r="AQ426" s="3">
        <v>1</v>
      </c>
      <c r="AR426" s="3">
        <v>1</v>
      </c>
      <c r="AS426" s="3">
        <v>0</v>
      </c>
      <c r="AT426" s="3">
        <v>0</v>
      </c>
      <c r="AU426" s="3">
        <v>0</v>
      </c>
      <c r="AV426" s="3">
        <v>1</v>
      </c>
      <c r="AW426" s="3">
        <v>0</v>
      </c>
      <c r="AX426" s="3">
        <v>1</v>
      </c>
      <c r="AY426" s="3">
        <v>0</v>
      </c>
      <c r="AZ426" s="3">
        <v>0</v>
      </c>
      <c r="BA426" s="3">
        <v>0</v>
      </c>
      <c r="BB426" s="3">
        <v>0</v>
      </c>
      <c r="BC426" s="3">
        <v>1</v>
      </c>
      <c r="BD426" s="3">
        <v>0</v>
      </c>
      <c r="BE426" s="3">
        <v>0</v>
      </c>
      <c r="BG426" s="2" t="s">
        <v>91</v>
      </c>
      <c r="BH426" s="3">
        <v>3</v>
      </c>
      <c r="BJ426" s="2" t="s">
        <v>96</v>
      </c>
      <c r="BL426" s="2" t="s">
        <v>643</v>
      </c>
      <c r="BM426" s="2" t="s">
        <v>644</v>
      </c>
      <c r="BN426" s="2" t="s">
        <v>99</v>
      </c>
      <c r="BO426" s="2" t="s">
        <v>100</v>
      </c>
      <c r="BP426" s="2" t="s">
        <v>242</v>
      </c>
      <c r="BQ426" s="2" t="s">
        <v>102</v>
      </c>
      <c r="BR426" s="2" t="s">
        <v>103</v>
      </c>
      <c r="BS426" s="2" t="s">
        <v>127</v>
      </c>
      <c r="BT426" s="2" t="s">
        <v>645</v>
      </c>
      <c r="BU426" s="2" t="s">
        <v>646</v>
      </c>
      <c r="BV426" s="2" t="s">
        <v>150</v>
      </c>
      <c r="BW426" s="2" t="s">
        <v>151</v>
      </c>
      <c r="BX426" s="2" t="s">
        <v>91</v>
      </c>
      <c r="BY42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26" s="2">
        <f>IF(AND(Cases[[#This Row],[Priority Level]]&gt;=3,Cases[[#This Row],[System Role]]&lt;&gt;"Productive"),1,0)</f>
        <v>0</v>
      </c>
      <c r="CA426" s="2">
        <f>IFERROR(IF(Cases[[#This Row],[Days at Customer]]&gt;MAX(1,Cases[[#This Row],[Days at SAP]]*2),1,0),0)</f>
        <v>1</v>
      </c>
      <c r="CB426" s="2">
        <f>IF(AND(Cases[[#This Row],[Initial Component]]&lt;&gt;"",Cases[[#This Row],[Component]]&lt;&gt;"",Cases[[#This Row],[Initial Component]]&lt;&gt;Cases[[#This Row],[Component]]),1,0)</f>
        <v>1</v>
      </c>
      <c r="CC426" s="2">
        <f>IF(OR(Cases[[#This Row],[Is Reopened]]="X",Cases[[#This Row],[No. of Reopenings]]&gt;0),1,0)</f>
        <v>0</v>
      </c>
      <c r="CD426" s="2">
        <f>IF(Cases[[#This Row],[Confirmation Type]]="Automatic",1,0)</f>
        <v>1</v>
      </c>
      <c r="CE42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27" spans="1:83" x14ac:dyDescent="0.2">
      <c r="A427" s="1" t="s">
        <v>2513</v>
      </c>
      <c r="B427" s="2" t="s">
        <v>2514</v>
      </c>
      <c r="C427" s="2" t="s">
        <v>513</v>
      </c>
      <c r="D427" s="2" t="s">
        <v>238</v>
      </c>
      <c r="E427" s="3">
        <v>4.12</v>
      </c>
      <c r="F427" s="3">
        <v>27.2</v>
      </c>
      <c r="G427" s="2" t="s">
        <v>79</v>
      </c>
      <c r="H427" s="2" t="s">
        <v>290</v>
      </c>
      <c r="I427" s="3" t="s">
        <v>114</v>
      </c>
      <c r="J427" s="3">
        <v>153</v>
      </c>
      <c r="K427" s="2" t="s">
        <v>2515</v>
      </c>
      <c r="L427" s="4">
        <v>46012</v>
      </c>
      <c r="M427" s="4">
        <v>46005</v>
      </c>
      <c r="N427" s="2" t="s">
        <v>1804</v>
      </c>
      <c r="O427" s="2" t="s">
        <v>1805</v>
      </c>
      <c r="P427" s="2" t="s">
        <v>2037</v>
      </c>
      <c r="Q427" s="2" t="s">
        <v>1806</v>
      </c>
      <c r="R427" s="2" t="s">
        <v>515</v>
      </c>
      <c r="S427" s="4">
        <v>45974</v>
      </c>
      <c r="T427" s="2" t="s">
        <v>2274</v>
      </c>
      <c r="U427" s="2" t="s">
        <v>1805</v>
      </c>
      <c r="V427" s="2" t="s">
        <v>2467</v>
      </c>
      <c r="W427" s="2" t="s">
        <v>1806</v>
      </c>
      <c r="X427" s="2" t="s">
        <v>117</v>
      </c>
      <c r="Y427" s="3" t="s">
        <v>118</v>
      </c>
      <c r="Z427" s="3">
        <v>31.32</v>
      </c>
      <c r="AA427" s="2" t="s">
        <v>90</v>
      </c>
      <c r="AB427" s="2" t="s">
        <v>515</v>
      </c>
      <c r="AC427" s="2" t="s">
        <v>513</v>
      </c>
      <c r="AD427" t="str" cm="1">
        <f t="array" ref="AD42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427" s="2" t="s">
        <v>91</v>
      </c>
      <c r="AF427" s="2" t="s">
        <v>92</v>
      </c>
      <c r="AG427" s="2" t="s">
        <v>159</v>
      </c>
      <c r="AH427" s="2" t="s">
        <v>160</v>
      </c>
      <c r="AK427" s="2" t="s">
        <v>2516</v>
      </c>
      <c r="AN427" s="3">
        <v>1</v>
      </c>
      <c r="AO427" s="3">
        <v>1</v>
      </c>
      <c r="AP427" s="3">
        <v>1</v>
      </c>
      <c r="AQ427" s="3">
        <v>1</v>
      </c>
      <c r="AR427" s="3">
        <v>1</v>
      </c>
      <c r="AS427" s="3">
        <v>0</v>
      </c>
      <c r="AT427" s="3">
        <v>0</v>
      </c>
      <c r="AU427" s="3">
        <v>0</v>
      </c>
      <c r="AV427" s="3">
        <v>1</v>
      </c>
      <c r="AW427" s="3">
        <v>0</v>
      </c>
      <c r="AX427" s="3">
        <v>1</v>
      </c>
      <c r="AY427" s="3">
        <v>0</v>
      </c>
      <c r="AZ427" s="3">
        <v>0</v>
      </c>
      <c r="BA427" s="3">
        <v>0</v>
      </c>
      <c r="BB427" s="3">
        <v>0</v>
      </c>
      <c r="BC427" s="3">
        <v>1</v>
      </c>
      <c r="BD427" s="3">
        <v>0</v>
      </c>
      <c r="BE427" s="3">
        <v>0</v>
      </c>
      <c r="BG427" s="2" t="s">
        <v>91</v>
      </c>
      <c r="BH427" s="3">
        <v>3</v>
      </c>
      <c r="BJ427" s="2" t="s">
        <v>96</v>
      </c>
      <c r="BL427" s="2" t="s">
        <v>97</v>
      </c>
      <c r="BM427" s="2" t="s">
        <v>98</v>
      </c>
      <c r="BN427" s="2" t="s">
        <v>99</v>
      </c>
      <c r="BO427" s="2" t="s">
        <v>100</v>
      </c>
      <c r="BP427" s="2" t="s">
        <v>242</v>
      </c>
      <c r="BQ427" s="2" t="s">
        <v>102</v>
      </c>
      <c r="BR427" s="2" t="s">
        <v>103</v>
      </c>
      <c r="BS427" s="2" t="s">
        <v>127</v>
      </c>
      <c r="BT427" s="2" t="s">
        <v>661</v>
      </c>
      <c r="BU427" s="2" t="s">
        <v>662</v>
      </c>
      <c r="BV427" s="2" t="s">
        <v>150</v>
      </c>
      <c r="BW427" s="2" t="s">
        <v>151</v>
      </c>
      <c r="BX427" s="2" t="s">
        <v>91</v>
      </c>
      <c r="BY42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27" s="2">
        <f>IF(AND(Cases[[#This Row],[Priority Level]]&gt;=3,Cases[[#This Row],[System Role]]&lt;&gt;"Productive"),1,0)</f>
        <v>0</v>
      </c>
      <c r="CA427" s="2">
        <f>IFERROR(IF(Cases[[#This Row],[Days at Customer]]&gt;MAX(1,Cases[[#This Row],[Days at SAP]]*2),1,0),0)</f>
        <v>1</v>
      </c>
      <c r="CB427" s="2">
        <f>IF(AND(Cases[[#This Row],[Initial Component]]&lt;&gt;"",Cases[[#This Row],[Component]]&lt;&gt;"",Cases[[#This Row],[Initial Component]]&lt;&gt;Cases[[#This Row],[Component]]),1,0)</f>
        <v>0</v>
      </c>
      <c r="CC427" s="2">
        <f>IF(OR(Cases[[#This Row],[Is Reopened]]="X",Cases[[#This Row],[No. of Reopenings]]&gt;0),1,0)</f>
        <v>0</v>
      </c>
      <c r="CD427" s="2">
        <f>IF(Cases[[#This Row],[Confirmation Type]]="Automatic",1,0)</f>
        <v>1</v>
      </c>
      <c r="CE42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28" spans="1:83" x14ac:dyDescent="0.2">
      <c r="A428" s="1" t="s">
        <v>3594</v>
      </c>
      <c r="B428" s="2" t="s">
        <v>3595</v>
      </c>
      <c r="C428" s="2" t="s">
        <v>3596</v>
      </c>
      <c r="D428" s="2" t="s">
        <v>238</v>
      </c>
      <c r="E428" s="3">
        <v>22.66</v>
      </c>
      <c r="F428" s="3">
        <v>34.08</v>
      </c>
      <c r="G428" s="2" t="s">
        <v>79</v>
      </c>
      <c r="H428" s="2" t="s">
        <v>80</v>
      </c>
      <c r="I428" s="3" t="s">
        <v>114</v>
      </c>
      <c r="J428" s="3">
        <v>219</v>
      </c>
      <c r="K428" s="2" t="s">
        <v>3597</v>
      </c>
      <c r="L428" s="4">
        <v>46061</v>
      </c>
      <c r="M428" s="4">
        <v>45964</v>
      </c>
      <c r="N428" s="2" t="s">
        <v>2274</v>
      </c>
      <c r="O428" s="2" t="s">
        <v>1805</v>
      </c>
      <c r="P428" s="2" t="s">
        <v>2583</v>
      </c>
      <c r="Q428" s="2" t="s">
        <v>1806</v>
      </c>
      <c r="R428" s="2" t="s">
        <v>3598</v>
      </c>
      <c r="S428" s="4">
        <v>45908</v>
      </c>
      <c r="T428" s="2" t="s">
        <v>3264</v>
      </c>
      <c r="U428" s="2" t="s">
        <v>3265</v>
      </c>
      <c r="V428" s="2" t="s">
        <v>3540</v>
      </c>
      <c r="W428" s="2" t="s">
        <v>1806</v>
      </c>
      <c r="X428" s="2" t="s">
        <v>117</v>
      </c>
      <c r="Y428" s="3" t="s">
        <v>118</v>
      </c>
      <c r="Z428" s="3">
        <v>56.74</v>
      </c>
      <c r="AA428" s="2" t="s">
        <v>138</v>
      </c>
      <c r="AB428" s="2" t="s">
        <v>2324</v>
      </c>
      <c r="AC428" s="2" t="s">
        <v>2725</v>
      </c>
      <c r="AD428" t="str" cm="1">
        <f t="array" ref="AD42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428" s="2" t="s">
        <v>139</v>
      </c>
      <c r="AF428" s="2" t="s">
        <v>92</v>
      </c>
      <c r="AG428" s="2" t="s">
        <v>274</v>
      </c>
      <c r="AH428" s="2" t="s">
        <v>275</v>
      </c>
      <c r="AK428" s="2" t="s">
        <v>3599</v>
      </c>
      <c r="AN428" s="3">
        <v>1</v>
      </c>
      <c r="AO428" s="3">
        <v>0</v>
      </c>
      <c r="AP428" s="3">
        <v>1</v>
      </c>
      <c r="AQ428" s="3">
        <v>1</v>
      </c>
      <c r="AR428" s="3">
        <v>0</v>
      </c>
      <c r="AS428" s="3">
        <v>0</v>
      </c>
      <c r="AT428" s="3">
        <v>1</v>
      </c>
      <c r="AU428" s="3">
        <v>0</v>
      </c>
      <c r="AV428" s="3">
        <v>1</v>
      </c>
      <c r="AW428" s="3">
        <v>0</v>
      </c>
      <c r="AX428" s="3">
        <v>0</v>
      </c>
      <c r="AY428" s="3">
        <v>0</v>
      </c>
      <c r="AZ428" s="3">
        <v>1</v>
      </c>
      <c r="BA428" s="3">
        <v>0</v>
      </c>
      <c r="BB428" s="3">
        <v>0</v>
      </c>
      <c r="BC428" s="3">
        <v>1</v>
      </c>
      <c r="BD428" s="3">
        <v>0</v>
      </c>
      <c r="BE428" s="3">
        <v>0</v>
      </c>
      <c r="BG428" s="2" t="s">
        <v>139</v>
      </c>
      <c r="BH428" s="3">
        <v>2</v>
      </c>
      <c r="BJ428" s="2" t="s">
        <v>96</v>
      </c>
      <c r="BL428" s="2" t="s">
        <v>2324</v>
      </c>
      <c r="BM428" s="2" t="s">
        <v>2325</v>
      </c>
      <c r="BN428" s="2" t="s">
        <v>279</v>
      </c>
      <c r="BO428" s="2" t="s">
        <v>280</v>
      </c>
      <c r="BP428" s="2" t="s">
        <v>242</v>
      </c>
      <c r="BQ428" s="2" t="s">
        <v>448</v>
      </c>
      <c r="BR428" s="2" t="s">
        <v>449</v>
      </c>
      <c r="BS428" s="2" t="s">
        <v>147</v>
      </c>
      <c r="BT428" s="2" t="s">
        <v>148</v>
      </c>
      <c r="BU428" s="2" t="s">
        <v>2326</v>
      </c>
      <c r="BV428" s="2" t="s">
        <v>150</v>
      </c>
      <c r="BW428" s="2" t="s">
        <v>151</v>
      </c>
      <c r="BX428" s="2" t="s">
        <v>139</v>
      </c>
      <c r="BY42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28" s="2">
        <f>IF(AND(Cases[[#This Row],[Priority Level]]&gt;=3,Cases[[#This Row],[System Role]]&lt;&gt;"Productive"),1,0)</f>
        <v>0</v>
      </c>
      <c r="CA428" s="2">
        <f>IFERROR(IF(Cases[[#This Row],[Days at Customer]]&gt;MAX(1,Cases[[#This Row],[Days at SAP]]*2),1,0),0)</f>
        <v>0</v>
      </c>
      <c r="CB428" s="2">
        <f>IF(AND(Cases[[#This Row],[Initial Component]]&lt;&gt;"",Cases[[#This Row],[Component]]&lt;&gt;"",Cases[[#This Row],[Initial Component]]&lt;&gt;Cases[[#This Row],[Component]]),1,0)</f>
        <v>1</v>
      </c>
      <c r="CC428" s="2">
        <f>IF(OR(Cases[[#This Row],[Is Reopened]]="X",Cases[[#This Row],[No. of Reopenings]]&gt;0),1,0)</f>
        <v>0</v>
      </c>
      <c r="CD428" s="2">
        <f>IF(Cases[[#This Row],[Confirmation Type]]="Automatic",1,0)</f>
        <v>1</v>
      </c>
      <c r="CE42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29" spans="1:83" x14ac:dyDescent="0.2">
      <c r="A429" s="1" t="s">
        <v>2521</v>
      </c>
      <c r="B429" s="2" t="s">
        <v>2522</v>
      </c>
      <c r="C429" s="2" t="s">
        <v>364</v>
      </c>
      <c r="D429" s="2" t="s">
        <v>238</v>
      </c>
      <c r="E429" s="3">
        <v>13.78</v>
      </c>
      <c r="F429" s="3">
        <v>49.97</v>
      </c>
      <c r="G429" s="2" t="s">
        <v>190</v>
      </c>
      <c r="H429" s="2" t="s">
        <v>308</v>
      </c>
      <c r="I429" s="3" t="s">
        <v>114</v>
      </c>
      <c r="J429" s="3">
        <v>154</v>
      </c>
      <c r="K429" s="2" t="s">
        <v>2523</v>
      </c>
      <c r="L429" s="4">
        <v>46040</v>
      </c>
      <c r="M429" s="4">
        <v>46037</v>
      </c>
      <c r="N429" s="2" t="s">
        <v>1334</v>
      </c>
      <c r="O429" s="2" t="s">
        <v>181</v>
      </c>
      <c r="P429" s="2" t="s">
        <v>180</v>
      </c>
      <c r="Q429" s="2" t="s">
        <v>86</v>
      </c>
      <c r="R429" s="2" t="s">
        <v>363</v>
      </c>
      <c r="S429" s="4">
        <v>45973</v>
      </c>
      <c r="T429" s="2" t="s">
        <v>2274</v>
      </c>
      <c r="U429" s="2" t="s">
        <v>1805</v>
      </c>
      <c r="V429" s="2" t="s">
        <v>2467</v>
      </c>
      <c r="W429" s="2" t="s">
        <v>1806</v>
      </c>
      <c r="X429" s="2" t="s">
        <v>117</v>
      </c>
      <c r="Y429" s="3" t="s">
        <v>118</v>
      </c>
      <c r="Z429" s="3">
        <v>63.75</v>
      </c>
      <c r="AA429" s="2" t="s">
        <v>90</v>
      </c>
      <c r="AB429" s="2" t="s">
        <v>363</v>
      </c>
      <c r="AC429" s="2" t="s">
        <v>364</v>
      </c>
      <c r="AD429" t="str" cm="1">
        <f t="array" ref="AD42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429" s="2" t="s">
        <v>139</v>
      </c>
      <c r="AF429" s="2" t="s">
        <v>92</v>
      </c>
      <c r="AG429" s="2" t="s">
        <v>119</v>
      </c>
      <c r="AH429" s="2" t="s">
        <v>120</v>
      </c>
      <c r="AK429" s="2" t="s">
        <v>2524</v>
      </c>
      <c r="AN429" s="3">
        <v>1</v>
      </c>
      <c r="AO429" s="3">
        <v>1</v>
      </c>
      <c r="AP429" s="3">
        <v>1</v>
      </c>
      <c r="AQ429" s="3">
        <v>1</v>
      </c>
      <c r="AR429" s="3">
        <v>0</v>
      </c>
      <c r="AS429" s="3">
        <v>0</v>
      </c>
      <c r="AT429" s="3">
        <v>1</v>
      </c>
      <c r="AU429" s="3">
        <v>0</v>
      </c>
      <c r="AV429" s="3">
        <v>1</v>
      </c>
      <c r="AW429" s="3">
        <v>0</v>
      </c>
      <c r="AX429" s="3">
        <v>0</v>
      </c>
      <c r="AY429" s="3">
        <v>0</v>
      </c>
      <c r="AZ429" s="3">
        <v>1</v>
      </c>
      <c r="BA429" s="3">
        <v>1</v>
      </c>
      <c r="BB429" s="3">
        <v>0</v>
      </c>
      <c r="BC429" s="3">
        <v>0</v>
      </c>
      <c r="BD429" s="3">
        <v>0</v>
      </c>
      <c r="BE429" s="3">
        <v>0</v>
      </c>
      <c r="BG429" s="2" t="s">
        <v>139</v>
      </c>
      <c r="BH429" s="3">
        <v>2</v>
      </c>
      <c r="BJ429" s="2" t="s">
        <v>96</v>
      </c>
      <c r="BL429" s="2" t="s">
        <v>123</v>
      </c>
      <c r="BM429" s="2" t="s">
        <v>123</v>
      </c>
      <c r="BN429" s="2" t="s">
        <v>124</v>
      </c>
      <c r="BO429" s="2" t="s">
        <v>125</v>
      </c>
      <c r="BP429" s="2" t="s">
        <v>242</v>
      </c>
      <c r="BQ429" s="2" t="s">
        <v>124</v>
      </c>
      <c r="BR429" s="2" t="s">
        <v>126</v>
      </c>
      <c r="BS429" s="2" t="s">
        <v>127</v>
      </c>
      <c r="BT429" s="2" t="s">
        <v>199</v>
      </c>
      <c r="BU429" s="2" t="s">
        <v>200</v>
      </c>
      <c r="BV429" s="2" t="s">
        <v>166</v>
      </c>
      <c r="BW429" s="2" t="s">
        <v>167</v>
      </c>
      <c r="BX429" s="2" t="s">
        <v>139</v>
      </c>
      <c r="BY42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29" s="2">
        <f>IF(AND(Cases[[#This Row],[Priority Level]]&gt;=3,Cases[[#This Row],[System Role]]&lt;&gt;"Productive"),1,0)</f>
        <v>0</v>
      </c>
      <c r="CA429" s="2">
        <f>IFERROR(IF(Cases[[#This Row],[Days at Customer]]&gt;MAX(1,Cases[[#This Row],[Days at SAP]]*2),1,0),0)</f>
        <v>1</v>
      </c>
      <c r="CB429" s="2">
        <f>IF(AND(Cases[[#This Row],[Initial Component]]&lt;&gt;"",Cases[[#This Row],[Component]]&lt;&gt;"",Cases[[#This Row],[Initial Component]]&lt;&gt;Cases[[#This Row],[Component]]),1,0)</f>
        <v>0</v>
      </c>
      <c r="CC429" s="2">
        <f>IF(OR(Cases[[#This Row],[Is Reopened]]="X",Cases[[#This Row],[No. of Reopenings]]&gt;0),1,0)</f>
        <v>0</v>
      </c>
      <c r="CD429" s="2">
        <f>IF(Cases[[#This Row],[Confirmation Type]]="Automatic",1,0)</f>
        <v>1</v>
      </c>
      <c r="CE429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30" spans="1:83" x14ac:dyDescent="0.2">
      <c r="A430" s="1" t="s">
        <v>2525</v>
      </c>
      <c r="B430" s="2" t="s">
        <v>2526</v>
      </c>
      <c r="C430" s="2" t="s">
        <v>2527</v>
      </c>
      <c r="D430" s="2" t="s">
        <v>238</v>
      </c>
      <c r="E430" s="3">
        <v>4.24</v>
      </c>
      <c r="F430" s="3">
        <v>79.290000000000006</v>
      </c>
      <c r="G430" s="2" t="s">
        <v>79</v>
      </c>
      <c r="H430" s="2" t="s">
        <v>80</v>
      </c>
      <c r="I430" s="3" t="s">
        <v>114</v>
      </c>
      <c r="J430" s="3">
        <v>154</v>
      </c>
      <c r="K430" s="2" t="s">
        <v>2528</v>
      </c>
      <c r="L430" s="4">
        <v>46061</v>
      </c>
      <c r="M430" s="4">
        <v>46057</v>
      </c>
      <c r="N430" s="2" t="s">
        <v>677</v>
      </c>
      <c r="O430" s="2" t="s">
        <v>181</v>
      </c>
      <c r="P430" s="2" t="s">
        <v>1165</v>
      </c>
      <c r="Q430" s="2" t="s">
        <v>86</v>
      </c>
      <c r="R430" s="2" t="s">
        <v>2529</v>
      </c>
      <c r="S430" s="4">
        <v>45973</v>
      </c>
      <c r="T430" s="2" t="s">
        <v>2274</v>
      </c>
      <c r="U430" s="2" t="s">
        <v>1805</v>
      </c>
      <c r="V430" s="2" t="s">
        <v>2467</v>
      </c>
      <c r="W430" s="2" t="s">
        <v>1806</v>
      </c>
      <c r="X430" s="2" t="s">
        <v>117</v>
      </c>
      <c r="Y430" s="3" t="s">
        <v>118</v>
      </c>
      <c r="Z430" s="3">
        <v>83.53</v>
      </c>
      <c r="AA430" s="2" t="s">
        <v>90</v>
      </c>
      <c r="AB430" s="2" t="s">
        <v>2530</v>
      </c>
      <c r="AC430" s="2" t="s">
        <v>2531</v>
      </c>
      <c r="AD430" t="str" cm="1">
        <f t="array" ref="AD43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430" s="2" t="s">
        <v>91</v>
      </c>
      <c r="AF430" s="2" t="s">
        <v>92</v>
      </c>
      <c r="AG430" s="2" t="s">
        <v>353</v>
      </c>
      <c r="AH430" s="2" t="s">
        <v>354</v>
      </c>
      <c r="AK430" s="2" t="s">
        <v>2532</v>
      </c>
      <c r="AN430" s="3">
        <v>1</v>
      </c>
      <c r="AO430" s="3">
        <v>1</v>
      </c>
      <c r="AP430" s="3">
        <v>1</v>
      </c>
      <c r="AQ430" s="3">
        <v>1</v>
      </c>
      <c r="AR430" s="3">
        <v>0</v>
      </c>
      <c r="AS430" s="3">
        <v>0</v>
      </c>
      <c r="AT430" s="3">
        <v>1</v>
      </c>
      <c r="AU430" s="3">
        <v>0</v>
      </c>
      <c r="AV430" s="3">
        <v>1</v>
      </c>
      <c r="AW430" s="3">
        <v>0</v>
      </c>
      <c r="AX430" s="3">
        <v>0</v>
      </c>
      <c r="AY430" s="3">
        <v>0</v>
      </c>
      <c r="AZ430" s="3">
        <v>1</v>
      </c>
      <c r="BA430" s="3">
        <v>1</v>
      </c>
      <c r="BB430" s="3">
        <v>0</v>
      </c>
      <c r="BC430" s="3">
        <v>0</v>
      </c>
      <c r="BD430" s="3">
        <v>0</v>
      </c>
      <c r="BE430" s="3">
        <v>0</v>
      </c>
      <c r="BG430" s="2" t="s">
        <v>139</v>
      </c>
      <c r="BH430" s="3">
        <v>2</v>
      </c>
      <c r="BJ430" s="2" t="s">
        <v>96</v>
      </c>
      <c r="BL430" s="2" t="s">
        <v>97</v>
      </c>
      <c r="BM430" s="2" t="s">
        <v>98</v>
      </c>
      <c r="BN430" s="2" t="s">
        <v>99</v>
      </c>
      <c r="BO430" s="2" t="s">
        <v>100</v>
      </c>
      <c r="BP430" s="2" t="s">
        <v>242</v>
      </c>
      <c r="BQ430" s="2" t="s">
        <v>102</v>
      </c>
      <c r="BR430" s="2" t="s">
        <v>103</v>
      </c>
      <c r="BS430" s="2" t="s">
        <v>713</v>
      </c>
      <c r="BT430" s="2" t="s">
        <v>2533</v>
      </c>
      <c r="BU430" s="2" t="s">
        <v>2534</v>
      </c>
      <c r="BV430" s="2" t="s">
        <v>107</v>
      </c>
      <c r="BW430" s="2" t="s">
        <v>108</v>
      </c>
      <c r="BX430" s="2" t="s">
        <v>91</v>
      </c>
      <c r="BY43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30" s="2">
        <f>IF(AND(Cases[[#This Row],[Priority Level]]&gt;=3,Cases[[#This Row],[System Role]]&lt;&gt;"Productive"),1,0)</f>
        <v>0</v>
      </c>
      <c r="CA430" s="2">
        <f>IFERROR(IF(Cases[[#This Row],[Days at Customer]]&gt;MAX(1,Cases[[#This Row],[Days at SAP]]*2),1,0),0)</f>
        <v>1</v>
      </c>
      <c r="CB430" s="2">
        <f>IF(AND(Cases[[#This Row],[Initial Component]]&lt;&gt;"",Cases[[#This Row],[Component]]&lt;&gt;"",Cases[[#This Row],[Initial Component]]&lt;&gt;Cases[[#This Row],[Component]]),1,0)</f>
        <v>1</v>
      </c>
      <c r="CC430" s="2">
        <f>IF(OR(Cases[[#This Row],[Is Reopened]]="X",Cases[[#This Row],[No. of Reopenings]]&gt;0),1,0)</f>
        <v>0</v>
      </c>
      <c r="CD430" s="2">
        <f>IF(Cases[[#This Row],[Confirmation Type]]="Automatic",1,0)</f>
        <v>1</v>
      </c>
      <c r="CE43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31" spans="1:83" x14ac:dyDescent="0.2">
      <c r="A431" s="1" t="s">
        <v>2535</v>
      </c>
      <c r="B431" s="2" t="s">
        <v>2536</v>
      </c>
      <c r="C431" s="2" t="s">
        <v>572</v>
      </c>
      <c r="D431" s="2" t="s">
        <v>78</v>
      </c>
      <c r="E431" s="3">
        <v>2.34</v>
      </c>
      <c r="F431" s="3">
        <v>13.69</v>
      </c>
      <c r="G431" s="2" t="s">
        <v>112</v>
      </c>
      <c r="H431" s="2" t="s">
        <v>113</v>
      </c>
      <c r="I431" s="3" t="s">
        <v>114</v>
      </c>
      <c r="J431" s="3">
        <v>154</v>
      </c>
      <c r="K431" s="2" t="s">
        <v>2537</v>
      </c>
      <c r="L431" s="4">
        <v>46062</v>
      </c>
      <c r="M431" s="4">
        <v>45989</v>
      </c>
      <c r="N431" s="2" t="s">
        <v>2274</v>
      </c>
      <c r="O431" s="2" t="s">
        <v>1805</v>
      </c>
      <c r="P431" s="2" t="s">
        <v>2275</v>
      </c>
      <c r="Q431" s="2" t="s">
        <v>1806</v>
      </c>
      <c r="R431" s="2" t="s">
        <v>574</v>
      </c>
      <c r="S431" s="4">
        <v>45973</v>
      </c>
      <c r="T431" s="2" t="s">
        <v>2274</v>
      </c>
      <c r="U431" s="2" t="s">
        <v>1805</v>
      </c>
      <c r="V431" s="2" t="s">
        <v>2467</v>
      </c>
      <c r="W431" s="2" t="s">
        <v>1806</v>
      </c>
      <c r="X431" s="2" t="s">
        <v>117</v>
      </c>
      <c r="Y431" s="3" t="s">
        <v>118</v>
      </c>
      <c r="Z431" s="3">
        <v>16.04</v>
      </c>
      <c r="AA431" s="2" t="s">
        <v>138</v>
      </c>
      <c r="AB431" s="2" t="s">
        <v>574</v>
      </c>
      <c r="AC431" s="2" t="s">
        <v>572</v>
      </c>
      <c r="AD431" t="str" cm="1">
        <f t="array" ref="AD43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431" s="2" t="s">
        <v>91</v>
      </c>
      <c r="AF431" s="2" t="s">
        <v>92</v>
      </c>
      <c r="AG431" s="2" t="s">
        <v>575</v>
      </c>
      <c r="AH431" s="2" t="s">
        <v>576</v>
      </c>
      <c r="AJ431" s="2" t="s">
        <v>122</v>
      </c>
      <c r="AK431" s="2" t="s">
        <v>2538</v>
      </c>
      <c r="AN431" s="3">
        <v>1</v>
      </c>
      <c r="AO431" s="3">
        <v>1</v>
      </c>
      <c r="AP431" s="3">
        <v>1</v>
      </c>
      <c r="AQ431" s="3">
        <v>1</v>
      </c>
      <c r="AR431" s="3">
        <v>1</v>
      </c>
      <c r="AS431" s="3">
        <v>0</v>
      </c>
      <c r="AT431" s="3">
        <v>0</v>
      </c>
      <c r="AU431" s="3">
        <v>0</v>
      </c>
      <c r="AV431" s="3">
        <v>0</v>
      </c>
      <c r="AW431" s="3">
        <v>1</v>
      </c>
      <c r="AX431" s="3">
        <v>1</v>
      </c>
      <c r="AY431" s="3">
        <v>0</v>
      </c>
      <c r="AZ431" s="3">
        <v>0</v>
      </c>
      <c r="BA431" s="3">
        <v>0</v>
      </c>
      <c r="BB431" s="3">
        <v>0</v>
      </c>
      <c r="BC431" s="3">
        <v>1</v>
      </c>
      <c r="BD431" s="3">
        <v>1</v>
      </c>
      <c r="BE431" s="3">
        <v>0</v>
      </c>
      <c r="BG431" s="2" t="s">
        <v>91</v>
      </c>
      <c r="BH431" s="3">
        <v>3</v>
      </c>
      <c r="BJ431" s="2" t="s">
        <v>96</v>
      </c>
      <c r="BL431" s="2" t="s">
        <v>578</v>
      </c>
      <c r="BM431" s="2" t="s">
        <v>579</v>
      </c>
      <c r="BN431" s="2" t="s">
        <v>99</v>
      </c>
      <c r="BO431" s="2" t="s">
        <v>100</v>
      </c>
      <c r="BP431" s="2" t="s">
        <v>101</v>
      </c>
      <c r="BQ431" s="2" t="s">
        <v>145</v>
      </c>
      <c r="BR431" s="2" t="s">
        <v>146</v>
      </c>
      <c r="BS431" s="2" t="s">
        <v>450</v>
      </c>
      <c r="BT431" s="2" t="s">
        <v>148</v>
      </c>
      <c r="BU431" s="2" t="s">
        <v>2539</v>
      </c>
      <c r="BV431" s="2" t="s">
        <v>150</v>
      </c>
      <c r="BW431" s="2" t="s">
        <v>151</v>
      </c>
      <c r="BX431" s="2" t="s">
        <v>182</v>
      </c>
      <c r="BY43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31" s="2">
        <f>IF(AND(Cases[[#This Row],[Priority Level]]&gt;=3,Cases[[#This Row],[System Role]]&lt;&gt;"Productive"),1,0)</f>
        <v>0</v>
      </c>
      <c r="CA431" s="2">
        <f>IFERROR(IF(Cases[[#This Row],[Days at Customer]]&gt;MAX(1,Cases[[#This Row],[Days at SAP]]*2),1,0),0)</f>
        <v>1</v>
      </c>
      <c r="CB431" s="2">
        <f>IF(AND(Cases[[#This Row],[Initial Component]]&lt;&gt;"",Cases[[#This Row],[Component]]&lt;&gt;"",Cases[[#This Row],[Initial Component]]&lt;&gt;Cases[[#This Row],[Component]]),1,0)</f>
        <v>0</v>
      </c>
      <c r="CC431" s="2">
        <f>IF(OR(Cases[[#This Row],[Is Reopened]]="X",Cases[[#This Row],[No. of Reopenings]]&gt;0),1,0)</f>
        <v>1</v>
      </c>
      <c r="CD431" s="2">
        <f>IF(Cases[[#This Row],[Confirmation Type]]="Automatic",1,0)</f>
        <v>0</v>
      </c>
      <c r="CE431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32" spans="1:83" x14ac:dyDescent="0.2">
      <c r="A432" s="1" t="s">
        <v>2714</v>
      </c>
      <c r="B432" s="2" t="s">
        <v>2715</v>
      </c>
      <c r="C432" s="2" t="s">
        <v>203</v>
      </c>
      <c r="D432" s="2" t="s">
        <v>78</v>
      </c>
      <c r="E432" s="3">
        <v>0</v>
      </c>
      <c r="F432" s="3">
        <v>5.56</v>
      </c>
      <c r="G432" s="2" t="s">
        <v>112</v>
      </c>
      <c r="H432" s="2" t="s">
        <v>113</v>
      </c>
      <c r="I432" s="3" t="s">
        <v>114</v>
      </c>
      <c r="J432" s="3">
        <v>164</v>
      </c>
      <c r="K432" s="2" t="s">
        <v>2716</v>
      </c>
      <c r="L432" s="4">
        <v>46062</v>
      </c>
      <c r="M432" s="4">
        <v>45971</v>
      </c>
      <c r="N432" s="2" t="s">
        <v>2274</v>
      </c>
      <c r="O432" s="2" t="s">
        <v>1805</v>
      </c>
      <c r="P432" s="2" t="s">
        <v>2467</v>
      </c>
      <c r="Q432" s="2" t="s">
        <v>1806</v>
      </c>
      <c r="R432" s="2" t="s">
        <v>205</v>
      </c>
      <c r="S432" s="4">
        <v>45963</v>
      </c>
      <c r="T432" s="2" t="s">
        <v>2274</v>
      </c>
      <c r="U432" s="2" t="s">
        <v>1805</v>
      </c>
      <c r="V432" s="2" t="s">
        <v>2717</v>
      </c>
      <c r="W432" s="2" t="s">
        <v>1806</v>
      </c>
      <c r="X432" s="2" t="s">
        <v>117</v>
      </c>
      <c r="Y432" s="3" t="s">
        <v>118</v>
      </c>
      <c r="Z432" s="3">
        <v>5.56</v>
      </c>
      <c r="AA432" s="2" t="s">
        <v>90</v>
      </c>
      <c r="AB432" s="2" t="s">
        <v>205</v>
      </c>
      <c r="AC432" s="2" t="s">
        <v>203</v>
      </c>
      <c r="AD432" t="str" cm="1">
        <f t="array" ref="AD43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432" s="2" t="s">
        <v>139</v>
      </c>
      <c r="AF432" s="2" t="s">
        <v>92</v>
      </c>
      <c r="AG432" s="2" t="s">
        <v>119</v>
      </c>
      <c r="AH432" s="2" t="s">
        <v>120</v>
      </c>
      <c r="AK432" s="2" t="s">
        <v>2718</v>
      </c>
      <c r="AN432" s="3">
        <v>1</v>
      </c>
      <c r="AO432" s="3">
        <v>1</v>
      </c>
      <c r="AP432" s="3">
        <v>1</v>
      </c>
      <c r="AQ432" s="3">
        <v>1</v>
      </c>
      <c r="AR432" s="3">
        <v>0</v>
      </c>
      <c r="AS432" s="3">
        <v>0</v>
      </c>
      <c r="AT432" s="3">
        <v>1</v>
      </c>
      <c r="AU432" s="3">
        <v>0</v>
      </c>
      <c r="AV432" s="3">
        <v>0</v>
      </c>
      <c r="AW432" s="3">
        <v>1</v>
      </c>
      <c r="AX432" s="3">
        <v>0</v>
      </c>
      <c r="AY432" s="3">
        <v>0</v>
      </c>
      <c r="AZ432" s="3">
        <v>1</v>
      </c>
      <c r="BA432" s="3">
        <v>0</v>
      </c>
      <c r="BB432" s="3">
        <v>0</v>
      </c>
      <c r="BC432" s="3">
        <v>1</v>
      </c>
      <c r="BD432" s="3">
        <v>0</v>
      </c>
      <c r="BE432" s="3">
        <v>0</v>
      </c>
      <c r="BG432" s="2" t="s">
        <v>139</v>
      </c>
      <c r="BH432" s="3">
        <v>2</v>
      </c>
      <c r="BI432" s="2" t="s">
        <v>122</v>
      </c>
      <c r="BJ432" s="2" t="s">
        <v>96</v>
      </c>
      <c r="BL432" s="2" t="s">
        <v>123</v>
      </c>
      <c r="BM432" s="2" t="s">
        <v>123</v>
      </c>
      <c r="BN432" s="2" t="s">
        <v>124</v>
      </c>
      <c r="BO432" s="2" t="s">
        <v>125</v>
      </c>
      <c r="BP432" s="2" t="s">
        <v>101</v>
      </c>
      <c r="BQ432" s="2" t="s">
        <v>124</v>
      </c>
      <c r="BR432" s="2" t="s">
        <v>126</v>
      </c>
      <c r="BS432" s="2" t="s">
        <v>127</v>
      </c>
      <c r="BT432" s="2" t="s">
        <v>207</v>
      </c>
      <c r="BU432" s="2" t="s">
        <v>208</v>
      </c>
      <c r="BV432" s="2" t="s">
        <v>150</v>
      </c>
      <c r="BW432" s="2" t="s">
        <v>151</v>
      </c>
      <c r="BX432" s="2" t="s">
        <v>139</v>
      </c>
      <c r="BY43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32" s="2">
        <f>IF(AND(Cases[[#This Row],[Priority Level]]&gt;=3,Cases[[#This Row],[System Role]]&lt;&gt;"Productive"),1,0)</f>
        <v>0</v>
      </c>
      <c r="CA432" s="2">
        <f>IFERROR(IF(Cases[[#This Row],[Days at Customer]]&gt;MAX(1,Cases[[#This Row],[Days at SAP]]*2),1,0),0)</f>
        <v>1</v>
      </c>
      <c r="CB432" s="2">
        <f>IF(AND(Cases[[#This Row],[Initial Component]]&lt;&gt;"",Cases[[#This Row],[Component]]&lt;&gt;"",Cases[[#This Row],[Initial Component]]&lt;&gt;Cases[[#This Row],[Component]]),1,0)</f>
        <v>0</v>
      </c>
      <c r="CC432" s="2">
        <f>IF(OR(Cases[[#This Row],[Is Reopened]]="X",Cases[[#This Row],[No. of Reopenings]]&gt;0),1,0)</f>
        <v>0</v>
      </c>
      <c r="CD432" s="2">
        <f>IF(Cases[[#This Row],[Confirmation Type]]="Automatic",1,0)</f>
        <v>0</v>
      </c>
      <c r="CE432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33" spans="1:83" x14ac:dyDescent="0.2">
      <c r="A433" s="1" t="s">
        <v>2544</v>
      </c>
      <c r="B433" s="2" t="s">
        <v>2545</v>
      </c>
      <c r="C433" s="2" t="s">
        <v>2546</v>
      </c>
      <c r="D433" s="2" t="s">
        <v>238</v>
      </c>
      <c r="E433" s="3">
        <v>1.03</v>
      </c>
      <c r="F433" s="3">
        <v>34.36</v>
      </c>
      <c r="G433" s="2" t="s">
        <v>190</v>
      </c>
      <c r="H433" s="2" t="s">
        <v>191</v>
      </c>
      <c r="I433" s="3" t="s">
        <v>81</v>
      </c>
      <c r="J433" s="3">
        <v>154</v>
      </c>
      <c r="K433" s="2" t="s">
        <v>2547</v>
      </c>
      <c r="L433" s="4">
        <v>46012</v>
      </c>
      <c r="M433" s="4">
        <v>46008</v>
      </c>
      <c r="N433" s="2" t="s">
        <v>1804</v>
      </c>
      <c r="O433" s="2" t="s">
        <v>1805</v>
      </c>
      <c r="P433" s="2" t="s">
        <v>1930</v>
      </c>
      <c r="Q433" s="2" t="s">
        <v>1806</v>
      </c>
      <c r="R433" s="2" t="s">
        <v>2548</v>
      </c>
      <c r="S433" s="4">
        <v>45973</v>
      </c>
      <c r="T433" s="2" t="s">
        <v>2274</v>
      </c>
      <c r="U433" s="2" t="s">
        <v>1805</v>
      </c>
      <c r="V433" s="2" t="s">
        <v>2467</v>
      </c>
      <c r="W433" s="2" t="s">
        <v>1806</v>
      </c>
      <c r="X433" s="2" t="s">
        <v>88</v>
      </c>
      <c r="Y433" s="3" t="s">
        <v>89</v>
      </c>
      <c r="Z433" s="3">
        <v>35.380000000000003</v>
      </c>
      <c r="AA433" s="2" t="s">
        <v>90</v>
      </c>
      <c r="AB433" s="2" t="s">
        <v>2549</v>
      </c>
      <c r="AC433" s="2" t="s">
        <v>2550</v>
      </c>
      <c r="AD433" t="str" cm="1">
        <f t="array" ref="AD43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433" s="2" t="s">
        <v>182</v>
      </c>
      <c r="AF433" s="2" t="s">
        <v>92</v>
      </c>
      <c r="AG433" s="2" t="s">
        <v>93</v>
      </c>
      <c r="AH433" s="2" t="s">
        <v>94</v>
      </c>
      <c r="AK433" s="2" t="s">
        <v>2551</v>
      </c>
      <c r="AN433" s="3">
        <v>1</v>
      </c>
      <c r="AO433" s="3">
        <v>1</v>
      </c>
      <c r="AP433" s="3">
        <v>1</v>
      </c>
      <c r="AQ433" s="3">
        <v>1</v>
      </c>
      <c r="AR433" s="3">
        <v>0</v>
      </c>
      <c r="AS433" s="3">
        <v>0</v>
      </c>
      <c r="AT433" s="3">
        <v>0</v>
      </c>
      <c r="AU433" s="3">
        <v>1</v>
      </c>
      <c r="AV433" s="3">
        <v>1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>
        <v>1</v>
      </c>
      <c r="BD433" s="3">
        <v>0</v>
      </c>
      <c r="BE433" s="3">
        <v>1</v>
      </c>
      <c r="BG433" s="2" t="s">
        <v>182</v>
      </c>
      <c r="BH433" s="3">
        <v>4</v>
      </c>
      <c r="BJ433" s="2" t="s">
        <v>96</v>
      </c>
      <c r="BL433" s="2" t="s">
        <v>184</v>
      </c>
      <c r="BM433" s="2" t="s">
        <v>184</v>
      </c>
      <c r="BN433" s="2" t="s">
        <v>124</v>
      </c>
      <c r="BO433" s="2" t="s">
        <v>125</v>
      </c>
      <c r="BP433" s="2" t="s">
        <v>242</v>
      </c>
      <c r="BQ433" s="2" t="s">
        <v>124</v>
      </c>
      <c r="BR433" s="2" t="s">
        <v>126</v>
      </c>
      <c r="BS433" s="2" t="s">
        <v>127</v>
      </c>
      <c r="BT433" s="2" t="s">
        <v>185</v>
      </c>
      <c r="BU433" s="2" t="s">
        <v>186</v>
      </c>
      <c r="BV433" s="2" t="s">
        <v>150</v>
      </c>
      <c r="BW433" s="2" t="s">
        <v>151</v>
      </c>
      <c r="BX433" s="2" t="s">
        <v>182</v>
      </c>
      <c r="BY43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33" s="2">
        <f>IF(AND(Cases[[#This Row],[Priority Level]]&gt;=3,Cases[[#This Row],[System Role]]&lt;&gt;"Productive"),1,0)</f>
        <v>0</v>
      </c>
      <c r="CA433" s="2">
        <f>IFERROR(IF(Cases[[#This Row],[Days at Customer]]&gt;MAX(1,Cases[[#This Row],[Days at SAP]]*2),1,0),0)</f>
        <v>1</v>
      </c>
      <c r="CB433" s="2">
        <f>IF(AND(Cases[[#This Row],[Initial Component]]&lt;&gt;"",Cases[[#This Row],[Component]]&lt;&gt;"",Cases[[#This Row],[Initial Component]]&lt;&gt;Cases[[#This Row],[Component]]),1,0)</f>
        <v>1</v>
      </c>
      <c r="CC433" s="2">
        <f>IF(OR(Cases[[#This Row],[Is Reopened]]="X",Cases[[#This Row],[No. of Reopenings]]&gt;0),1,0)</f>
        <v>0</v>
      </c>
      <c r="CD433" s="2">
        <f>IF(Cases[[#This Row],[Confirmation Type]]="Automatic",1,0)</f>
        <v>1</v>
      </c>
      <c r="CE433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34" spans="1:83" x14ac:dyDescent="0.2">
      <c r="A434" s="1" t="s">
        <v>2552</v>
      </c>
      <c r="B434" s="2" t="s">
        <v>2553</v>
      </c>
      <c r="C434" s="2" t="s">
        <v>432</v>
      </c>
      <c r="D434" s="2" t="s">
        <v>238</v>
      </c>
      <c r="E434" s="3">
        <v>0.94</v>
      </c>
      <c r="F434" s="3">
        <v>21.86</v>
      </c>
      <c r="G434" s="2" t="s">
        <v>79</v>
      </c>
      <c r="H434" s="2" t="s">
        <v>155</v>
      </c>
      <c r="I434" s="3" t="s">
        <v>114</v>
      </c>
      <c r="J434" s="3">
        <v>154</v>
      </c>
      <c r="K434" s="2" t="s">
        <v>2554</v>
      </c>
      <c r="L434" s="4">
        <v>46009</v>
      </c>
      <c r="M434" s="4">
        <v>45996</v>
      </c>
      <c r="N434" s="2" t="s">
        <v>1804</v>
      </c>
      <c r="O434" s="2" t="s">
        <v>1805</v>
      </c>
      <c r="P434" s="2" t="s">
        <v>2169</v>
      </c>
      <c r="Q434" s="2" t="s">
        <v>1806</v>
      </c>
      <c r="R434" s="2" t="s">
        <v>434</v>
      </c>
      <c r="S434" s="4">
        <v>45973</v>
      </c>
      <c r="T434" s="2" t="s">
        <v>2274</v>
      </c>
      <c r="U434" s="2" t="s">
        <v>1805</v>
      </c>
      <c r="V434" s="2" t="s">
        <v>2467</v>
      </c>
      <c r="W434" s="2" t="s">
        <v>1806</v>
      </c>
      <c r="X434" s="2" t="s">
        <v>117</v>
      </c>
      <c r="Y434" s="3" t="s">
        <v>118</v>
      </c>
      <c r="Z434" s="3">
        <v>22.8</v>
      </c>
      <c r="AA434" s="2" t="s">
        <v>90</v>
      </c>
      <c r="AB434" s="2" t="s">
        <v>434</v>
      </c>
      <c r="AC434" s="2" t="s">
        <v>432</v>
      </c>
      <c r="AD434" t="str" cm="1">
        <f t="array" ref="AD43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434" s="2" t="s">
        <v>139</v>
      </c>
      <c r="AF434" s="2" t="s">
        <v>92</v>
      </c>
      <c r="AG434" s="2" t="s">
        <v>119</v>
      </c>
      <c r="AH434" s="2" t="s">
        <v>120</v>
      </c>
      <c r="AK434" s="2" t="s">
        <v>2555</v>
      </c>
      <c r="AN434" s="3">
        <v>1</v>
      </c>
      <c r="AO434" s="3">
        <v>1</v>
      </c>
      <c r="AP434" s="3">
        <v>1</v>
      </c>
      <c r="AQ434" s="3">
        <v>1</v>
      </c>
      <c r="AR434" s="3">
        <v>1</v>
      </c>
      <c r="AS434" s="3">
        <v>0</v>
      </c>
      <c r="AT434" s="3">
        <v>0</v>
      </c>
      <c r="AU434" s="3">
        <v>0</v>
      </c>
      <c r="AV434" s="3">
        <v>1</v>
      </c>
      <c r="AW434" s="3">
        <v>0</v>
      </c>
      <c r="AX434" s="3">
        <v>1</v>
      </c>
      <c r="AY434" s="3">
        <v>0</v>
      </c>
      <c r="AZ434" s="3">
        <v>0</v>
      </c>
      <c r="BA434" s="3">
        <v>1</v>
      </c>
      <c r="BB434" s="3">
        <v>0</v>
      </c>
      <c r="BC434" s="3">
        <v>0</v>
      </c>
      <c r="BD434" s="3">
        <v>0</v>
      </c>
      <c r="BE434" s="3">
        <v>0</v>
      </c>
      <c r="BG434" s="2" t="s">
        <v>91</v>
      </c>
      <c r="BH434" s="3">
        <v>3</v>
      </c>
      <c r="BJ434" s="2" t="s">
        <v>96</v>
      </c>
      <c r="BL434" s="2" t="s">
        <v>123</v>
      </c>
      <c r="BM434" s="2" t="s">
        <v>123</v>
      </c>
      <c r="BN434" s="2" t="s">
        <v>124</v>
      </c>
      <c r="BO434" s="2" t="s">
        <v>125</v>
      </c>
      <c r="BP434" s="2" t="s">
        <v>242</v>
      </c>
      <c r="BQ434" s="2" t="s">
        <v>124</v>
      </c>
      <c r="BR434" s="2" t="s">
        <v>126</v>
      </c>
      <c r="BS434" s="2" t="s">
        <v>127</v>
      </c>
      <c r="BT434" s="2" t="s">
        <v>199</v>
      </c>
      <c r="BU434" s="2" t="s">
        <v>200</v>
      </c>
      <c r="BV434" s="2" t="s">
        <v>166</v>
      </c>
      <c r="BW434" s="2" t="s">
        <v>167</v>
      </c>
      <c r="BX434" s="2" t="s">
        <v>91</v>
      </c>
      <c r="BY43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34" s="2">
        <f>IF(AND(Cases[[#This Row],[Priority Level]]&gt;=3,Cases[[#This Row],[System Role]]&lt;&gt;"Productive"),1,0)</f>
        <v>1</v>
      </c>
      <c r="CA434" s="2">
        <f>IFERROR(IF(Cases[[#This Row],[Days at Customer]]&gt;MAX(1,Cases[[#This Row],[Days at SAP]]*2),1,0),0)</f>
        <v>1</v>
      </c>
      <c r="CB434" s="2">
        <f>IF(AND(Cases[[#This Row],[Initial Component]]&lt;&gt;"",Cases[[#This Row],[Component]]&lt;&gt;"",Cases[[#This Row],[Initial Component]]&lt;&gt;Cases[[#This Row],[Component]]),1,0)</f>
        <v>0</v>
      </c>
      <c r="CC434" s="2">
        <f>IF(OR(Cases[[#This Row],[Is Reopened]]="X",Cases[[#This Row],[No. of Reopenings]]&gt;0),1,0)</f>
        <v>0</v>
      </c>
      <c r="CD434" s="2">
        <f>IF(Cases[[#This Row],[Confirmation Type]]="Automatic",1,0)</f>
        <v>1</v>
      </c>
      <c r="CE434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435" spans="1:83" x14ac:dyDescent="0.2">
      <c r="A435" s="1" t="s">
        <v>2963</v>
      </c>
      <c r="B435" s="2" t="s">
        <v>2964</v>
      </c>
      <c r="C435" s="2" t="s">
        <v>2965</v>
      </c>
      <c r="D435" s="2" t="s">
        <v>238</v>
      </c>
      <c r="E435" s="3">
        <v>3.65</v>
      </c>
      <c r="F435" s="3">
        <v>21.2</v>
      </c>
      <c r="G435" s="2" t="s">
        <v>79</v>
      </c>
      <c r="H435" s="2" t="s">
        <v>178</v>
      </c>
      <c r="I435" s="3" t="s">
        <v>114</v>
      </c>
      <c r="J435" s="3">
        <v>180</v>
      </c>
      <c r="K435" s="2" t="s">
        <v>2966</v>
      </c>
      <c r="L435" s="4">
        <v>46063</v>
      </c>
      <c r="M435" s="4">
        <v>45971</v>
      </c>
      <c r="N435" s="2" t="s">
        <v>2274</v>
      </c>
      <c r="O435" s="2" t="s">
        <v>1805</v>
      </c>
      <c r="P435" s="2" t="s">
        <v>2467</v>
      </c>
      <c r="Q435" s="2" t="s">
        <v>1806</v>
      </c>
      <c r="R435" s="2" t="s">
        <v>2967</v>
      </c>
      <c r="S435" s="4">
        <v>45947</v>
      </c>
      <c r="T435" s="2" t="s">
        <v>2727</v>
      </c>
      <c r="U435" s="2" t="s">
        <v>1805</v>
      </c>
      <c r="V435" s="2" t="s">
        <v>2936</v>
      </c>
      <c r="W435" s="2" t="s">
        <v>1806</v>
      </c>
      <c r="X435" s="2" t="s">
        <v>117</v>
      </c>
      <c r="Y435" s="3" t="s">
        <v>118</v>
      </c>
      <c r="Z435" s="3">
        <v>24.86</v>
      </c>
      <c r="AA435" s="2" t="s">
        <v>90</v>
      </c>
      <c r="AB435" s="2" t="s">
        <v>2967</v>
      </c>
      <c r="AC435" s="2" t="s">
        <v>2965</v>
      </c>
      <c r="AD435" t="str" cm="1">
        <f t="array" ref="AD43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435" s="2" t="s">
        <v>139</v>
      </c>
      <c r="AF435" s="2" t="s">
        <v>92</v>
      </c>
      <c r="AG435" s="2" t="s">
        <v>119</v>
      </c>
      <c r="AH435" s="2" t="s">
        <v>120</v>
      </c>
      <c r="AK435" s="2" t="s">
        <v>2968</v>
      </c>
      <c r="AN435" s="3">
        <v>1</v>
      </c>
      <c r="AO435" s="3">
        <v>1</v>
      </c>
      <c r="AP435" s="3">
        <v>1</v>
      </c>
      <c r="AQ435" s="3">
        <v>1</v>
      </c>
      <c r="AR435" s="3">
        <v>0</v>
      </c>
      <c r="AS435" s="3">
        <v>0</v>
      </c>
      <c r="AT435" s="3">
        <v>1</v>
      </c>
      <c r="AU435" s="3">
        <v>0</v>
      </c>
      <c r="AV435" s="3">
        <v>1</v>
      </c>
      <c r="AW435" s="3">
        <v>0</v>
      </c>
      <c r="AX435" s="3">
        <v>0</v>
      </c>
      <c r="AY435" s="3">
        <v>0</v>
      </c>
      <c r="AZ435" s="3">
        <v>1</v>
      </c>
      <c r="BA435" s="3">
        <v>1</v>
      </c>
      <c r="BB435" s="3">
        <v>0</v>
      </c>
      <c r="BC435" s="3">
        <v>0</v>
      </c>
      <c r="BD435" s="3">
        <v>0</v>
      </c>
      <c r="BE435" s="3">
        <v>0</v>
      </c>
      <c r="BG435" s="2" t="s">
        <v>139</v>
      </c>
      <c r="BH435" s="3">
        <v>2</v>
      </c>
      <c r="BJ435" s="2" t="s">
        <v>96</v>
      </c>
      <c r="BL435" s="2" t="s">
        <v>123</v>
      </c>
      <c r="BM435" s="2" t="s">
        <v>123</v>
      </c>
      <c r="BN435" s="2" t="s">
        <v>124</v>
      </c>
      <c r="BO435" s="2" t="s">
        <v>125</v>
      </c>
      <c r="BP435" s="2" t="s">
        <v>242</v>
      </c>
      <c r="BQ435" s="2" t="s">
        <v>124</v>
      </c>
      <c r="BR435" s="2" t="s">
        <v>126</v>
      </c>
      <c r="BS435" s="2" t="s">
        <v>127</v>
      </c>
      <c r="BT435" s="2" t="s">
        <v>128</v>
      </c>
      <c r="BU435" s="2" t="s">
        <v>129</v>
      </c>
      <c r="BV435" s="2" t="s">
        <v>107</v>
      </c>
      <c r="BW435" s="2" t="s">
        <v>108</v>
      </c>
      <c r="BX435" s="2" t="s">
        <v>139</v>
      </c>
      <c r="BY43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35" s="2">
        <f>IF(AND(Cases[[#This Row],[Priority Level]]&gt;=3,Cases[[#This Row],[System Role]]&lt;&gt;"Productive"),1,0)</f>
        <v>0</v>
      </c>
      <c r="CA435" s="2">
        <f>IFERROR(IF(Cases[[#This Row],[Days at Customer]]&gt;MAX(1,Cases[[#This Row],[Days at SAP]]*2),1,0),0)</f>
        <v>1</v>
      </c>
      <c r="CB435" s="2">
        <f>IF(AND(Cases[[#This Row],[Initial Component]]&lt;&gt;"",Cases[[#This Row],[Component]]&lt;&gt;"",Cases[[#This Row],[Initial Component]]&lt;&gt;Cases[[#This Row],[Component]]),1,0)</f>
        <v>0</v>
      </c>
      <c r="CC435" s="2">
        <f>IF(OR(Cases[[#This Row],[Is Reopened]]="X",Cases[[#This Row],[No. of Reopenings]]&gt;0),1,0)</f>
        <v>0</v>
      </c>
      <c r="CD435" s="2">
        <f>IF(Cases[[#This Row],[Confirmation Type]]="Automatic",1,0)</f>
        <v>1</v>
      </c>
      <c r="CE435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36" spans="1:83" x14ac:dyDescent="0.2">
      <c r="A436" s="1" t="s">
        <v>2560</v>
      </c>
      <c r="B436" s="2" t="s">
        <v>2561</v>
      </c>
      <c r="C436" s="2" t="s">
        <v>414</v>
      </c>
      <c r="D436" s="2" t="s">
        <v>238</v>
      </c>
      <c r="E436" s="3">
        <v>2.36</v>
      </c>
      <c r="F436" s="3">
        <v>21.93</v>
      </c>
      <c r="G436" s="2" t="s">
        <v>79</v>
      </c>
      <c r="H436" s="2" t="s">
        <v>178</v>
      </c>
      <c r="I436" s="3" t="s">
        <v>114</v>
      </c>
      <c r="J436" s="3">
        <v>155</v>
      </c>
      <c r="K436" s="2" t="s">
        <v>2562</v>
      </c>
      <c r="L436" s="4">
        <v>46009</v>
      </c>
      <c r="M436" s="4">
        <v>45997</v>
      </c>
      <c r="N436" s="2" t="s">
        <v>1804</v>
      </c>
      <c r="O436" s="2" t="s">
        <v>1805</v>
      </c>
      <c r="P436" s="2" t="s">
        <v>2169</v>
      </c>
      <c r="Q436" s="2" t="s">
        <v>1806</v>
      </c>
      <c r="R436" s="2" t="s">
        <v>416</v>
      </c>
      <c r="S436" s="4">
        <v>45972</v>
      </c>
      <c r="T436" s="2" t="s">
        <v>2274</v>
      </c>
      <c r="U436" s="2" t="s">
        <v>1805</v>
      </c>
      <c r="V436" s="2" t="s">
        <v>2467</v>
      </c>
      <c r="W436" s="2" t="s">
        <v>1806</v>
      </c>
      <c r="X436" s="2" t="s">
        <v>117</v>
      </c>
      <c r="Y436" s="3" t="s">
        <v>118</v>
      </c>
      <c r="Z436" s="3">
        <v>24.29</v>
      </c>
      <c r="AA436" s="2" t="s">
        <v>90</v>
      </c>
      <c r="AB436" s="2" t="s">
        <v>669</v>
      </c>
      <c r="AC436" s="2" t="s">
        <v>670</v>
      </c>
      <c r="AD436" t="str" cm="1">
        <f t="array" ref="AD43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436" s="2" t="s">
        <v>158</v>
      </c>
      <c r="AF436" s="2" t="s">
        <v>92</v>
      </c>
      <c r="AG436" s="2" t="s">
        <v>119</v>
      </c>
      <c r="AH436" s="2" t="s">
        <v>120</v>
      </c>
      <c r="AK436" s="2" t="s">
        <v>2563</v>
      </c>
      <c r="AN436" s="3">
        <v>1</v>
      </c>
      <c r="AO436" s="3">
        <v>1</v>
      </c>
      <c r="AP436" s="3">
        <v>1</v>
      </c>
      <c r="AQ436" s="3">
        <v>1</v>
      </c>
      <c r="AR436" s="3">
        <v>0</v>
      </c>
      <c r="AS436" s="3">
        <v>1</v>
      </c>
      <c r="AT436" s="3">
        <v>0</v>
      </c>
      <c r="AU436" s="3">
        <v>0</v>
      </c>
      <c r="AV436" s="3">
        <v>1</v>
      </c>
      <c r="AW436" s="3">
        <v>0</v>
      </c>
      <c r="AX436" s="3">
        <v>0</v>
      </c>
      <c r="AY436" s="3">
        <v>1</v>
      </c>
      <c r="AZ436" s="3">
        <v>0</v>
      </c>
      <c r="BA436" s="3">
        <v>0</v>
      </c>
      <c r="BB436" s="3">
        <v>0</v>
      </c>
      <c r="BC436" s="3">
        <v>1</v>
      </c>
      <c r="BD436" s="3">
        <v>0</v>
      </c>
      <c r="BE436" s="3">
        <v>0</v>
      </c>
      <c r="BG436" s="2" t="s">
        <v>158</v>
      </c>
      <c r="BH436" s="3">
        <v>1</v>
      </c>
      <c r="BJ436" s="2" t="s">
        <v>96</v>
      </c>
      <c r="BL436" s="2" t="s">
        <v>123</v>
      </c>
      <c r="BM436" s="2" t="s">
        <v>123</v>
      </c>
      <c r="BN436" s="2" t="s">
        <v>124</v>
      </c>
      <c r="BO436" s="2" t="s">
        <v>125</v>
      </c>
      <c r="BP436" s="2" t="s">
        <v>242</v>
      </c>
      <c r="BQ436" s="2" t="s">
        <v>124</v>
      </c>
      <c r="BR436" s="2" t="s">
        <v>126</v>
      </c>
      <c r="BS436" s="2" t="s">
        <v>127</v>
      </c>
      <c r="BT436" s="2" t="s">
        <v>207</v>
      </c>
      <c r="BU436" s="2" t="s">
        <v>208</v>
      </c>
      <c r="BV436" s="2" t="s">
        <v>150</v>
      </c>
      <c r="BW436" s="2" t="s">
        <v>151</v>
      </c>
      <c r="BX436" s="2" t="s">
        <v>158</v>
      </c>
      <c r="BY43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36" s="2">
        <f>IF(AND(Cases[[#This Row],[Priority Level]]&gt;=3,Cases[[#This Row],[System Role]]&lt;&gt;"Productive"),1,0)</f>
        <v>0</v>
      </c>
      <c r="CA436" s="2">
        <f>IFERROR(IF(Cases[[#This Row],[Days at Customer]]&gt;MAX(1,Cases[[#This Row],[Days at SAP]]*2),1,0),0)</f>
        <v>1</v>
      </c>
      <c r="CB436" s="2">
        <f>IF(AND(Cases[[#This Row],[Initial Component]]&lt;&gt;"",Cases[[#This Row],[Component]]&lt;&gt;"",Cases[[#This Row],[Initial Component]]&lt;&gt;Cases[[#This Row],[Component]]),1,0)</f>
        <v>1</v>
      </c>
      <c r="CC436" s="2">
        <f>IF(OR(Cases[[#This Row],[Is Reopened]]="X",Cases[[#This Row],[No. of Reopenings]]&gt;0),1,0)</f>
        <v>0</v>
      </c>
      <c r="CD436" s="2">
        <f>IF(Cases[[#This Row],[Confirmation Type]]="Automatic",1,0)</f>
        <v>1</v>
      </c>
      <c r="CE436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437" spans="1:83" x14ac:dyDescent="0.2">
      <c r="A437" s="1" t="s">
        <v>2564</v>
      </c>
      <c r="B437" s="2" t="s">
        <v>2565</v>
      </c>
      <c r="C437" s="2" t="s">
        <v>2206</v>
      </c>
      <c r="D437" s="2" t="s">
        <v>238</v>
      </c>
      <c r="E437" s="3">
        <v>0.16</v>
      </c>
      <c r="F437" s="3">
        <v>21.45</v>
      </c>
      <c r="G437" s="2" t="s">
        <v>79</v>
      </c>
      <c r="H437" s="2" t="s">
        <v>155</v>
      </c>
      <c r="I437" s="3" t="s">
        <v>114</v>
      </c>
      <c r="J437" s="3">
        <v>155</v>
      </c>
      <c r="K437" s="2" t="s">
        <v>2566</v>
      </c>
      <c r="L437" s="4">
        <v>46009</v>
      </c>
      <c r="M437" s="4">
        <v>45994</v>
      </c>
      <c r="N437" s="2" t="s">
        <v>1804</v>
      </c>
      <c r="O437" s="2" t="s">
        <v>1805</v>
      </c>
      <c r="P437" s="2" t="s">
        <v>2169</v>
      </c>
      <c r="Q437" s="2" t="s">
        <v>1806</v>
      </c>
      <c r="R437" s="2" t="s">
        <v>2205</v>
      </c>
      <c r="S437" s="4">
        <v>45972</v>
      </c>
      <c r="T437" s="2" t="s">
        <v>2274</v>
      </c>
      <c r="U437" s="2" t="s">
        <v>1805</v>
      </c>
      <c r="V437" s="2" t="s">
        <v>2467</v>
      </c>
      <c r="W437" s="2" t="s">
        <v>1806</v>
      </c>
      <c r="X437" s="2" t="s">
        <v>117</v>
      </c>
      <c r="Y437" s="3" t="s">
        <v>118</v>
      </c>
      <c r="Z437" s="3">
        <v>21.61</v>
      </c>
      <c r="AA437" s="2" t="s">
        <v>90</v>
      </c>
      <c r="AB437" s="2" t="s">
        <v>2205</v>
      </c>
      <c r="AC437" s="2" t="s">
        <v>2206</v>
      </c>
      <c r="AD437" t="str" cm="1">
        <f t="array" ref="AD43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437" s="2" t="s">
        <v>158</v>
      </c>
      <c r="AF437" s="2" t="s">
        <v>92</v>
      </c>
      <c r="AG437" s="2" t="s">
        <v>119</v>
      </c>
      <c r="AH437" s="2" t="s">
        <v>120</v>
      </c>
      <c r="AK437" s="2" t="s">
        <v>2567</v>
      </c>
      <c r="AN437" s="3">
        <v>1</v>
      </c>
      <c r="AO437" s="3">
        <v>1</v>
      </c>
      <c r="AP437" s="3">
        <v>1</v>
      </c>
      <c r="AQ437" s="3">
        <v>1</v>
      </c>
      <c r="AR437" s="3">
        <v>0</v>
      </c>
      <c r="AS437" s="3">
        <v>1</v>
      </c>
      <c r="AT437" s="3">
        <v>0</v>
      </c>
      <c r="AU437" s="3">
        <v>0</v>
      </c>
      <c r="AV437" s="3">
        <v>1</v>
      </c>
      <c r="AW437" s="3">
        <v>0</v>
      </c>
      <c r="AX437" s="3">
        <v>0</v>
      </c>
      <c r="AY437" s="3">
        <v>1</v>
      </c>
      <c r="AZ437" s="3">
        <v>0</v>
      </c>
      <c r="BA437" s="3">
        <v>0</v>
      </c>
      <c r="BB437" s="3">
        <v>0</v>
      </c>
      <c r="BC437" s="3">
        <v>1</v>
      </c>
      <c r="BD437" s="3">
        <v>0</v>
      </c>
      <c r="BE437" s="3">
        <v>0</v>
      </c>
      <c r="BG437" s="2" t="s">
        <v>158</v>
      </c>
      <c r="BH437" s="3">
        <v>1</v>
      </c>
      <c r="BJ437" s="2" t="s">
        <v>96</v>
      </c>
      <c r="BL437" s="2" t="s">
        <v>123</v>
      </c>
      <c r="BM437" s="2" t="s">
        <v>123</v>
      </c>
      <c r="BN437" s="2" t="s">
        <v>124</v>
      </c>
      <c r="BO437" s="2" t="s">
        <v>125</v>
      </c>
      <c r="BP437" s="2" t="s">
        <v>242</v>
      </c>
      <c r="BQ437" s="2" t="s">
        <v>124</v>
      </c>
      <c r="BR437" s="2" t="s">
        <v>126</v>
      </c>
      <c r="BS437" s="2" t="s">
        <v>127</v>
      </c>
      <c r="BT437" s="2" t="s">
        <v>207</v>
      </c>
      <c r="BU437" s="2" t="s">
        <v>208</v>
      </c>
      <c r="BV437" s="2" t="s">
        <v>150</v>
      </c>
      <c r="BW437" s="2" t="s">
        <v>151</v>
      </c>
      <c r="BX437" s="2" t="s">
        <v>158</v>
      </c>
      <c r="BY43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37" s="2">
        <f>IF(AND(Cases[[#This Row],[Priority Level]]&gt;=3,Cases[[#This Row],[System Role]]&lt;&gt;"Productive"),1,0)</f>
        <v>0</v>
      </c>
      <c r="CA437" s="2">
        <f>IFERROR(IF(Cases[[#This Row],[Days at Customer]]&gt;MAX(1,Cases[[#This Row],[Days at SAP]]*2),1,0),0)</f>
        <v>1</v>
      </c>
      <c r="CB437" s="2">
        <f>IF(AND(Cases[[#This Row],[Initial Component]]&lt;&gt;"",Cases[[#This Row],[Component]]&lt;&gt;"",Cases[[#This Row],[Initial Component]]&lt;&gt;Cases[[#This Row],[Component]]),1,0)</f>
        <v>0</v>
      </c>
      <c r="CC437" s="2">
        <f>IF(OR(Cases[[#This Row],[Is Reopened]]="X",Cases[[#This Row],[No. of Reopenings]]&gt;0),1,0)</f>
        <v>0</v>
      </c>
      <c r="CD437" s="2">
        <f>IF(Cases[[#This Row],[Confirmation Type]]="Automatic",1,0)</f>
        <v>1</v>
      </c>
      <c r="CE43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38" spans="1:83" x14ac:dyDescent="0.2">
      <c r="A438" s="1" t="s">
        <v>2568</v>
      </c>
      <c r="B438" s="2" t="s">
        <v>2569</v>
      </c>
      <c r="C438" s="2" t="s">
        <v>925</v>
      </c>
      <c r="D438" s="2" t="s">
        <v>78</v>
      </c>
      <c r="E438" s="3">
        <v>3.28</v>
      </c>
      <c r="F438" s="3">
        <v>17.82</v>
      </c>
      <c r="G438" s="2" t="s">
        <v>79</v>
      </c>
      <c r="H438" s="2" t="s">
        <v>155</v>
      </c>
      <c r="I438" s="3" t="s">
        <v>114</v>
      </c>
      <c r="J438" s="3">
        <v>155</v>
      </c>
      <c r="K438" s="2" t="s">
        <v>2570</v>
      </c>
      <c r="L438" s="4">
        <v>46009</v>
      </c>
      <c r="M438" s="4">
        <v>45993</v>
      </c>
      <c r="N438" s="2" t="s">
        <v>1804</v>
      </c>
      <c r="O438" s="2" t="s">
        <v>1805</v>
      </c>
      <c r="P438" s="2" t="s">
        <v>2169</v>
      </c>
      <c r="Q438" s="2" t="s">
        <v>1806</v>
      </c>
      <c r="R438" s="2" t="s">
        <v>927</v>
      </c>
      <c r="S438" s="4">
        <v>45972</v>
      </c>
      <c r="T438" s="2" t="s">
        <v>2274</v>
      </c>
      <c r="U438" s="2" t="s">
        <v>1805</v>
      </c>
      <c r="V438" s="2" t="s">
        <v>2467</v>
      </c>
      <c r="W438" s="2" t="s">
        <v>1806</v>
      </c>
      <c r="X438" s="2" t="s">
        <v>117</v>
      </c>
      <c r="Y438" s="3" t="s">
        <v>118</v>
      </c>
      <c r="Z438" s="3">
        <v>21.1</v>
      </c>
      <c r="AA438" s="2" t="s">
        <v>138</v>
      </c>
      <c r="AB438" s="2" t="s">
        <v>928</v>
      </c>
      <c r="AC438" s="2" t="s">
        <v>929</v>
      </c>
      <c r="AD438" t="str" cm="1">
        <f t="array" ref="AD43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EAM</v>
      </c>
      <c r="AE438" s="2" t="s">
        <v>158</v>
      </c>
      <c r="AF438" s="2" t="s">
        <v>900</v>
      </c>
      <c r="AG438" s="2" t="s">
        <v>274</v>
      </c>
      <c r="AH438" s="2" t="s">
        <v>275</v>
      </c>
      <c r="AK438" s="2" t="s">
        <v>2571</v>
      </c>
      <c r="AN438" s="3">
        <v>1</v>
      </c>
      <c r="AO438" s="3">
        <v>1</v>
      </c>
      <c r="AP438" s="3">
        <v>1</v>
      </c>
      <c r="AQ438" s="3">
        <v>1</v>
      </c>
      <c r="AR438" s="3">
        <v>0</v>
      </c>
      <c r="AS438" s="3">
        <v>1</v>
      </c>
      <c r="AT438" s="3">
        <v>0</v>
      </c>
      <c r="AU438" s="3">
        <v>0</v>
      </c>
      <c r="AV438" s="3">
        <v>0</v>
      </c>
      <c r="AW438" s="3">
        <v>1</v>
      </c>
      <c r="AX438" s="3">
        <v>0</v>
      </c>
      <c r="AY438" s="3">
        <v>1</v>
      </c>
      <c r="AZ438" s="3">
        <v>0</v>
      </c>
      <c r="BA438" s="3">
        <v>0</v>
      </c>
      <c r="BB438" s="3">
        <v>0</v>
      </c>
      <c r="BC438" s="3">
        <v>1</v>
      </c>
      <c r="BD438" s="3">
        <v>0</v>
      </c>
      <c r="BE438" s="3">
        <v>0</v>
      </c>
      <c r="BG438" s="2" t="s">
        <v>158</v>
      </c>
      <c r="BH438" s="3">
        <v>1</v>
      </c>
      <c r="BJ438" s="2" t="s">
        <v>96</v>
      </c>
      <c r="BL438" s="2" t="s">
        <v>931</v>
      </c>
      <c r="BM438" s="2" t="s">
        <v>932</v>
      </c>
      <c r="BN438" s="2" t="s">
        <v>279</v>
      </c>
      <c r="BO438" s="2" t="s">
        <v>280</v>
      </c>
      <c r="BP438" s="2" t="s">
        <v>101</v>
      </c>
      <c r="BQ438" s="2" t="s">
        <v>448</v>
      </c>
      <c r="BR438" s="2" t="s">
        <v>449</v>
      </c>
      <c r="BS438" s="2" t="s">
        <v>450</v>
      </c>
      <c r="BT438" s="2" t="s">
        <v>148</v>
      </c>
      <c r="BU438" s="2" t="s">
        <v>2250</v>
      </c>
      <c r="BV438" s="2" t="s">
        <v>150</v>
      </c>
      <c r="BW438" s="2" t="s">
        <v>151</v>
      </c>
      <c r="BX438" s="2" t="s">
        <v>158</v>
      </c>
      <c r="BY43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38" s="2">
        <f>IF(AND(Cases[[#This Row],[Priority Level]]&gt;=3,Cases[[#This Row],[System Role]]&lt;&gt;"Productive"),1,0)</f>
        <v>0</v>
      </c>
      <c r="CA438" s="2">
        <f>IFERROR(IF(Cases[[#This Row],[Days at Customer]]&gt;MAX(1,Cases[[#This Row],[Days at SAP]]*2),1,0),0)</f>
        <v>1</v>
      </c>
      <c r="CB438" s="2">
        <f>IF(AND(Cases[[#This Row],[Initial Component]]&lt;&gt;"",Cases[[#This Row],[Component]]&lt;&gt;"",Cases[[#This Row],[Initial Component]]&lt;&gt;Cases[[#This Row],[Component]]),1,0)</f>
        <v>1</v>
      </c>
      <c r="CC438" s="2">
        <f>IF(OR(Cases[[#This Row],[Is Reopened]]="X",Cases[[#This Row],[No. of Reopenings]]&gt;0),1,0)</f>
        <v>0</v>
      </c>
      <c r="CD438" s="2">
        <f>IF(Cases[[#This Row],[Confirmation Type]]="Automatic",1,0)</f>
        <v>0</v>
      </c>
      <c r="CE438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439" spans="1:83" x14ac:dyDescent="0.2">
      <c r="A439" s="1" t="s">
        <v>2572</v>
      </c>
      <c r="B439" s="2" t="s">
        <v>2573</v>
      </c>
      <c r="C439" s="2" t="s">
        <v>975</v>
      </c>
      <c r="D439" s="2" t="s">
        <v>238</v>
      </c>
      <c r="E439" s="3">
        <v>20.45</v>
      </c>
      <c r="F439" s="3">
        <v>49.79</v>
      </c>
      <c r="G439" s="2" t="s">
        <v>79</v>
      </c>
      <c r="H439" s="2" t="s">
        <v>80</v>
      </c>
      <c r="I439" s="3" t="s">
        <v>114</v>
      </c>
      <c r="J439" s="3">
        <v>156</v>
      </c>
      <c r="K439" s="2" t="s">
        <v>2574</v>
      </c>
      <c r="L439" s="4">
        <v>46061</v>
      </c>
      <c r="M439" s="4">
        <v>46041</v>
      </c>
      <c r="N439" s="2" t="s">
        <v>1334</v>
      </c>
      <c r="O439" s="2" t="s">
        <v>181</v>
      </c>
      <c r="P439" s="2" t="s">
        <v>83</v>
      </c>
      <c r="Q439" s="2" t="s">
        <v>86</v>
      </c>
      <c r="R439" s="2" t="s">
        <v>974</v>
      </c>
      <c r="S439" s="4">
        <v>45971</v>
      </c>
      <c r="T439" s="2" t="s">
        <v>2274</v>
      </c>
      <c r="U439" s="2" t="s">
        <v>1805</v>
      </c>
      <c r="V439" s="2" t="s">
        <v>2467</v>
      </c>
      <c r="W439" s="2" t="s">
        <v>1806</v>
      </c>
      <c r="X439" s="2" t="s">
        <v>117</v>
      </c>
      <c r="Y439" s="3" t="s">
        <v>118</v>
      </c>
      <c r="Z439" s="3">
        <v>70.239999999999995</v>
      </c>
      <c r="AA439" s="2" t="s">
        <v>90</v>
      </c>
      <c r="AB439" s="2" t="s">
        <v>408</v>
      </c>
      <c r="AC439" s="2" t="s">
        <v>406</v>
      </c>
      <c r="AD439" t="str" cm="1">
        <f t="array" ref="AD43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439" s="2" t="s">
        <v>91</v>
      </c>
      <c r="AF439" s="2" t="s">
        <v>92</v>
      </c>
      <c r="AG439" s="2" t="s">
        <v>119</v>
      </c>
      <c r="AH439" s="2" t="s">
        <v>120</v>
      </c>
      <c r="AJ439" s="2" t="s">
        <v>122</v>
      </c>
      <c r="AK439" s="2" t="s">
        <v>2575</v>
      </c>
      <c r="AN439" s="3">
        <v>1</v>
      </c>
      <c r="AO439" s="3">
        <v>1</v>
      </c>
      <c r="AP439" s="3">
        <v>1</v>
      </c>
      <c r="AQ439" s="3">
        <v>1</v>
      </c>
      <c r="AR439" s="3">
        <v>0</v>
      </c>
      <c r="AS439" s="3">
        <v>1</v>
      </c>
      <c r="AT439" s="3">
        <v>0</v>
      </c>
      <c r="AU439" s="3">
        <v>0</v>
      </c>
      <c r="AV439" s="3">
        <v>1</v>
      </c>
      <c r="AW439" s="3">
        <v>0</v>
      </c>
      <c r="AX439" s="3">
        <v>0</v>
      </c>
      <c r="AY439" s="3">
        <v>1</v>
      </c>
      <c r="AZ439" s="3">
        <v>0</v>
      </c>
      <c r="BA439" s="3">
        <v>1</v>
      </c>
      <c r="BB439" s="3">
        <v>0</v>
      </c>
      <c r="BC439" s="3">
        <v>0</v>
      </c>
      <c r="BD439" s="3">
        <v>2</v>
      </c>
      <c r="BE439" s="3">
        <v>0</v>
      </c>
      <c r="BG439" s="2" t="s">
        <v>158</v>
      </c>
      <c r="BH439" s="3">
        <v>1</v>
      </c>
      <c r="BJ439" s="2" t="s">
        <v>96</v>
      </c>
      <c r="BL439" s="2" t="s">
        <v>123</v>
      </c>
      <c r="BM439" s="2" t="s">
        <v>123</v>
      </c>
      <c r="BN439" s="2" t="s">
        <v>124</v>
      </c>
      <c r="BO439" s="2" t="s">
        <v>125</v>
      </c>
      <c r="BP439" s="2" t="s">
        <v>242</v>
      </c>
      <c r="BQ439" s="2" t="s">
        <v>124</v>
      </c>
      <c r="BR439" s="2" t="s">
        <v>126</v>
      </c>
      <c r="BS439" s="2" t="s">
        <v>127</v>
      </c>
      <c r="BT439" s="2" t="s">
        <v>199</v>
      </c>
      <c r="BU439" s="2" t="s">
        <v>200</v>
      </c>
      <c r="BV439" s="2" t="s">
        <v>166</v>
      </c>
      <c r="BW439" s="2" t="s">
        <v>167</v>
      </c>
      <c r="BX439" s="2" t="s">
        <v>91</v>
      </c>
      <c r="BY43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39" s="2">
        <f>IF(AND(Cases[[#This Row],[Priority Level]]&gt;=3,Cases[[#This Row],[System Role]]&lt;&gt;"Productive"),1,0)</f>
        <v>0</v>
      </c>
      <c r="CA439" s="2">
        <f>IFERROR(IF(Cases[[#This Row],[Days at Customer]]&gt;MAX(1,Cases[[#This Row],[Days at SAP]]*2),1,0),0)</f>
        <v>1</v>
      </c>
      <c r="CB439" s="2">
        <f>IF(AND(Cases[[#This Row],[Initial Component]]&lt;&gt;"",Cases[[#This Row],[Component]]&lt;&gt;"",Cases[[#This Row],[Initial Component]]&lt;&gt;Cases[[#This Row],[Component]]),1,0)</f>
        <v>1</v>
      </c>
      <c r="CC439" s="2">
        <f>IF(OR(Cases[[#This Row],[Is Reopened]]="X",Cases[[#This Row],[No. of Reopenings]]&gt;0),1,0)</f>
        <v>1</v>
      </c>
      <c r="CD439" s="2">
        <f>IF(Cases[[#This Row],[Confirmation Type]]="Automatic",1,0)</f>
        <v>1</v>
      </c>
      <c r="CE439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440" spans="1:83" x14ac:dyDescent="0.2">
      <c r="A440" s="1" t="s">
        <v>2576</v>
      </c>
      <c r="B440" s="2" t="s">
        <v>2577</v>
      </c>
      <c r="C440" s="2" t="s">
        <v>406</v>
      </c>
      <c r="D440" s="2" t="s">
        <v>78</v>
      </c>
      <c r="E440" s="3">
        <v>4.63</v>
      </c>
      <c r="F440" s="3">
        <v>12.3</v>
      </c>
      <c r="G440" s="2" t="s">
        <v>79</v>
      </c>
      <c r="H440" s="2" t="s">
        <v>155</v>
      </c>
      <c r="I440" s="3" t="s">
        <v>114</v>
      </c>
      <c r="J440" s="3">
        <v>156</v>
      </c>
      <c r="K440" s="2" t="s">
        <v>2578</v>
      </c>
      <c r="L440" s="4">
        <v>46009</v>
      </c>
      <c r="M440" s="4">
        <v>45988</v>
      </c>
      <c r="N440" s="2" t="s">
        <v>2274</v>
      </c>
      <c r="O440" s="2" t="s">
        <v>1805</v>
      </c>
      <c r="P440" s="2" t="s">
        <v>2275</v>
      </c>
      <c r="Q440" s="2" t="s">
        <v>1806</v>
      </c>
      <c r="R440" s="2" t="s">
        <v>408</v>
      </c>
      <c r="S440" s="4">
        <v>45971</v>
      </c>
      <c r="T440" s="2" t="s">
        <v>2274</v>
      </c>
      <c r="U440" s="2" t="s">
        <v>1805</v>
      </c>
      <c r="V440" s="2" t="s">
        <v>2467</v>
      </c>
      <c r="W440" s="2" t="s">
        <v>1806</v>
      </c>
      <c r="X440" s="2" t="s">
        <v>117</v>
      </c>
      <c r="Y440" s="3" t="s">
        <v>118</v>
      </c>
      <c r="Z440" s="3">
        <v>16.93</v>
      </c>
      <c r="AA440" s="2" t="s">
        <v>90</v>
      </c>
      <c r="AB440" s="2" t="s">
        <v>408</v>
      </c>
      <c r="AC440" s="2" t="s">
        <v>406</v>
      </c>
      <c r="AD440" t="str" cm="1">
        <f t="array" ref="AD44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440" s="2" t="s">
        <v>91</v>
      </c>
      <c r="AF440" s="2" t="s">
        <v>92</v>
      </c>
      <c r="AG440" s="2" t="s">
        <v>119</v>
      </c>
      <c r="AH440" s="2" t="s">
        <v>120</v>
      </c>
      <c r="AJ440" s="2" t="s">
        <v>122</v>
      </c>
      <c r="AK440" s="2" t="s">
        <v>2579</v>
      </c>
      <c r="AN440" s="3">
        <v>1</v>
      </c>
      <c r="AO440" s="3">
        <v>1</v>
      </c>
      <c r="AP440" s="3">
        <v>1</v>
      </c>
      <c r="AQ440" s="3">
        <v>1</v>
      </c>
      <c r="AR440" s="3">
        <v>1</v>
      </c>
      <c r="AS440" s="3">
        <v>0</v>
      </c>
      <c r="AT440" s="3">
        <v>0</v>
      </c>
      <c r="AU440" s="3">
        <v>0</v>
      </c>
      <c r="AV440" s="3">
        <v>0</v>
      </c>
      <c r="AW440" s="3">
        <v>1</v>
      </c>
      <c r="AX440" s="3">
        <v>1</v>
      </c>
      <c r="AY440" s="3">
        <v>0</v>
      </c>
      <c r="AZ440" s="3">
        <v>0</v>
      </c>
      <c r="BA440" s="3">
        <v>1</v>
      </c>
      <c r="BB440" s="3">
        <v>0</v>
      </c>
      <c r="BC440" s="3">
        <v>0</v>
      </c>
      <c r="BD440" s="3">
        <v>3</v>
      </c>
      <c r="BE440" s="3">
        <v>0</v>
      </c>
      <c r="BG440" s="2" t="s">
        <v>91</v>
      </c>
      <c r="BH440" s="3">
        <v>3</v>
      </c>
      <c r="BJ440" s="2" t="s">
        <v>96</v>
      </c>
      <c r="BL440" s="2" t="s">
        <v>123</v>
      </c>
      <c r="BM440" s="2" t="s">
        <v>123</v>
      </c>
      <c r="BN440" s="2" t="s">
        <v>124</v>
      </c>
      <c r="BO440" s="2" t="s">
        <v>125</v>
      </c>
      <c r="BP440" s="2" t="s">
        <v>101</v>
      </c>
      <c r="BQ440" s="2" t="s">
        <v>124</v>
      </c>
      <c r="BR440" s="2" t="s">
        <v>126</v>
      </c>
      <c r="BS440" s="2" t="s">
        <v>127</v>
      </c>
      <c r="BT440" s="2" t="s">
        <v>199</v>
      </c>
      <c r="BU440" s="2" t="s">
        <v>200</v>
      </c>
      <c r="BV440" s="2" t="s">
        <v>166</v>
      </c>
      <c r="BW440" s="2" t="s">
        <v>167</v>
      </c>
      <c r="BX440" s="2" t="s">
        <v>91</v>
      </c>
      <c r="BY44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40" s="2">
        <f>IF(AND(Cases[[#This Row],[Priority Level]]&gt;=3,Cases[[#This Row],[System Role]]&lt;&gt;"Productive"),1,0)</f>
        <v>1</v>
      </c>
      <c r="CA440" s="2">
        <f>IFERROR(IF(Cases[[#This Row],[Days at Customer]]&gt;MAX(1,Cases[[#This Row],[Days at SAP]]*2),1,0),0)</f>
        <v>1</v>
      </c>
      <c r="CB440" s="2">
        <f>IF(AND(Cases[[#This Row],[Initial Component]]&lt;&gt;"",Cases[[#This Row],[Component]]&lt;&gt;"",Cases[[#This Row],[Initial Component]]&lt;&gt;Cases[[#This Row],[Component]]),1,0)</f>
        <v>0</v>
      </c>
      <c r="CC440" s="2">
        <f>IF(OR(Cases[[#This Row],[Is Reopened]]="X",Cases[[#This Row],[No. of Reopenings]]&gt;0),1,0)</f>
        <v>1</v>
      </c>
      <c r="CD440" s="2">
        <f>IF(Cases[[#This Row],[Confirmation Type]]="Automatic",1,0)</f>
        <v>0</v>
      </c>
      <c r="CE440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441" spans="1:83" x14ac:dyDescent="0.2">
      <c r="A441" s="1" t="s">
        <v>2580</v>
      </c>
      <c r="B441" s="2" t="s">
        <v>2581</v>
      </c>
      <c r="C441" s="2" t="s">
        <v>1696</v>
      </c>
      <c r="D441" s="2" t="s">
        <v>238</v>
      </c>
      <c r="E441" s="3">
        <v>0.25</v>
      </c>
      <c r="F441" s="3">
        <v>21.45</v>
      </c>
      <c r="G441" s="2" t="s">
        <v>79</v>
      </c>
      <c r="H441" s="2" t="s">
        <v>178</v>
      </c>
      <c r="I441" s="3" t="s">
        <v>114</v>
      </c>
      <c r="J441" s="3">
        <v>158</v>
      </c>
      <c r="K441" s="2" t="s">
        <v>2582</v>
      </c>
      <c r="L441" s="4">
        <v>46009</v>
      </c>
      <c r="M441" s="4">
        <v>45990</v>
      </c>
      <c r="N441" s="2" t="s">
        <v>2274</v>
      </c>
      <c r="O441" s="2" t="s">
        <v>1805</v>
      </c>
      <c r="P441" s="2" t="s">
        <v>2275</v>
      </c>
      <c r="Q441" s="2" t="s">
        <v>1806</v>
      </c>
      <c r="R441" s="2" t="s">
        <v>1698</v>
      </c>
      <c r="S441" s="4">
        <v>45969</v>
      </c>
      <c r="T441" s="2" t="s">
        <v>2274</v>
      </c>
      <c r="U441" s="2" t="s">
        <v>1805</v>
      </c>
      <c r="V441" s="2" t="s">
        <v>2583</v>
      </c>
      <c r="W441" s="2" t="s">
        <v>1806</v>
      </c>
      <c r="X441" s="2" t="s">
        <v>117</v>
      </c>
      <c r="Y441" s="3" t="s">
        <v>118</v>
      </c>
      <c r="Z441" s="3">
        <v>21.69</v>
      </c>
      <c r="AA441" s="2" t="s">
        <v>90</v>
      </c>
      <c r="AB441" s="2" t="s">
        <v>1698</v>
      </c>
      <c r="AC441" s="2" t="s">
        <v>1696</v>
      </c>
      <c r="AD441" t="str" cm="1">
        <f t="array" ref="AD44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441" s="2" t="s">
        <v>139</v>
      </c>
      <c r="AF441" s="2" t="s">
        <v>92</v>
      </c>
      <c r="AG441" s="2" t="s">
        <v>527</v>
      </c>
      <c r="AH441" s="2" t="s">
        <v>528</v>
      </c>
      <c r="AK441" s="2" t="s">
        <v>2584</v>
      </c>
      <c r="AN441" s="3">
        <v>1</v>
      </c>
      <c r="AO441" s="3">
        <v>1</v>
      </c>
      <c r="AP441" s="3">
        <v>1</v>
      </c>
      <c r="AQ441" s="3">
        <v>1</v>
      </c>
      <c r="AR441" s="3">
        <v>0</v>
      </c>
      <c r="AS441" s="3">
        <v>0</v>
      </c>
      <c r="AT441" s="3">
        <v>1</v>
      </c>
      <c r="AU441" s="3">
        <v>0</v>
      </c>
      <c r="AV441" s="3">
        <v>1</v>
      </c>
      <c r="AW441" s="3">
        <v>0</v>
      </c>
      <c r="AX441" s="3">
        <v>0</v>
      </c>
      <c r="AY441" s="3">
        <v>0</v>
      </c>
      <c r="AZ441" s="3">
        <v>1</v>
      </c>
      <c r="BA441" s="3">
        <v>0</v>
      </c>
      <c r="BB441" s="3">
        <v>0</v>
      </c>
      <c r="BC441" s="3">
        <v>1</v>
      </c>
      <c r="BD441" s="3">
        <v>0</v>
      </c>
      <c r="BE441" s="3">
        <v>0</v>
      </c>
      <c r="BG441" s="2" t="s">
        <v>139</v>
      </c>
      <c r="BH441" s="3">
        <v>2</v>
      </c>
      <c r="BJ441" s="2" t="s">
        <v>96</v>
      </c>
      <c r="BL441" s="2" t="s">
        <v>184</v>
      </c>
      <c r="BM441" s="2" t="s">
        <v>184</v>
      </c>
      <c r="BN441" s="2" t="s">
        <v>124</v>
      </c>
      <c r="BO441" s="2" t="s">
        <v>125</v>
      </c>
      <c r="BP441" s="2" t="s">
        <v>242</v>
      </c>
      <c r="BQ441" s="2" t="s">
        <v>124</v>
      </c>
      <c r="BR441" s="2" t="s">
        <v>126</v>
      </c>
      <c r="BS441" s="2" t="s">
        <v>127</v>
      </c>
      <c r="BT441" s="2" t="s">
        <v>185</v>
      </c>
      <c r="BU441" s="2" t="s">
        <v>530</v>
      </c>
      <c r="BV441" s="2" t="s">
        <v>150</v>
      </c>
      <c r="BW441" s="2" t="s">
        <v>151</v>
      </c>
      <c r="BX441" s="2" t="s">
        <v>139</v>
      </c>
      <c r="BY44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41" s="2">
        <f>IF(AND(Cases[[#This Row],[Priority Level]]&gt;=3,Cases[[#This Row],[System Role]]&lt;&gt;"Productive"),1,0)</f>
        <v>0</v>
      </c>
      <c r="CA441" s="2">
        <f>IFERROR(IF(Cases[[#This Row],[Days at Customer]]&gt;MAX(1,Cases[[#This Row],[Days at SAP]]*2),1,0),0)</f>
        <v>1</v>
      </c>
      <c r="CB441" s="2">
        <f>IF(AND(Cases[[#This Row],[Initial Component]]&lt;&gt;"",Cases[[#This Row],[Component]]&lt;&gt;"",Cases[[#This Row],[Initial Component]]&lt;&gt;Cases[[#This Row],[Component]]),1,0)</f>
        <v>0</v>
      </c>
      <c r="CC441" s="2">
        <f>IF(OR(Cases[[#This Row],[Is Reopened]]="X",Cases[[#This Row],[No. of Reopenings]]&gt;0),1,0)</f>
        <v>0</v>
      </c>
      <c r="CD441" s="2">
        <f>IF(Cases[[#This Row],[Confirmation Type]]="Automatic",1,0)</f>
        <v>1</v>
      </c>
      <c r="CE441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42" spans="1:83" x14ac:dyDescent="0.2">
      <c r="A442" s="1" t="s">
        <v>2585</v>
      </c>
      <c r="B442" s="2" t="s">
        <v>2586</v>
      </c>
      <c r="C442" s="2" t="s">
        <v>444</v>
      </c>
      <c r="D442" s="2" t="s">
        <v>78</v>
      </c>
      <c r="E442" s="3">
        <v>0.02</v>
      </c>
      <c r="F442" s="3">
        <v>9.77</v>
      </c>
      <c r="G442" s="2" t="s">
        <v>79</v>
      </c>
      <c r="H442" s="2" t="s">
        <v>155</v>
      </c>
      <c r="I442" s="3" t="s">
        <v>114</v>
      </c>
      <c r="J442" s="3">
        <v>159</v>
      </c>
      <c r="K442" s="2" t="s">
        <v>2587</v>
      </c>
      <c r="L442" s="4">
        <v>46009</v>
      </c>
      <c r="M442" s="4">
        <v>45978</v>
      </c>
      <c r="N442" s="2" t="s">
        <v>2274</v>
      </c>
      <c r="O442" s="2" t="s">
        <v>1805</v>
      </c>
      <c r="P442" s="2" t="s">
        <v>2404</v>
      </c>
      <c r="Q442" s="2" t="s">
        <v>1806</v>
      </c>
      <c r="R442" s="2" t="s">
        <v>443</v>
      </c>
      <c r="S442" s="4">
        <v>45968</v>
      </c>
      <c r="T442" s="2" t="s">
        <v>2274</v>
      </c>
      <c r="U442" s="2" t="s">
        <v>1805</v>
      </c>
      <c r="V442" s="2" t="s">
        <v>2583</v>
      </c>
      <c r="W442" s="2" t="s">
        <v>1806</v>
      </c>
      <c r="X442" s="2" t="s">
        <v>117</v>
      </c>
      <c r="Y442" s="3" t="s">
        <v>118</v>
      </c>
      <c r="Z442" s="3">
        <v>9.8000000000000007</v>
      </c>
      <c r="AA442" s="2" t="s">
        <v>138</v>
      </c>
      <c r="AB442" s="2" t="s">
        <v>443</v>
      </c>
      <c r="AC442" s="2" t="s">
        <v>444</v>
      </c>
      <c r="AD442" t="str" cm="1">
        <f t="array" ref="AD44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442" s="2" t="s">
        <v>139</v>
      </c>
      <c r="AF442" s="2" t="s">
        <v>92</v>
      </c>
      <c r="AG442" s="2" t="s">
        <v>274</v>
      </c>
      <c r="AH442" s="2" t="s">
        <v>275</v>
      </c>
      <c r="AK442" s="2" t="s">
        <v>2588</v>
      </c>
      <c r="AN442" s="3">
        <v>1</v>
      </c>
      <c r="AO442" s="3">
        <v>1</v>
      </c>
      <c r="AP442" s="3">
        <v>1</v>
      </c>
      <c r="AQ442" s="3">
        <v>1</v>
      </c>
      <c r="AR442" s="3">
        <v>1</v>
      </c>
      <c r="AS442" s="3">
        <v>0</v>
      </c>
      <c r="AT442" s="3">
        <v>0</v>
      </c>
      <c r="AU442" s="3">
        <v>0</v>
      </c>
      <c r="AV442" s="3">
        <v>0</v>
      </c>
      <c r="AW442" s="3">
        <v>1</v>
      </c>
      <c r="AX442" s="3">
        <v>1</v>
      </c>
      <c r="AY442" s="3">
        <v>0</v>
      </c>
      <c r="AZ442" s="3">
        <v>0</v>
      </c>
      <c r="BA442" s="3">
        <v>1</v>
      </c>
      <c r="BB442" s="3">
        <v>0</v>
      </c>
      <c r="BC442" s="3">
        <v>0</v>
      </c>
      <c r="BD442" s="3">
        <v>0</v>
      </c>
      <c r="BE442" s="3">
        <v>0</v>
      </c>
      <c r="BG442" s="2" t="s">
        <v>91</v>
      </c>
      <c r="BH442" s="3">
        <v>3</v>
      </c>
      <c r="BJ442" s="2" t="s">
        <v>96</v>
      </c>
      <c r="BL442" s="2" t="s">
        <v>446</v>
      </c>
      <c r="BM442" s="2" t="s">
        <v>447</v>
      </c>
      <c r="BN442" s="2" t="s">
        <v>279</v>
      </c>
      <c r="BO442" s="2" t="s">
        <v>280</v>
      </c>
      <c r="BP442" s="2" t="s">
        <v>101</v>
      </c>
      <c r="BQ442" s="2" t="s">
        <v>448</v>
      </c>
      <c r="BR442" s="2" t="s">
        <v>449</v>
      </c>
      <c r="BS442" s="2" t="s">
        <v>450</v>
      </c>
      <c r="BT442" s="2" t="s">
        <v>451</v>
      </c>
      <c r="BU442" s="2" t="s">
        <v>452</v>
      </c>
      <c r="BV442" s="2" t="s">
        <v>166</v>
      </c>
      <c r="BW442" s="2" t="s">
        <v>167</v>
      </c>
      <c r="BX442" s="2" t="s">
        <v>91</v>
      </c>
      <c r="BY44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42" s="2">
        <f>IF(AND(Cases[[#This Row],[Priority Level]]&gt;=3,Cases[[#This Row],[System Role]]&lt;&gt;"Productive"),1,0)</f>
        <v>1</v>
      </c>
      <c r="CA442" s="2">
        <f>IFERROR(IF(Cases[[#This Row],[Days at Customer]]&gt;MAX(1,Cases[[#This Row],[Days at SAP]]*2),1,0),0)</f>
        <v>1</v>
      </c>
      <c r="CB442" s="2">
        <f>IF(AND(Cases[[#This Row],[Initial Component]]&lt;&gt;"",Cases[[#This Row],[Component]]&lt;&gt;"",Cases[[#This Row],[Initial Component]]&lt;&gt;Cases[[#This Row],[Component]]),1,0)</f>
        <v>0</v>
      </c>
      <c r="CC442" s="2">
        <f>IF(OR(Cases[[#This Row],[Is Reopened]]="X",Cases[[#This Row],[No. of Reopenings]]&gt;0),1,0)</f>
        <v>0</v>
      </c>
      <c r="CD442" s="2">
        <f>IF(Cases[[#This Row],[Confirmation Type]]="Automatic",1,0)</f>
        <v>0</v>
      </c>
      <c r="CE442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443" spans="1:83" x14ac:dyDescent="0.2">
      <c r="A443" s="1" t="s">
        <v>2589</v>
      </c>
      <c r="B443" s="2" t="s">
        <v>2590</v>
      </c>
      <c r="C443" s="2" t="s">
        <v>1461</v>
      </c>
      <c r="D443" s="2" t="s">
        <v>78</v>
      </c>
      <c r="E443" s="3">
        <v>3.66</v>
      </c>
      <c r="F443" s="3">
        <v>3.16</v>
      </c>
      <c r="G443" s="2" t="s">
        <v>79</v>
      </c>
      <c r="H443" s="2" t="s">
        <v>178</v>
      </c>
      <c r="I443" s="3" t="s">
        <v>114</v>
      </c>
      <c r="J443" s="3">
        <v>159</v>
      </c>
      <c r="K443" s="2" t="s">
        <v>2591</v>
      </c>
      <c r="L443" s="4">
        <v>46065</v>
      </c>
      <c r="M443" s="4">
        <v>45975</v>
      </c>
      <c r="N443" s="2" t="s">
        <v>2274</v>
      </c>
      <c r="O443" s="2" t="s">
        <v>1805</v>
      </c>
      <c r="P443" s="2" t="s">
        <v>2467</v>
      </c>
      <c r="Q443" s="2" t="s">
        <v>1806</v>
      </c>
      <c r="R443" s="2" t="s">
        <v>1463</v>
      </c>
      <c r="S443" s="4">
        <v>45968</v>
      </c>
      <c r="T443" s="2" t="s">
        <v>2274</v>
      </c>
      <c r="U443" s="2" t="s">
        <v>1805</v>
      </c>
      <c r="V443" s="2" t="s">
        <v>2583</v>
      </c>
      <c r="W443" s="2" t="s">
        <v>1806</v>
      </c>
      <c r="X443" s="2" t="s">
        <v>117</v>
      </c>
      <c r="Y443" s="3" t="s">
        <v>118</v>
      </c>
      <c r="Z443" s="3">
        <v>6.82</v>
      </c>
      <c r="AA443" s="2" t="s">
        <v>90</v>
      </c>
      <c r="AB443" s="2" t="s">
        <v>2592</v>
      </c>
      <c r="AC443" s="2" t="s">
        <v>2593</v>
      </c>
      <c r="AD443" t="str" cm="1">
        <f t="array" ref="AD44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443" s="2" t="s">
        <v>91</v>
      </c>
      <c r="AF443" s="2" t="s">
        <v>92</v>
      </c>
      <c r="AG443" s="2" t="s">
        <v>119</v>
      </c>
      <c r="AH443" s="2" t="s">
        <v>120</v>
      </c>
      <c r="AK443" s="2" t="s">
        <v>2594</v>
      </c>
      <c r="AN443" s="3">
        <v>1</v>
      </c>
      <c r="AO443" s="3">
        <v>1</v>
      </c>
      <c r="AP443" s="3">
        <v>1</v>
      </c>
      <c r="AQ443" s="3">
        <v>1</v>
      </c>
      <c r="AR443" s="3">
        <v>1</v>
      </c>
      <c r="AS443" s="3">
        <v>0</v>
      </c>
      <c r="AT443" s="3">
        <v>0</v>
      </c>
      <c r="AU443" s="3">
        <v>0</v>
      </c>
      <c r="AV443" s="3">
        <v>0</v>
      </c>
      <c r="AW443" s="3">
        <v>1</v>
      </c>
      <c r="AX443" s="3">
        <v>1</v>
      </c>
      <c r="AY443" s="3">
        <v>0</v>
      </c>
      <c r="AZ443" s="3">
        <v>0</v>
      </c>
      <c r="BA443" s="3">
        <v>0</v>
      </c>
      <c r="BB443" s="3">
        <v>0</v>
      </c>
      <c r="BC443" s="3">
        <v>1</v>
      </c>
      <c r="BD443" s="3">
        <v>0</v>
      </c>
      <c r="BE443" s="3">
        <v>0</v>
      </c>
      <c r="BG443" s="2" t="s">
        <v>91</v>
      </c>
      <c r="BH443" s="3">
        <v>3</v>
      </c>
      <c r="BJ443" s="2" t="s">
        <v>96</v>
      </c>
      <c r="BL443" s="2" t="s">
        <v>123</v>
      </c>
      <c r="BM443" s="2" t="s">
        <v>123</v>
      </c>
      <c r="BN443" s="2" t="s">
        <v>124</v>
      </c>
      <c r="BO443" s="2" t="s">
        <v>125</v>
      </c>
      <c r="BP443" s="2" t="s">
        <v>101</v>
      </c>
      <c r="BQ443" s="2" t="s">
        <v>124</v>
      </c>
      <c r="BR443" s="2" t="s">
        <v>126</v>
      </c>
      <c r="BS443" s="2" t="s">
        <v>127</v>
      </c>
      <c r="BT443" s="2" t="s">
        <v>207</v>
      </c>
      <c r="BU443" s="2" t="s">
        <v>208</v>
      </c>
      <c r="BV443" s="2" t="s">
        <v>150</v>
      </c>
      <c r="BW443" s="2" t="s">
        <v>151</v>
      </c>
      <c r="BX443" s="2" t="s">
        <v>91</v>
      </c>
      <c r="BY44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43" s="2">
        <f>IF(AND(Cases[[#This Row],[Priority Level]]&gt;=3,Cases[[#This Row],[System Role]]&lt;&gt;"Productive"),1,0)</f>
        <v>0</v>
      </c>
      <c r="CA443" s="2">
        <f>IFERROR(IF(Cases[[#This Row],[Days at Customer]]&gt;MAX(1,Cases[[#This Row],[Days at SAP]]*2),1,0),0)</f>
        <v>0</v>
      </c>
      <c r="CB443" s="2">
        <f>IF(AND(Cases[[#This Row],[Initial Component]]&lt;&gt;"",Cases[[#This Row],[Component]]&lt;&gt;"",Cases[[#This Row],[Initial Component]]&lt;&gt;Cases[[#This Row],[Component]]),1,0)</f>
        <v>1</v>
      </c>
      <c r="CC443" s="2">
        <f>IF(OR(Cases[[#This Row],[Is Reopened]]="X",Cases[[#This Row],[No. of Reopenings]]&gt;0),1,0)</f>
        <v>0</v>
      </c>
      <c r="CD443" s="2">
        <f>IF(Cases[[#This Row],[Confirmation Type]]="Automatic",1,0)</f>
        <v>0</v>
      </c>
      <c r="CE443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44" spans="1:83" x14ac:dyDescent="0.2">
      <c r="A444" s="1" t="s">
        <v>2595</v>
      </c>
      <c r="B444" s="2" t="s">
        <v>2596</v>
      </c>
      <c r="C444" s="2" t="s">
        <v>2597</v>
      </c>
      <c r="D444" s="2" t="s">
        <v>238</v>
      </c>
      <c r="E444" s="3">
        <v>0.56000000000000005</v>
      </c>
      <c r="F444" s="3">
        <v>21.72</v>
      </c>
      <c r="G444" s="2" t="s">
        <v>79</v>
      </c>
      <c r="H444" s="2" t="s">
        <v>155</v>
      </c>
      <c r="I444" s="3" t="s">
        <v>114</v>
      </c>
      <c r="J444" s="3">
        <v>160</v>
      </c>
      <c r="K444" s="2" t="s">
        <v>2598</v>
      </c>
      <c r="L444" s="4">
        <v>46009</v>
      </c>
      <c r="M444" s="4">
        <v>45989</v>
      </c>
      <c r="N444" s="2" t="s">
        <v>2274</v>
      </c>
      <c r="O444" s="2" t="s">
        <v>1805</v>
      </c>
      <c r="P444" s="2" t="s">
        <v>2275</v>
      </c>
      <c r="Q444" s="2" t="s">
        <v>1806</v>
      </c>
      <c r="R444" s="2" t="s">
        <v>2599</v>
      </c>
      <c r="S444" s="4">
        <v>45967</v>
      </c>
      <c r="T444" s="2" t="s">
        <v>2274</v>
      </c>
      <c r="U444" s="2" t="s">
        <v>1805</v>
      </c>
      <c r="V444" s="2" t="s">
        <v>2583</v>
      </c>
      <c r="W444" s="2" t="s">
        <v>1806</v>
      </c>
      <c r="X444" s="2" t="s">
        <v>117</v>
      </c>
      <c r="Y444" s="3" t="s">
        <v>118</v>
      </c>
      <c r="Z444" s="3">
        <v>22.28</v>
      </c>
      <c r="AA444" s="2" t="s">
        <v>138</v>
      </c>
      <c r="AB444" s="2" t="s">
        <v>2599</v>
      </c>
      <c r="AC444" s="2" t="s">
        <v>2597</v>
      </c>
      <c r="AD444" t="str" cm="1">
        <f t="array" ref="AD44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444" s="2" t="s">
        <v>91</v>
      </c>
      <c r="AF444" s="2" t="s">
        <v>92</v>
      </c>
      <c r="AG444" s="2" t="s">
        <v>140</v>
      </c>
      <c r="AH444" s="2" t="s">
        <v>141</v>
      </c>
      <c r="AK444" s="2" t="s">
        <v>2600</v>
      </c>
      <c r="AN444" s="3">
        <v>1</v>
      </c>
      <c r="AO444" s="3">
        <v>1</v>
      </c>
      <c r="AP444" s="3">
        <v>1</v>
      </c>
      <c r="AQ444" s="3">
        <v>1</v>
      </c>
      <c r="AR444" s="3">
        <v>1</v>
      </c>
      <c r="AS444" s="3">
        <v>0</v>
      </c>
      <c r="AT444" s="3">
        <v>0</v>
      </c>
      <c r="AU444" s="3">
        <v>0</v>
      </c>
      <c r="AV444" s="3">
        <v>1</v>
      </c>
      <c r="AW444" s="3">
        <v>0</v>
      </c>
      <c r="AX444" s="3">
        <v>1</v>
      </c>
      <c r="AY444" s="3">
        <v>0</v>
      </c>
      <c r="AZ444" s="3">
        <v>0</v>
      </c>
      <c r="BA444" s="3">
        <v>0</v>
      </c>
      <c r="BB444" s="3">
        <v>0</v>
      </c>
      <c r="BC444" s="3">
        <v>1</v>
      </c>
      <c r="BD444" s="3">
        <v>0</v>
      </c>
      <c r="BE444" s="3">
        <v>0</v>
      </c>
      <c r="BG444" s="2" t="s">
        <v>91</v>
      </c>
      <c r="BH444" s="3">
        <v>3</v>
      </c>
      <c r="BJ444" s="2" t="s">
        <v>96</v>
      </c>
      <c r="BL444" s="2" t="s">
        <v>143</v>
      </c>
      <c r="BM444" s="2" t="s">
        <v>144</v>
      </c>
      <c r="BN444" s="2" t="s">
        <v>99</v>
      </c>
      <c r="BO444" s="2" t="s">
        <v>100</v>
      </c>
      <c r="BP444" s="2" t="s">
        <v>242</v>
      </c>
      <c r="BQ444" s="2" t="s">
        <v>145</v>
      </c>
      <c r="BR444" s="2" t="s">
        <v>146</v>
      </c>
      <c r="BS444" s="2" t="s">
        <v>147</v>
      </c>
      <c r="BT444" s="2" t="s">
        <v>148</v>
      </c>
      <c r="BU444" s="2" t="s">
        <v>149</v>
      </c>
      <c r="BV444" s="2" t="s">
        <v>150</v>
      </c>
      <c r="BW444" s="2" t="s">
        <v>151</v>
      </c>
      <c r="BX444" s="2" t="s">
        <v>91</v>
      </c>
      <c r="BY44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44" s="2">
        <f>IF(AND(Cases[[#This Row],[Priority Level]]&gt;=3,Cases[[#This Row],[System Role]]&lt;&gt;"Productive"),1,0)</f>
        <v>0</v>
      </c>
      <c r="CA444" s="2">
        <f>IFERROR(IF(Cases[[#This Row],[Days at Customer]]&gt;MAX(1,Cases[[#This Row],[Days at SAP]]*2),1,0),0)</f>
        <v>1</v>
      </c>
      <c r="CB444" s="2">
        <f>IF(AND(Cases[[#This Row],[Initial Component]]&lt;&gt;"",Cases[[#This Row],[Component]]&lt;&gt;"",Cases[[#This Row],[Initial Component]]&lt;&gt;Cases[[#This Row],[Component]]),1,0)</f>
        <v>0</v>
      </c>
      <c r="CC444" s="2">
        <f>IF(OR(Cases[[#This Row],[Is Reopened]]="X",Cases[[#This Row],[No. of Reopenings]]&gt;0),1,0)</f>
        <v>0</v>
      </c>
      <c r="CD444" s="2">
        <f>IF(Cases[[#This Row],[Confirmation Type]]="Automatic",1,0)</f>
        <v>1</v>
      </c>
      <c r="CE444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45" spans="1:83" x14ac:dyDescent="0.2">
      <c r="A445" s="1" t="s">
        <v>2601</v>
      </c>
      <c r="B445" s="2" t="s">
        <v>2602</v>
      </c>
      <c r="C445" s="2" t="s">
        <v>330</v>
      </c>
      <c r="D445" s="2" t="s">
        <v>78</v>
      </c>
      <c r="E445" s="3">
        <v>0.64</v>
      </c>
      <c r="F445" s="3">
        <v>0</v>
      </c>
      <c r="G445" s="2" t="s">
        <v>133</v>
      </c>
      <c r="H445" s="2" t="s">
        <v>134</v>
      </c>
      <c r="I445" s="3" t="s">
        <v>114</v>
      </c>
      <c r="J445" s="3">
        <v>160</v>
      </c>
      <c r="K445" s="2" t="s">
        <v>2603</v>
      </c>
      <c r="L445" s="4">
        <v>46061</v>
      </c>
      <c r="M445" s="4">
        <v>45968</v>
      </c>
      <c r="N445" s="2" t="s">
        <v>2274</v>
      </c>
      <c r="O445" s="2" t="s">
        <v>1805</v>
      </c>
      <c r="P445" s="2" t="s">
        <v>2583</v>
      </c>
      <c r="Q445" s="2" t="s">
        <v>1806</v>
      </c>
      <c r="R445" s="2" t="s">
        <v>333</v>
      </c>
      <c r="S445" s="4">
        <v>45967</v>
      </c>
      <c r="T445" s="2" t="s">
        <v>2274</v>
      </c>
      <c r="U445" s="2" t="s">
        <v>1805</v>
      </c>
      <c r="V445" s="2" t="s">
        <v>2583</v>
      </c>
      <c r="W445" s="2" t="s">
        <v>1806</v>
      </c>
      <c r="X445" s="2" t="s">
        <v>117</v>
      </c>
      <c r="Y445" s="3" t="s">
        <v>118</v>
      </c>
      <c r="Z445" s="3">
        <v>0.64</v>
      </c>
      <c r="AA445" s="2" t="s">
        <v>90</v>
      </c>
      <c r="AB445" s="2" t="s">
        <v>2604</v>
      </c>
      <c r="AC445" s="2" t="s">
        <v>2605</v>
      </c>
      <c r="AD445" t="str" cm="1">
        <f t="array" ref="AD44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445" s="2" t="s">
        <v>91</v>
      </c>
      <c r="AF445" s="2" t="s">
        <v>92</v>
      </c>
      <c r="AG445" s="2" t="s">
        <v>2606</v>
      </c>
      <c r="AH445" s="2" t="s">
        <v>2607</v>
      </c>
      <c r="AK445" s="2" t="s">
        <v>2608</v>
      </c>
      <c r="AN445" s="3">
        <v>1</v>
      </c>
      <c r="AO445" s="3">
        <v>1</v>
      </c>
      <c r="AP445" s="3">
        <v>1</v>
      </c>
      <c r="AQ445" s="3">
        <v>1</v>
      </c>
      <c r="AR445" s="3">
        <v>1</v>
      </c>
      <c r="AS445" s="3">
        <v>0</v>
      </c>
      <c r="AT445" s="3">
        <v>0</v>
      </c>
      <c r="AU445" s="3">
        <v>0</v>
      </c>
      <c r="AV445" s="3">
        <v>0</v>
      </c>
      <c r="AW445" s="3">
        <v>1</v>
      </c>
      <c r="AX445" s="3">
        <v>1</v>
      </c>
      <c r="AY445" s="3">
        <v>0</v>
      </c>
      <c r="AZ445" s="3">
        <v>0</v>
      </c>
      <c r="BA445" s="3">
        <v>1</v>
      </c>
      <c r="BB445" s="3">
        <v>0</v>
      </c>
      <c r="BC445" s="3">
        <v>0</v>
      </c>
      <c r="BD445" s="3">
        <v>0</v>
      </c>
      <c r="BE445" s="3">
        <v>0</v>
      </c>
      <c r="BG445" s="2" t="s">
        <v>91</v>
      </c>
      <c r="BH445" s="3">
        <v>3</v>
      </c>
      <c r="BJ445" s="2" t="s">
        <v>96</v>
      </c>
      <c r="BL445" s="2" t="s">
        <v>97</v>
      </c>
      <c r="BM445" s="2" t="s">
        <v>98</v>
      </c>
      <c r="BN445" s="2" t="s">
        <v>99</v>
      </c>
      <c r="BO445" s="2" t="s">
        <v>100</v>
      </c>
      <c r="BP445" s="2" t="s">
        <v>101</v>
      </c>
      <c r="BQ445" s="2" t="s">
        <v>102</v>
      </c>
      <c r="BR445" s="2" t="s">
        <v>103</v>
      </c>
      <c r="BS445" s="2" t="s">
        <v>713</v>
      </c>
      <c r="BT445" s="2" t="s">
        <v>2609</v>
      </c>
      <c r="BU445" s="2" t="s">
        <v>2610</v>
      </c>
      <c r="BV445" s="2" t="s">
        <v>107</v>
      </c>
      <c r="BW445" s="2" t="s">
        <v>108</v>
      </c>
      <c r="BX445" s="2" t="s">
        <v>91</v>
      </c>
      <c r="BY44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45" s="2">
        <f>IF(AND(Cases[[#This Row],[Priority Level]]&gt;=3,Cases[[#This Row],[System Role]]&lt;&gt;"Productive"),1,0)</f>
        <v>1</v>
      </c>
      <c r="CA445" s="2">
        <f>IFERROR(IF(Cases[[#This Row],[Days at Customer]]&gt;MAX(1,Cases[[#This Row],[Days at SAP]]*2),1,0),0)</f>
        <v>0</v>
      </c>
      <c r="CB445" s="2">
        <f>IF(AND(Cases[[#This Row],[Initial Component]]&lt;&gt;"",Cases[[#This Row],[Component]]&lt;&gt;"",Cases[[#This Row],[Initial Component]]&lt;&gt;Cases[[#This Row],[Component]]),1,0)</f>
        <v>1</v>
      </c>
      <c r="CC445" s="2">
        <f>IF(OR(Cases[[#This Row],[Is Reopened]]="X",Cases[[#This Row],[No. of Reopenings]]&gt;0),1,0)</f>
        <v>0</v>
      </c>
      <c r="CD445" s="2">
        <f>IF(Cases[[#This Row],[Confirmation Type]]="Automatic",1,0)</f>
        <v>0</v>
      </c>
      <c r="CE445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46" spans="1:83" x14ac:dyDescent="0.2">
      <c r="A446" s="1" t="s">
        <v>2155</v>
      </c>
      <c r="B446" s="2" t="s">
        <v>2156</v>
      </c>
      <c r="C446" s="2" t="s">
        <v>1893</v>
      </c>
      <c r="D446" s="2" t="s">
        <v>78</v>
      </c>
      <c r="E446" s="3">
        <v>2.3199999999999998</v>
      </c>
      <c r="F446" s="3">
        <v>7.64</v>
      </c>
      <c r="G446" s="2" t="s">
        <v>79</v>
      </c>
      <c r="H446" s="2" t="s">
        <v>155</v>
      </c>
      <c r="I446" s="3" t="s">
        <v>114</v>
      </c>
      <c r="J446" s="3">
        <v>128</v>
      </c>
      <c r="K446" s="2" t="s">
        <v>2157</v>
      </c>
      <c r="L446" s="4">
        <v>46064</v>
      </c>
      <c r="M446" s="4">
        <v>46009</v>
      </c>
      <c r="N446" s="2" t="s">
        <v>1804</v>
      </c>
      <c r="O446" s="2" t="s">
        <v>1805</v>
      </c>
      <c r="P446" s="2" t="s">
        <v>1930</v>
      </c>
      <c r="Q446" s="2" t="s">
        <v>1806</v>
      </c>
      <c r="R446" s="2" t="s">
        <v>1895</v>
      </c>
      <c r="S446" s="4">
        <v>45999</v>
      </c>
      <c r="T446" s="2" t="s">
        <v>1804</v>
      </c>
      <c r="U446" s="2" t="s">
        <v>1805</v>
      </c>
      <c r="V446" s="2" t="s">
        <v>2037</v>
      </c>
      <c r="W446" s="2" t="s">
        <v>1806</v>
      </c>
      <c r="X446" s="2" t="s">
        <v>117</v>
      </c>
      <c r="Y446" s="3" t="s">
        <v>118</v>
      </c>
      <c r="Z446" s="3">
        <v>9.9600000000000009</v>
      </c>
      <c r="AA446" s="2" t="s">
        <v>90</v>
      </c>
      <c r="AB446" s="2" t="s">
        <v>1895</v>
      </c>
      <c r="AC446" s="2" t="s">
        <v>1893</v>
      </c>
      <c r="AD446" t="str" cm="1">
        <f t="array" ref="AD44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446" s="2" t="s">
        <v>139</v>
      </c>
      <c r="AF446" s="2" t="s">
        <v>92</v>
      </c>
      <c r="AG446" s="2" t="s">
        <v>119</v>
      </c>
      <c r="AH446" s="2" t="s">
        <v>120</v>
      </c>
      <c r="AK446" s="2" t="s">
        <v>2158</v>
      </c>
      <c r="AN446" s="3">
        <v>1</v>
      </c>
      <c r="AO446" s="3">
        <v>1</v>
      </c>
      <c r="AP446" s="3">
        <v>1</v>
      </c>
      <c r="AQ446" s="3">
        <v>1</v>
      </c>
      <c r="AR446" s="3">
        <v>0</v>
      </c>
      <c r="AS446" s="3">
        <v>0</v>
      </c>
      <c r="AT446" s="3">
        <v>1</v>
      </c>
      <c r="AU446" s="3">
        <v>0</v>
      </c>
      <c r="AV446" s="3">
        <v>0</v>
      </c>
      <c r="AW446" s="3">
        <v>1</v>
      </c>
      <c r="AX446" s="3">
        <v>0</v>
      </c>
      <c r="AY446" s="3">
        <v>0</v>
      </c>
      <c r="AZ446" s="3">
        <v>1</v>
      </c>
      <c r="BA446" s="3">
        <v>0</v>
      </c>
      <c r="BB446" s="3">
        <v>0</v>
      </c>
      <c r="BC446" s="3">
        <v>1</v>
      </c>
      <c r="BD446" s="3">
        <v>0</v>
      </c>
      <c r="BE446" s="3">
        <v>0</v>
      </c>
      <c r="BG446" s="2" t="s">
        <v>139</v>
      </c>
      <c r="BH446" s="3">
        <v>2</v>
      </c>
      <c r="BJ446" s="2" t="s">
        <v>96</v>
      </c>
      <c r="BL446" s="2" t="s">
        <v>123</v>
      </c>
      <c r="BM446" s="2" t="s">
        <v>123</v>
      </c>
      <c r="BN446" s="2" t="s">
        <v>124</v>
      </c>
      <c r="BO446" s="2" t="s">
        <v>125</v>
      </c>
      <c r="BP446" s="2" t="s">
        <v>101</v>
      </c>
      <c r="BQ446" s="2" t="s">
        <v>124</v>
      </c>
      <c r="BR446" s="2" t="s">
        <v>126</v>
      </c>
      <c r="BS446" s="2" t="s">
        <v>127</v>
      </c>
      <c r="BT446" s="2" t="s">
        <v>207</v>
      </c>
      <c r="BU446" s="2" t="s">
        <v>208</v>
      </c>
      <c r="BV446" s="2" t="s">
        <v>150</v>
      </c>
      <c r="BW446" s="2" t="s">
        <v>151</v>
      </c>
      <c r="BX446" s="2" t="s">
        <v>139</v>
      </c>
      <c r="BY44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46" s="2">
        <f>IF(AND(Cases[[#This Row],[Priority Level]]&gt;=3,Cases[[#This Row],[System Role]]&lt;&gt;"Productive"),1,0)</f>
        <v>0</v>
      </c>
      <c r="CA446" s="2">
        <f>IFERROR(IF(Cases[[#This Row],[Days at Customer]]&gt;MAX(1,Cases[[#This Row],[Days at SAP]]*2),1,0),0)</f>
        <v>1</v>
      </c>
      <c r="CB446" s="2">
        <f>IF(AND(Cases[[#This Row],[Initial Component]]&lt;&gt;"",Cases[[#This Row],[Component]]&lt;&gt;"",Cases[[#This Row],[Initial Component]]&lt;&gt;Cases[[#This Row],[Component]]),1,0)</f>
        <v>0</v>
      </c>
      <c r="CC446" s="2">
        <f>IF(OR(Cases[[#This Row],[Is Reopened]]="X",Cases[[#This Row],[No. of Reopenings]]&gt;0),1,0)</f>
        <v>0</v>
      </c>
      <c r="CD446" s="2">
        <f>IF(Cases[[#This Row],[Confirmation Type]]="Automatic",1,0)</f>
        <v>0</v>
      </c>
      <c r="CE44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47" spans="1:83" x14ac:dyDescent="0.2">
      <c r="A447" s="1" t="s">
        <v>2615</v>
      </c>
      <c r="B447" s="2" t="s">
        <v>2616</v>
      </c>
      <c r="C447" s="2" t="s">
        <v>289</v>
      </c>
      <c r="D447" s="2" t="s">
        <v>238</v>
      </c>
      <c r="E447" s="3">
        <v>6.04</v>
      </c>
      <c r="F447" s="3">
        <v>41.53</v>
      </c>
      <c r="G447" s="2" t="s">
        <v>79</v>
      </c>
      <c r="H447" s="2" t="s">
        <v>80</v>
      </c>
      <c r="I447" s="3" t="s">
        <v>81</v>
      </c>
      <c r="J447" s="3">
        <v>161</v>
      </c>
      <c r="K447" s="2" t="s">
        <v>2617</v>
      </c>
      <c r="L447" s="4">
        <v>46049</v>
      </c>
      <c r="M447" s="4">
        <v>46013</v>
      </c>
      <c r="N447" s="2" t="s">
        <v>1804</v>
      </c>
      <c r="O447" s="2" t="s">
        <v>1805</v>
      </c>
      <c r="P447" s="2" t="s">
        <v>1868</v>
      </c>
      <c r="Q447" s="2" t="s">
        <v>1806</v>
      </c>
      <c r="R447" s="2" t="s">
        <v>292</v>
      </c>
      <c r="S447" s="4">
        <v>45966</v>
      </c>
      <c r="T447" s="2" t="s">
        <v>2274</v>
      </c>
      <c r="U447" s="2" t="s">
        <v>1805</v>
      </c>
      <c r="V447" s="2" t="s">
        <v>2583</v>
      </c>
      <c r="W447" s="2" t="s">
        <v>1806</v>
      </c>
      <c r="X447" s="2" t="s">
        <v>88</v>
      </c>
      <c r="Y447" s="3" t="s">
        <v>89</v>
      </c>
      <c r="Z447" s="3">
        <v>47.56</v>
      </c>
      <c r="AA447" s="2" t="s">
        <v>90</v>
      </c>
      <c r="AB447" s="2" t="s">
        <v>292</v>
      </c>
      <c r="AC447" s="2" t="s">
        <v>289</v>
      </c>
      <c r="AD447" t="str" cm="1">
        <f t="array" ref="AD44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447" s="2" t="s">
        <v>182</v>
      </c>
      <c r="AF447" s="2" t="s">
        <v>92</v>
      </c>
      <c r="AG447" s="2" t="s">
        <v>93</v>
      </c>
      <c r="AH447" s="2" t="s">
        <v>94</v>
      </c>
      <c r="AK447" s="2" t="s">
        <v>2618</v>
      </c>
      <c r="AN447" s="3">
        <v>1</v>
      </c>
      <c r="AO447" s="3">
        <v>1</v>
      </c>
      <c r="AP447" s="3">
        <v>1</v>
      </c>
      <c r="AQ447" s="3">
        <v>1</v>
      </c>
      <c r="AR447" s="3">
        <v>1</v>
      </c>
      <c r="AS447" s="3">
        <v>0</v>
      </c>
      <c r="AT447" s="3">
        <v>0</v>
      </c>
      <c r="AU447" s="3">
        <v>0</v>
      </c>
      <c r="AV447" s="3">
        <v>1</v>
      </c>
      <c r="AW447" s="3">
        <v>0</v>
      </c>
      <c r="AX447" s="3">
        <v>1</v>
      </c>
      <c r="AY447" s="3">
        <v>0</v>
      </c>
      <c r="AZ447" s="3">
        <v>0</v>
      </c>
      <c r="BA447" s="3">
        <v>0</v>
      </c>
      <c r="BB447" s="3">
        <v>0</v>
      </c>
      <c r="BC447" s="3">
        <v>1</v>
      </c>
      <c r="BD447" s="3">
        <v>0</v>
      </c>
      <c r="BE447" s="3">
        <v>0</v>
      </c>
      <c r="BG447" s="2" t="s">
        <v>91</v>
      </c>
      <c r="BH447" s="3">
        <v>3</v>
      </c>
      <c r="BJ447" s="2" t="s">
        <v>96</v>
      </c>
      <c r="BL447" s="2" t="s">
        <v>184</v>
      </c>
      <c r="BM447" s="2" t="s">
        <v>184</v>
      </c>
      <c r="BN447" s="2" t="s">
        <v>124</v>
      </c>
      <c r="BO447" s="2" t="s">
        <v>125</v>
      </c>
      <c r="BP447" s="2" t="s">
        <v>242</v>
      </c>
      <c r="BQ447" s="2" t="s">
        <v>124</v>
      </c>
      <c r="BR447" s="2" t="s">
        <v>126</v>
      </c>
      <c r="BS447" s="2" t="s">
        <v>104</v>
      </c>
      <c r="BT447" s="2" t="s">
        <v>185</v>
      </c>
      <c r="BU447" s="2" t="s">
        <v>968</v>
      </c>
      <c r="BV447" s="2" t="s">
        <v>150</v>
      </c>
      <c r="BW447" s="2" t="s">
        <v>151</v>
      </c>
      <c r="BX447" s="2" t="s">
        <v>182</v>
      </c>
      <c r="BY44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47" s="2">
        <f>IF(AND(Cases[[#This Row],[Priority Level]]&gt;=3,Cases[[#This Row],[System Role]]&lt;&gt;"Productive"),1,0)</f>
        <v>0</v>
      </c>
      <c r="CA447" s="2">
        <f>IFERROR(IF(Cases[[#This Row],[Days at Customer]]&gt;MAX(1,Cases[[#This Row],[Days at SAP]]*2),1,0),0)</f>
        <v>1</v>
      </c>
      <c r="CB447" s="2">
        <f>IF(AND(Cases[[#This Row],[Initial Component]]&lt;&gt;"",Cases[[#This Row],[Component]]&lt;&gt;"",Cases[[#This Row],[Initial Component]]&lt;&gt;Cases[[#This Row],[Component]]),1,0)</f>
        <v>0</v>
      </c>
      <c r="CC447" s="2">
        <f>IF(OR(Cases[[#This Row],[Is Reopened]]="X",Cases[[#This Row],[No. of Reopenings]]&gt;0),1,0)</f>
        <v>0</v>
      </c>
      <c r="CD447" s="2">
        <f>IF(Cases[[#This Row],[Confirmation Type]]="Automatic",1,0)</f>
        <v>1</v>
      </c>
      <c r="CE447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48" spans="1:83" x14ac:dyDescent="0.2">
      <c r="A448" s="1" t="s">
        <v>2619</v>
      </c>
      <c r="B448" s="2" t="s">
        <v>2620</v>
      </c>
      <c r="C448" s="2" t="s">
        <v>154</v>
      </c>
      <c r="D448" s="2" t="s">
        <v>238</v>
      </c>
      <c r="E448" s="3">
        <v>2.0299999999999998</v>
      </c>
      <c r="F448" s="3">
        <v>33.44</v>
      </c>
      <c r="G448" s="2" t="s">
        <v>79</v>
      </c>
      <c r="H448" s="2" t="s">
        <v>178</v>
      </c>
      <c r="I448" s="3" t="s">
        <v>114</v>
      </c>
      <c r="J448" s="3">
        <v>161</v>
      </c>
      <c r="K448" s="2" t="s">
        <v>2621</v>
      </c>
      <c r="L448" s="4">
        <v>46009</v>
      </c>
      <c r="M448" s="4">
        <v>46002</v>
      </c>
      <c r="N448" s="2" t="s">
        <v>1804</v>
      </c>
      <c r="O448" s="2" t="s">
        <v>1805</v>
      </c>
      <c r="P448" s="2" t="s">
        <v>2037</v>
      </c>
      <c r="Q448" s="2" t="s">
        <v>1806</v>
      </c>
      <c r="R448" s="2" t="s">
        <v>157</v>
      </c>
      <c r="S448" s="4">
        <v>45966</v>
      </c>
      <c r="T448" s="2" t="s">
        <v>2274</v>
      </c>
      <c r="U448" s="2" t="s">
        <v>1805</v>
      </c>
      <c r="V448" s="2" t="s">
        <v>2583</v>
      </c>
      <c r="W448" s="2" t="s">
        <v>1806</v>
      </c>
      <c r="X448" s="2" t="s">
        <v>117</v>
      </c>
      <c r="Y448" s="3" t="s">
        <v>118</v>
      </c>
      <c r="Z448" s="3">
        <v>35.47</v>
      </c>
      <c r="AA448" s="2" t="s">
        <v>90</v>
      </c>
      <c r="AB448" s="2" t="s">
        <v>157</v>
      </c>
      <c r="AC448" s="2" t="s">
        <v>154</v>
      </c>
      <c r="AD448" t="str" cm="1">
        <f t="array" ref="AD44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448" s="2" t="s">
        <v>91</v>
      </c>
      <c r="AF448" s="2" t="s">
        <v>92</v>
      </c>
      <c r="AG448" s="2" t="s">
        <v>159</v>
      </c>
      <c r="AH448" s="2" t="s">
        <v>160</v>
      </c>
      <c r="AK448" s="2" t="s">
        <v>2622</v>
      </c>
      <c r="AN448" s="3">
        <v>1</v>
      </c>
      <c r="AO448" s="3">
        <v>1</v>
      </c>
      <c r="AP448" s="3">
        <v>1</v>
      </c>
      <c r="AQ448" s="3">
        <v>1</v>
      </c>
      <c r="AR448" s="3">
        <v>1</v>
      </c>
      <c r="AS448" s="3">
        <v>0</v>
      </c>
      <c r="AT448" s="3">
        <v>0</v>
      </c>
      <c r="AU448" s="3">
        <v>0</v>
      </c>
      <c r="AV448" s="3">
        <v>1</v>
      </c>
      <c r="AW448" s="3">
        <v>0</v>
      </c>
      <c r="AX448" s="3">
        <v>1</v>
      </c>
      <c r="AY448" s="3">
        <v>0</v>
      </c>
      <c r="AZ448" s="3">
        <v>0</v>
      </c>
      <c r="BA448" s="3">
        <v>0</v>
      </c>
      <c r="BB448" s="3">
        <v>0</v>
      </c>
      <c r="BC448" s="3">
        <v>1</v>
      </c>
      <c r="BD448" s="3">
        <v>0</v>
      </c>
      <c r="BE448" s="3">
        <v>0</v>
      </c>
      <c r="BG448" s="2" t="s">
        <v>91</v>
      </c>
      <c r="BH448" s="3">
        <v>3</v>
      </c>
      <c r="BJ448" s="2" t="s">
        <v>96</v>
      </c>
      <c r="BL448" s="2" t="s">
        <v>162</v>
      </c>
      <c r="BM448" s="2" t="s">
        <v>163</v>
      </c>
      <c r="BN448" s="2" t="s">
        <v>99</v>
      </c>
      <c r="BO448" s="2" t="s">
        <v>100</v>
      </c>
      <c r="BP448" s="2" t="s">
        <v>242</v>
      </c>
      <c r="BQ448" s="2" t="s">
        <v>102</v>
      </c>
      <c r="BR448" s="2" t="s">
        <v>103</v>
      </c>
      <c r="BS448" s="2" t="s">
        <v>127</v>
      </c>
      <c r="BT448" s="2" t="s">
        <v>398</v>
      </c>
      <c r="BU448" s="2" t="s">
        <v>399</v>
      </c>
      <c r="BV448" s="2" t="s">
        <v>150</v>
      </c>
      <c r="BW448" s="2" t="s">
        <v>151</v>
      </c>
      <c r="BX448" s="2" t="s">
        <v>91</v>
      </c>
      <c r="BY44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48" s="2">
        <f>IF(AND(Cases[[#This Row],[Priority Level]]&gt;=3,Cases[[#This Row],[System Role]]&lt;&gt;"Productive"),1,0)</f>
        <v>0</v>
      </c>
      <c r="CA448" s="2">
        <f>IFERROR(IF(Cases[[#This Row],[Days at Customer]]&gt;MAX(1,Cases[[#This Row],[Days at SAP]]*2),1,0),0)</f>
        <v>1</v>
      </c>
      <c r="CB448" s="2">
        <f>IF(AND(Cases[[#This Row],[Initial Component]]&lt;&gt;"",Cases[[#This Row],[Component]]&lt;&gt;"",Cases[[#This Row],[Initial Component]]&lt;&gt;Cases[[#This Row],[Component]]),1,0)</f>
        <v>0</v>
      </c>
      <c r="CC448" s="2">
        <f>IF(OR(Cases[[#This Row],[Is Reopened]]="X",Cases[[#This Row],[No. of Reopenings]]&gt;0),1,0)</f>
        <v>0</v>
      </c>
      <c r="CD448" s="2">
        <f>IF(Cases[[#This Row],[Confirmation Type]]="Automatic",1,0)</f>
        <v>1</v>
      </c>
      <c r="CE448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49" spans="1:83" x14ac:dyDescent="0.2">
      <c r="A449" s="1" t="s">
        <v>2623</v>
      </c>
      <c r="B449" s="2" t="s">
        <v>2624</v>
      </c>
      <c r="C449" s="2" t="s">
        <v>440</v>
      </c>
      <c r="D449" s="2" t="s">
        <v>78</v>
      </c>
      <c r="E449" s="3">
        <v>4.01</v>
      </c>
      <c r="F449" s="3">
        <v>10.94</v>
      </c>
      <c r="G449" s="2" t="s">
        <v>190</v>
      </c>
      <c r="H449" s="2" t="s">
        <v>666</v>
      </c>
      <c r="I449" s="3" t="s">
        <v>114</v>
      </c>
      <c r="J449" s="3">
        <v>161</v>
      </c>
      <c r="K449" s="2" t="s">
        <v>2625</v>
      </c>
      <c r="L449" s="4">
        <v>46009</v>
      </c>
      <c r="M449" s="4">
        <v>45981</v>
      </c>
      <c r="N449" s="2" t="s">
        <v>2274</v>
      </c>
      <c r="O449" s="2" t="s">
        <v>1805</v>
      </c>
      <c r="P449" s="2" t="s">
        <v>2404</v>
      </c>
      <c r="Q449" s="2" t="s">
        <v>1806</v>
      </c>
      <c r="R449" s="2" t="s">
        <v>442</v>
      </c>
      <c r="S449" s="4">
        <v>45966</v>
      </c>
      <c r="T449" s="2" t="s">
        <v>2274</v>
      </c>
      <c r="U449" s="2" t="s">
        <v>1805</v>
      </c>
      <c r="V449" s="2" t="s">
        <v>2583</v>
      </c>
      <c r="W449" s="2" t="s">
        <v>1806</v>
      </c>
      <c r="X449" s="2" t="s">
        <v>117</v>
      </c>
      <c r="Y449" s="3" t="s">
        <v>118</v>
      </c>
      <c r="Z449" s="3">
        <v>14.94</v>
      </c>
      <c r="AA449" s="2" t="s">
        <v>138</v>
      </c>
      <c r="AB449" s="2" t="s">
        <v>443</v>
      </c>
      <c r="AC449" s="2" t="s">
        <v>444</v>
      </c>
      <c r="AD449" t="str" cm="1">
        <f t="array" ref="AD44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449" s="2" t="s">
        <v>139</v>
      </c>
      <c r="AF449" s="2" t="s">
        <v>92</v>
      </c>
      <c r="AG449" s="2" t="s">
        <v>274</v>
      </c>
      <c r="AH449" s="2" t="s">
        <v>275</v>
      </c>
      <c r="AK449" s="2" t="s">
        <v>2626</v>
      </c>
      <c r="AN449" s="3">
        <v>1</v>
      </c>
      <c r="AO449" s="3">
        <v>1</v>
      </c>
      <c r="AP449" s="3">
        <v>1</v>
      </c>
      <c r="AQ449" s="3">
        <v>1</v>
      </c>
      <c r="AR449" s="3">
        <v>1</v>
      </c>
      <c r="AS449" s="3">
        <v>0</v>
      </c>
      <c r="AT449" s="3">
        <v>0</v>
      </c>
      <c r="AU449" s="3">
        <v>0</v>
      </c>
      <c r="AV449" s="3">
        <v>0</v>
      </c>
      <c r="AW449" s="3">
        <v>1</v>
      </c>
      <c r="AX449" s="3">
        <v>1</v>
      </c>
      <c r="AY449" s="3">
        <v>0</v>
      </c>
      <c r="AZ449" s="3">
        <v>0</v>
      </c>
      <c r="BA449" s="3">
        <v>1</v>
      </c>
      <c r="BB449" s="3">
        <v>0</v>
      </c>
      <c r="BC449" s="3">
        <v>0</v>
      </c>
      <c r="BD449" s="3">
        <v>0</v>
      </c>
      <c r="BE449" s="3">
        <v>0</v>
      </c>
      <c r="BG449" s="2" t="s">
        <v>91</v>
      </c>
      <c r="BH449" s="3">
        <v>3</v>
      </c>
      <c r="BJ449" s="2" t="s">
        <v>96</v>
      </c>
      <c r="BL449" s="2" t="s">
        <v>446</v>
      </c>
      <c r="BM449" s="2" t="s">
        <v>447</v>
      </c>
      <c r="BN449" s="2" t="s">
        <v>279</v>
      </c>
      <c r="BO449" s="2" t="s">
        <v>280</v>
      </c>
      <c r="BP449" s="2" t="s">
        <v>101</v>
      </c>
      <c r="BQ449" s="2" t="s">
        <v>448</v>
      </c>
      <c r="BR449" s="2" t="s">
        <v>449</v>
      </c>
      <c r="BS449" s="2" t="s">
        <v>450</v>
      </c>
      <c r="BT449" s="2" t="s">
        <v>1030</v>
      </c>
      <c r="BU449" s="2" t="s">
        <v>1031</v>
      </c>
      <c r="BV449" s="2" t="s">
        <v>166</v>
      </c>
      <c r="BW449" s="2" t="s">
        <v>167</v>
      </c>
      <c r="BX449" s="2" t="s">
        <v>91</v>
      </c>
      <c r="BY44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49" s="2">
        <f>IF(AND(Cases[[#This Row],[Priority Level]]&gt;=3,Cases[[#This Row],[System Role]]&lt;&gt;"Productive"),1,0)</f>
        <v>1</v>
      </c>
      <c r="CA449" s="2">
        <f>IFERROR(IF(Cases[[#This Row],[Days at Customer]]&gt;MAX(1,Cases[[#This Row],[Days at SAP]]*2),1,0),0)</f>
        <v>1</v>
      </c>
      <c r="CB449" s="2">
        <f>IF(AND(Cases[[#This Row],[Initial Component]]&lt;&gt;"",Cases[[#This Row],[Component]]&lt;&gt;"",Cases[[#This Row],[Initial Component]]&lt;&gt;Cases[[#This Row],[Component]]),1,0)</f>
        <v>1</v>
      </c>
      <c r="CC449" s="2">
        <f>IF(OR(Cases[[#This Row],[Is Reopened]]="X",Cases[[#This Row],[No. of Reopenings]]&gt;0),1,0)</f>
        <v>0</v>
      </c>
      <c r="CD449" s="2">
        <f>IF(Cases[[#This Row],[Confirmation Type]]="Automatic",1,0)</f>
        <v>0</v>
      </c>
      <c r="CE449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450" spans="1:83" x14ac:dyDescent="0.2">
      <c r="A450" s="1" t="s">
        <v>2627</v>
      </c>
      <c r="B450" s="2" t="s">
        <v>2628</v>
      </c>
      <c r="C450" s="2" t="s">
        <v>633</v>
      </c>
      <c r="D450" s="2" t="s">
        <v>238</v>
      </c>
      <c r="E450" s="3">
        <v>9.64</v>
      </c>
      <c r="F450" s="3">
        <v>25.76</v>
      </c>
      <c r="G450" s="2" t="s">
        <v>190</v>
      </c>
      <c r="H450" s="2" t="s">
        <v>308</v>
      </c>
      <c r="I450" s="3" t="s">
        <v>114</v>
      </c>
      <c r="J450" s="3">
        <v>161</v>
      </c>
      <c r="K450" s="2" t="s">
        <v>2629</v>
      </c>
      <c r="L450" s="4">
        <v>46009</v>
      </c>
      <c r="M450" s="4">
        <v>46002</v>
      </c>
      <c r="N450" s="2" t="s">
        <v>1804</v>
      </c>
      <c r="O450" s="2" t="s">
        <v>1805</v>
      </c>
      <c r="P450" s="2" t="s">
        <v>2037</v>
      </c>
      <c r="Q450" s="2" t="s">
        <v>1806</v>
      </c>
      <c r="R450" s="2" t="s">
        <v>635</v>
      </c>
      <c r="S450" s="4">
        <v>45966</v>
      </c>
      <c r="T450" s="2" t="s">
        <v>2274</v>
      </c>
      <c r="U450" s="2" t="s">
        <v>1805</v>
      </c>
      <c r="V450" s="2" t="s">
        <v>2583</v>
      </c>
      <c r="W450" s="2" t="s">
        <v>1806</v>
      </c>
      <c r="X450" s="2" t="s">
        <v>117</v>
      </c>
      <c r="Y450" s="3" t="s">
        <v>118</v>
      </c>
      <c r="Z450" s="3">
        <v>35.39</v>
      </c>
      <c r="AA450" s="2" t="s">
        <v>90</v>
      </c>
      <c r="AB450" s="2" t="s">
        <v>635</v>
      </c>
      <c r="AC450" s="2" t="s">
        <v>633</v>
      </c>
      <c r="AD450" t="str" cm="1">
        <f t="array" ref="AD45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450" s="2" t="s">
        <v>91</v>
      </c>
      <c r="AF450" s="2" t="s">
        <v>92</v>
      </c>
      <c r="AG450" s="2" t="s">
        <v>119</v>
      </c>
      <c r="AH450" s="2" t="s">
        <v>120</v>
      </c>
      <c r="AK450" s="2" t="s">
        <v>2630</v>
      </c>
      <c r="AN450" s="3">
        <v>1</v>
      </c>
      <c r="AO450" s="3">
        <v>1</v>
      </c>
      <c r="AP450" s="3">
        <v>1</v>
      </c>
      <c r="AQ450" s="3">
        <v>1</v>
      </c>
      <c r="AR450" s="3">
        <v>1</v>
      </c>
      <c r="AS450" s="3">
        <v>0</v>
      </c>
      <c r="AT450" s="3">
        <v>0</v>
      </c>
      <c r="AU450" s="3">
        <v>0</v>
      </c>
      <c r="AV450" s="3">
        <v>1</v>
      </c>
      <c r="AW450" s="3">
        <v>0</v>
      </c>
      <c r="AX450" s="3">
        <v>1</v>
      </c>
      <c r="AY450" s="3">
        <v>0</v>
      </c>
      <c r="AZ450" s="3">
        <v>0</v>
      </c>
      <c r="BA450" s="3">
        <v>0</v>
      </c>
      <c r="BB450" s="3">
        <v>0</v>
      </c>
      <c r="BC450" s="3">
        <v>1</v>
      </c>
      <c r="BD450" s="3">
        <v>0</v>
      </c>
      <c r="BE450" s="3">
        <v>0</v>
      </c>
      <c r="BG450" s="2" t="s">
        <v>91</v>
      </c>
      <c r="BH450" s="3">
        <v>3</v>
      </c>
      <c r="BJ450" s="2" t="s">
        <v>96</v>
      </c>
      <c r="BL450" s="2" t="s">
        <v>123</v>
      </c>
      <c r="BM450" s="2" t="s">
        <v>123</v>
      </c>
      <c r="BN450" s="2" t="s">
        <v>124</v>
      </c>
      <c r="BO450" s="2" t="s">
        <v>125</v>
      </c>
      <c r="BP450" s="2" t="s">
        <v>242</v>
      </c>
      <c r="BQ450" s="2" t="s">
        <v>124</v>
      </c>
      <c r="BR450" s="2" t="s">
        <v>126</v>
      </c>
      <c r="BS450" s="2" t="s">
        <v>127</v>
      </c>
      <c r="BT450" s="2" t="s">
        <v>207</v>
      </c>
      <c r="BU450" s="2" t="s">
        <v>208</v>
      </c>
      <c r="BV450" s="2" t="s">
        <v>150</v>
      </c>
      <c r="BW450" s="2" t="s">
        <v>151</v>
      </c>
      <c r="BX450" s="2" t="s">
        <v>91</v>
      </c>
      <c r="BY45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50" s="2">
        <f>IF(AND(Cases[[#This Row],[Priority Level]]&gt;=3,Cases[[#This Row],[System Role]]&lt;&gt;"Productive"),1,0)</f>
        <v>0</v>
      </c>
      <c r="CA450" s="2">
        <f>IFERROR(IF(Cases[[#This Row],[Days at Customer]]&gt;MAX(1,Cases[[#This Row],[Days at SAP]]*2),1,0),0)</f>
        <v>1</v>
      </c>
      <c r="CB450" s="2">
        <f>IF(AND(Cases[[#This Row],[Initial Component]]&lt;&gt;"",Cases[[#This Row],[Component]]&lt;&gt;"",Cases[[#This Row],[Initial Component]]&lt;&gt;Cases[[#This Row],[Component]]),1,0)</f>
        <v>0</v>
      </c>
      <c r="CC450" s="2">
        <f>IF(OR(Cases[[#This Row],[Is Reopened]]="X",Cases[[#This Row],[No. of Reopenings]]&gt;0),1,0)</f>
        <v>0</v>
      </c>
      <c r="CD450" s="2">
        <f>IF(Cases[[#This Row],[Confirmation Type]]="Automatic",1,0)</f>
        <v>1</v>
      </c>
      <c r="CE450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51" spans="1:83" x14ac:dyDescent="0.2">
      <c r="A451" s="1" t="s">
        <v>2631</v>
      </c>
      <c r="B451" s="2" t="s">
        <v>2632</v>
      </c>
      <c r="C451" s="2" t="s">
        <v>2633</v>
      </c>
      <c r="D451" s="2" t="s">
        <v>78</v>
      </c>
      <c r="E451" s="3">
        <v>0</v>
      </c>
      <c r="F451" s="3">
        <v>5.7</v>
      </c>
      <c r="G451" s="2" t="s">
        <v>79</v>
      </c>
      <c r="H451" s="2" t="s">
        <v>155</v>
      </c>
      <c r="I451" s="3" t="s">
        <v>114</v>
      </c>
      <c r="J451" s="3">
        <v>161</v>
      </c>
      <c r="K451" s="2" t="s">
        <v>2634</v>
      </c>
      <c r="L451" s="4">
        <v>46063</v>
      </c>
      <c r="M451" s="4">
        <v>45972</v>
      </c>
      <c r="N451" s="2" t="s">
        <v>2274</v>
      </c>
      <c r="O451" s="2" t="s">
        <v>1805</v>
      </c>
      <c r="P451" s="2" t="s">
        <v>2467</v>
      </c>
      <c r="Q451" s="2" t="s">
        <v>1806</v>
      </c>
      <c r="R451" s="2" t="s">
        <v>2635</v>
      </c>
      <c r="S451" s="4">
        <v>45966</v>
      </c>
      <c r="T451" s="2" t="s">
        <v>2274</v>
      </c>
      <c r="U451" s="2" t="s">
        <v>1805</v>
      </c>
      <c r="V451" s="2" t="s">
        <v>2583</v>
      </c>
      <c r="W451" s="2" t="s">
        <v>1806</v>
      </c>
      <c r="X451" s="2" t="s">
        <v>117</v>
      </c>
      <c r="Y451" s="3" t="s">
        <v>118</v>
      </c>
      <c r="Z451" s="3">
        <v>5.7</v>
      </c>
      <c r="AA451" s="2" t="s">
        <v>90</v>
      </c>
      <c r="AB451" s="2" t="s">
        <v>2635</v>
      </c>
      <c r="AC451" s="2" t="s">
        <v>2633</v>
      </c>
      <c r="AD451" t="str" cm="1">
        <f t="array" ref="AD45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451" s="2" t="s">
        <v>139</v>
      </c>
      <c r="AF451" s="2" t="s">
        <v>92</v>
      </c>
      <c r="AG451" s="2" t="s">
        <v>119</v>
      </c>
      <c r="AH451" s="2" t="s">
        <v>120</v>
      </c>
      <c r="AK451" s="2" t="s">
        <v>2636</v>
      </c>
      <c r="AN451" s="3">
        <v>1</v>
      </c>
      <c r="AO451" s="3">
        <v>1</v>
      </c>
      <c r="AP451" s="3">
        <v>1</v>
      </c>
      <c r="AQ451" s="3">
        <v>1</v>
      </c>
      <c r="AR451" s="3">
        <v>0</v>
      </c>
      <c r="AS451" s="3">
        <v>0</v>
      </c>
      <c r="AT451" s="3">
        <v>1</v>
      </c>
      <c r="AU451" s="3">
        <v>0</v>
      </c>
      <c r="AV451" s="3">
        <v>0</v>
      </c>
      <c r="AW451" s="3">
        <v>1</v>
      </c>
      <c r="AX451" s="3">
        <v>0</v>
      </c>
      <c r="AY451" s="3">
        <v>0</v>
      </c>
      <c r="AZ451" s="3">
        <v>1</v>
      </c>
      <c r="BA451" s="3">
        <v>1</v>
      </c>
      <c r="BB451" s="3">
        <v>0</v>
      </c>
      <c r="BC451" s="3">
        <v>0</v>
      </c>
      <c r="BD451" s="3">
        <v>0</v>
      </c>
      <c r="BE451" s="3">
        <v>0</v>
      </c>
      <c r="BG451" s="2" t="s">
        <v>139</v>
      </c>
      <c r="BH451" s="3">
        <v>2</v>
      </c>
      <c r="BJ451" s="2" t="s">
        <v>96</v>
      </c>
      <c r="BL451" s="2" t="s">
        <v>123</v>
      </c>
      <c r="BM451" s="2" t="s">
        <v>123</v>
      </c>
      <c r="BN451" s="2" t="s">
        <v>124</v>
      </c>
      <c r="BO451" s="2" t="s">
        <v>125</v>
      </c>
      <c r="BP451" s="2" t="s">
        <v>101</v>
      </c>
      <c r="BQ451" s="2" t="s">
        <v>124</v>
      </c>
      <c r="BR451" s="2" t="s">
        <v>126</v>
      </c>
      <c r="BS451" s="2" t="s">
        <v>127</v>
      </c>
      <c r="BT451" s="2" t="s">
        <v>1395</v>
      </c>
      <c r="BU451" s="2" t="s">
        <v>1396</v>
      </c>
      <c r="BV451" s="2" t="s">
        <v>107</v>
      </c>
      <c r="BW451" s="2" t="s">
        <v>108</v>
      </c>
      <c r="BX451" s="2" t="s">
        <v>139</v>
      </c>
      <c r="BY45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51" s="2">
        <f>IF(AND(Cases[[#This Row],[Priority Level]]&gt;=3,Cases[[#This Row],[System Role]]&lt;&gt;"Productive"),1,0)</f>
        <v>0</v>
      </c>
      <c r="CA451" s="2">
        <f>IFERROR(IF(Cases[[#This Row],[Days at Customer]]&gt;MAX(1,Cases[[#This Row],[Days at SAP]]*2),1,0),0)</f>
        <v>1</v>
      </c>
      <c r="CB451" s="2">
        <f>IF(AND(Cases[[#This Row],[Initial Component]]&lt;&gt;"",Cases[[#This Row],[Component]]&lt;&gt;"",Cases[[#This Row],[Initial Component]]&lt;&gt;Cases[[#This Row],[Component]]),1,0)</f>
        <v>0</v>
      </c>
      <c r="CC451" s="2">
        <f>IF(OR(Cases[[#This Row],[Is Reopened]]="X",Cases[[#This Row],[No. of Reopenings]]&gt;0),1,0)</f>
        <v>0</v>
      </c>
      <c r="CD451" s="2">
        <f>IF(Cases[[#This Row],[Confirmation Type]]="Automatic",1,0)</f>
        <v>0</v>
      </c>
      <c r="CE451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52" spans="1:83" x14ac:dyDescent="0.2">
      <c r="A452" s="1" t="s">
        <v>2637</v>
      </c>
      <c r="B452" s="2" t="s">
        <v>2638</v>
      </c>
      <c r="C452" s="2" t="s">
        <v>2639</v>
      </c>
      <c r="D452" s="2" t="s">
        <v>238</v>
      </c>
      <c r="E452" s="3">
        <v>20.48</v>
      </c>
      <c r="F452" s="3">
        <v>37.04</v>
      </c>
      <c r="G452" s="2" t="s">
        <v>190</v>
      </c>
      <c r="H452" s="2" t="s">
        <v>308</v>
      </c>
      <c r="I452" s="3" t="s">
        <v>114</v>
      </c>
      <c r="J452" s="3">
        <v>161</v>
      </c>
      <c r="K452" s="2" t="s">
        <v>2640</v>
      </c>
      <c r="L452" s="4">
        <v>46033</v>
      </c>
      <c r="M452" s="4">
        <v>46024</v>
      </c>
      <c r="N452" s="2" t="s">
        <v>1334</v>
      </c>
      <c r="O452" s="2" t="s">
        <v>181</v>
      </c>
      <c r="P452" s="2" t="s">
        <v>1334</v>
      </c>
      <c r="Q452" s="2" t="s">
        <v>86</v>
      </c>
      <c r="R452" s="2" t="s">
        <v>2641</v>
      </c>
      <c r="S452" s="4">
        <v>45966</v>
      </c>
      <c r="T452" s="2" t="s">
        <v>2274</v>
      </c>
      <c r="U452" s="2" t="s">
        <v>1805</v>
      </c>
      <c r="V452" s="2" t="s">
        <v>2583</v>
      </c>
      <c r="W452" s="2" t="s">
        <v>1806</v>
      </c>
      <c r="X452" s="2" t="s">
        <v>117</v>
      </c>
      <c r="Y452" s="3" t="s">
        <v>118</v>
      </c>
      <c r="Z452" s="3">
        <v>57.53</v>
      </c>
      <c r="AA452" s="2" t="s">
        <v>90</v>
      </c>
      <c r="AB452" s="2" t="s">
        <v>2641</v>
      </c>
      <c r="AC452" s="2" t="s">
        <v>2639</v>
      </c>
      <c r="AD452" t="str" cm="1">
        <f t="array" ref="AD45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452" s="2" t="s">
        <v>139</v>
      </c>
      <c r="AF452" s="2" t="s">
        <v>92</v>
      </c>
      <c r="AG452" s="2" t="s">
        <v>119</v>
      </c>
      <c r="AH452" s="2" t="s">
        <v>120</v>
      </c>
      <c r="AK452" s="2" t="s">
        <v>2642</v>
      </c>
      <c r="AN452" s="3">
        <v>1</v>
      </c>
      <c r="AO452" s="3">
        <v>1</v>
      </c>
      <c r="AP452" s="3">
        <v>1</v>
      </c>
      <c r="AQ452" s="3">
        <v>1</v>
      </c>
      <c r="AR452" s="3">
        <v>0</v>
      </c>
      <c r="AS452" s="3">
        <v>0</v>
      </c>
      <c r="AT452" s="3">
        <v>1</v>
      </c>
      <c r="AU452" s="3">
        <v>0</v>
      </c>
      <c r="AV452" s="3">
        <v>1</v>
      </c>
      <c r="AW452" s="3">
        <v>0</v>
      </c>
      <c r="AX452" s="3">
        <v>0</v>
      </c>
      <c r="AY452" s="3">
        <v>0</v>
      </c>
      <c r="AZ452" s="3">
        <v>1</v>
      </c>
      <c r="BA452" s="3">
        <v>1</v>
      </c>
      <c r="BB452" s="3">
        <v>0</v>
      </c>
      <c r="BC452" s="3">
        <v>0</v>
      </c>
      <c r="BD452" s="3">
        <v>0</v>
      </c>
      <c r="BE452" s="3">
        <v>0</v>
      </c>
      <c r="BG452" s="2" t="s">
        <v>139</v>
      </c>
      <c r="BH452" s="3">
        <v>2</v>
      </c>
      <c r="BJ452" s="2" t="s">
        <v>96</v>
      </c>
      <c r="BL452" s="2" t="s">
        <v>123</v>
      </c>
      <c r="BM452" s="2" t="s">
        <v>123</v>
      </c>
      <c r="BN452" s="2" t="s">
        <v>124</v>
      </c>
      <c r="BO452" s="2" t="s">
        <v>125</v>
      </c>
      <c r="BP452" s="2" t="s">
        <v>242</v>
      </c>
      <c r="BQ452" s="2" t="s">
        <v>124</v>
      </c>
      <c r="BR452" s="2" t="s">
        <v>126</v>
      </c>
      <c r="BS452" s="2" t="s">
        <v>127</v>
      </c>
      <c r="BT452" s="2" t="s">
        <v>199</v>
      </c>
      <c r="BU452" s="2" t="s">
        <v>200</v>
      </c>
      <c r="BV452" s="2" t="s">
        <v>166</v>
      </c>
      <c r="BW452" s="2" t="s">
        <v>167</v>
      </c>
      <c r="BX452" s="2" t="s">
        <v>139</v>
      </c>
      <c r="BY45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52" s="2">
        <f>IF(AND(Cases[[#This Row],[Priority Level]]&gt;=3,Cases[[#This Row],[System Role]]&lt;&gt;"Productive"),1,0)</f>
        <v>0</v>
      </c>
      <c r="CA452" s="2">
        <f>IFERROR(IF(Cases[[#This Row],[Days at Customer]]&gt;MAX(1,Cases[[#This Row],[Days at SAP]]*2),1,0),0)</f>
        <v>0</v>
      </c>
      <c r="CB452" s="2">
        <f>IF(AND(Cases[[#This Row],[Initial Component]]&lt;&gt;"",Cases[[#This Row],[Component]]&lt;&gt;"",Cases[[#This Row],[Initial Component]]&lt;&gt;Cases[[#This Row],[Component]]),1,0)</f>
        <v>0</v>
      </c>
      <c r="CC452" s="2">
        <f>IF(OR(Cases[[#This Row],[Is Reopened]]="X",Cases[[#This Row],[No. of Reopenings]]&gt;0),1,0)</f>
        <v>0</v>
      </c>
      <c r="CD452" s="2">
        <f>IF(Cases[[#This Row],[Confirmation Type]]="Automatic",1,0)</f>
        <v>1</v>
      </c>
      <c r="CE452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453" spans="1:83" x14ac:dyDescent="0.2">
      <c r="A453" s="1" t="s">
        <v>3104</v>
      </c>
      <c r="B453" s="2" t="s">
        <v>2194</v>
      </c>
      <c r="C453" s="2" t="s">
        <v>2195</v>
      </c>
      <c r="D453" s="2" t="s">
        <v>238</v>
      </c>
      <c r="E453" s="3">
        <v>9.59</v>
      </c>
      <c r="F453" s="3">
        <v>21.71</v>
      </c>
      <c r="G453" s="2" t="s">
        <v>133</v>
      </c>
      <c r="H453" s="2" t="s">
        <v>324</v>
      </c>
      <c r="I453" s="3" t="s">
        <v>114</v>
      </c>
      <c r="J453" s="3">
        <v>184</v>
      </c>
      <c r="K453" s="2" t="s">
        <v>3105</v>
      </c>
      <c r="L453" s="4">
        <v>46065</v>
      </c>
      <c r="M453" s="4">
        <v>45974</v>
      </c>
      <c r="N453" s="2" t="s">
        <v>2274</v>
      </c>
      <c r="O453" s="2" t="s">
        <v>1805</v>
      </c>
      <c r="P453" s="2" t="s">
        <v>2467</v>
      </c>
      <c r="Q453" s="2" t="s">
        <v>1806</v>
      </c>
      <c r="R453" s="2" t="s">
        <v>913</v>
      </c>
      <c r="S453" s="4">
        <v>45943</v>
      </c>
      <c r="T453" s="2" t="s">
        <v>2727</v>
      </c>
      <c r="U453" s="2" t="s">
        <v>1805</v>
      </c>
      <c r="V453" s="2" t="s">
        <v>2936</v>
      </c>
      <c r="W453" s="2" t="s">
        <v>1806</v>
      </c>
      <c r="X453" s="2" t="s">
        <v>117</v>
      </c>
      <c r="Y453" s="3" t="s">
        <v>118</v>
      </c>
      <c r="Z453" s="3">
        <v>31.3</v>
      </c>
      <c r="AA453" s="2" t="s">
        <v>90</v>
      </c>
      <c r="AB453" s="2" t="s">
        <v>310</v>
      </c>
      <c r="AC453" s="2" t="s">
        <v>311</v>
      </c>
      <c r="AD453" t="str" cm="1">
        <f t="array" ref="AD45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453" s="2" t="s">
        <v>139</v>
      </c>
      <c r="AF453" s="2" t="s">
        <v>92</v>
      </c>
      <c r="AG453" s="2" t="s">
        <v>119</v>
      </c>
      <c r="AH453" s="2" t="s">
        <v>120</v>
      </c>
      <c r="AK453" s="2" t="s">
        <v>3106</v>
      </c>
      <c r="AN453" s="3">
        <v>1</v>
      </c>
      <c r="AO453" s="3">
        <v>1</v>
      </c>
      <c r="AP453" s="3">
        <v>1</v>
      </c>
      <c r="AQ453" s="3">
        <v>1</v>
      </c>
      <c r="AR453" s="3">
        <v>0</v>
      </c>
      <c r="AS453" s="3">
        <v>0</v>
      </c>
      <c r="AT453" s="3">
        <v>1</v>
      </c>
      <c r="AU453" s="3">
        <v>0</v>
      </c>
      <c r="AV453" s="3">
        <v>1</v>
      </c>
      <c r="AW453" s="3">
        <v>0</v>
      </c>
      <c r="AX453" s="3">
        <v>0</v>
      </c>
      <c r="AY453" s="3">
        <v>0</v>
      </c>
      <c r="AZ453" s="3">
        <v>1</v>
      </c>
      <c r="BA453" s="3">
        <v>0</v>
      </c>
      <c r="BB453" s="3">
        <v>0</v>
      </c>
      <c r="BC453" s="3">
        <v>1</v>
      </c>
      <c r="BD453" s="3">
        <v>0</v>
      </c>
      <c r="BE453" s="3">
        <v>0</v>
      </c>
      <c r="BG453" s="2" t="s">
        <v>139</v>
      </c>
      <c r="BH453" s="3">
        <v>2</v>
      </c>
      <c r="BJ453" s="2" t="s">
        <v>96</v>
      </c>
      <c r="BL453" s="2" t="s">
        <v>123</v>
      </c>
      <c r="BM453" s="2" t="s">
        <v>123</v>
      </c>
      <c r="BN453" s="2" t="s">
        <v>124</v>
      </c>
      <c r="BO453" s="2" t="s">
        <v>125</v>
      </c>
      <c r="BP453" s="2" t="s">
        <v>242</v>
      </c>
      <c r="BQ453" s="2" t="s">
        <v>124</v>
      </c>
      <c r="BR453" s="2" t="s">
        <v>126</v>
      </c>
      <c r="BS453" s="2" t="s">
        <v>127</v>
      </c>
      <c r="BT453" s="2" t="s">
        <v>207</v>
      </c>
      <c r="BU453" s="2" t="s">
        <v>208</v>
      </c>
      <c r="BV453" s="2" t="s">
        <v>150</v>
      </c>
      <c r="BW453" s="2" t="s">
        <v>151</v>
      </c>
      <c r="BX453" s="2" t="s">
        <v>139</v>
      </c>
      <c r="BY45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53" s="2">
        <f>IF(AND(Cases[[#This Row],[Priority Level]]&gt;=3,Cases[[#This Row],[System Role]]&lt;&gt;"Productive"),1,0)</f>
        <v>0</v>
      </c>
      <c r="CA453" s="2">
        <f>IFERROR(IF(Cases[[#This Row],[Days at Customer]]&gt;MAX(1,Cases[[#This Row],[Days at SAP]]*2),1,0),0)</f>
        <v>1</v>
      </c>
      <c r="CB453" s="2">
        <f>IF(AND(Cases[[#This Row],[Initial Component]]&lt;&gt;"",Cases[[#This Row],[Component]]&lt;&gt;"",Cases[[#This Row],[Initial Component]]&lt;&gt;Cases[[#This Row],[Component]]),1,0)</f>
        <v>1</v>
      </c>
      <c r="CC453" s="2">
        <f>IF(OR(Cases[[#This Row],[Is Reopened]]="X",Cases[[#This Row],[No. of Reopenings]]&gt;0),1,0)</f>
        <v>0</v>
      </c>
      <c r="CD453" s="2">
        <f>IF(Cases[[#This Row],[Confirmation Type]]="Automatic",1,0)</f>
        <v>1</v>
      </c>
      <c r="CE453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54" spans="1:83" x14ac:dyDescent="0.2">
      <c r="A454" s="1" t="s">
        <v>1700</v>
      </c>
      <c r="B454" s="2" t="s">
        <v>1701</v>
      </c>
      <c r="C454" s="2" t="s">
        <v>265</v>
      </c>
      <c r="D454" s="2" t="s">
        <v>238</v>
      </c>
      <c r="E454" s="3">
        <v>0.98</v>
      </c>
      <c r="F454" s="3">
        <v>34.549999999999997</v>
      </c>
      <c r="G454" s="2" t="s">
        <v>190</v>
      </c>
      <c r="H454" s="2" t="s">
        <v>308</v>
      </c>
      <c r="I454" s="3" t="s">
        <v>114</v>
      </c>
      <c r="J454" s="3">
        <v>97</v>
      </c>
      <c r="K454" s="2" t="s">
        <v>1702</v>
      </c>
      <c r="L454" s="4">
        <v>46068</v>
      </c>
      <c r="M454" s="4">
        <v>46066</v>
      </c>
      <c r="N454" s="2" t="s">
        <v>677</v>
      </c>
      <c r="O454" s="2" t="s">
        <v>181</v>
      </c>
      <c r="P454" s="2" t="s">
        <v>1079</v>
      </c>
      <c r="Q454" s="2" t="s">
        <v>86</v>
      </c>
      <c r="R454" s="2" t="s">
        <v>267</v>
      </c>
      <c r="S454" s="4">
        <v>46030</v>
      </c>
      <c r="T454" s="2" t="s">
        <v>1334</v>
      </c>
      <c r="U454" s="2" t="s">
        <v>181</v>
      </c>
      <c r="V454" s="2" t="s">
        <v>677</v>
      </c>
      <c r="W454" s="2" t="s">
        <v>86</v>
      </c>
      <c r="X454" s="2" t="s">
        <v>117</v>
      </c>
      <c r="Y454" s="3" t="s">
        <v>118</v>
      </c>
      <c r="Z454" s="3">
        <v>35.53</v>
      </c>
      <c r="AA454" s="2" t="s">
        <v>90</v>
      </c>
      <c r="AB454" s="2" t="s">
        <v>267</v>
      </c>
      <c r="AC454" s="2" t="s">
        <v>265</v>
      </c>
      <c r="AD454" t="str" cm="1">
        <f t="array" ref="AD45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454" s="2" t="s">
        <v>91</v>
      </c>
      <c r="AF454" s="2" t="s">
        <v>92</v>
      </c>
      <c r="AG454" s="2" t="s">
        <v>119</v>
      </c>
      <c r="AH454" s="2" t="s">
        <v>120</v>
      </c>
      <c r="AJ454" s="2" t="s">
        <v>122</v>
      </c>
      <c r="AK454" s="2" t="s">
        <v>1703</v>
      </c>
      <c r="AN454" s="3">
        <v>1</v>
      </c>
      <c r="AO454" s="3">
        <v>1</v>
      </c>
      <c r="AP454" s="3">
        <v>1</v>
      </c>
      <c r="AQ454" s="3">
        <v>1</v>
      </c>
      <c r="AR454" s="3">
        <v>1</v>
      </c>
      <c r="AS454" s="3">
        <v>0</v>
      </c>
      <c r="AT454" s="3">
        <v>0</v>
      </c>
      <c r="AU454" s="3">
        <v>0</v>
      </c>
      <c r="AV454" s="3">
        <v>1</v>
      </c>
      <c r="AW454" s="3">
        <v>0</v>
      </c>
      <c r="AX454" s="3">
        <v>1</v>
      </c>
      <c r="AY454" s="3">
        <v>0</v>
      </c>
      <c r="AZ454" s="3">
        <v>0</v>
      </c>
      <c r="BA454" s="3">
        <v>0</v>
      </c>
      <c r="BB454" s="3">
        <v>0</v>
      </c>
      <c r="BC454" s="3">
        <v>1</v>
      </c>
      <c r="BD454" s="3">
        <v>1</v>
      </c>
      <c r="BE454" s="3">
        <v>0</v>
      </c>
      <c r="BG454" s="2" t="s">
        <v>91</v>
      </c>
      <c r="BH454" s="3">
        <v>3</v>
      </c>
      <c r="BJ454" s="2" t="s">
        <v>96</v>
      </c>
      <c r="BL454" s="2" t="s">
        <v>123</v>
      </c>
      <c r="BM454" s="2" t="s">
        <v>123</v>
      </c>
      <c r="BN454" s="2" t="s">
        <v>124</v>
      </c>
      <c r="BO454" s="2" t="s">
        <v>125</v>
      </c>
      <c r="BP454" s="2" t="s">
        <v>242</v>
      </c>
      <c r="BQ454" s="2" t="s">
        <v>124</v>
      </c>
      <c r="BR454" s="2" t="s">
        <v>126</v>
      </c>
      <c r="BS454" s="2" t="s">
        <v>127</v>
      </c>
      <c r="BT454" s="2" t="s">
        <v>207</v>
      </c>
      <c r="BU454" s="2" t="s">
        <v>208</v>
      </c>
      <c r="BV454" s="2" t="s">
        <v>150</v>
      </c>
      <c r="BW454" s="2" t="s">
        <v>151</v>
      </c>
      <c r="BX454" s="2" t="s">
        <v>91</v>
      </c>
      <c r="BY45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54" s="2">
        <f>IF(AND(Cases[[#This Row],[Priority Level]]&gt;=3,Cases[[#This Row],[System Role]]&lt;&gt;"Productive"),1,0)</f>
        <v>0</v>
      </c>
      <c r="CA454" s="2">
        <f>IFERROR(IF(Cases[[#This Row],[Days at Customer]]&gt;MAX(1,Cases[[#This Row],[Days at SAP]]*2),1,0),0)</f>
        <v>1</v>
      </c>
      <c r="CB454" s="2">
        <f>IF(AND(Cases[[#This Row],[Initial Component]]&lt;&gt;"",Cases[[#This Row],[Component]]&lt;&gt;"",Cases[[#This Row],[Initial Component]]&lt;&gt;Cases[[#This Row],[Component]]),1,0)</f>
        <v>0</v>
      </c>
      <c r="CC454" s="2">
        <f>IF(OR(Cases[[#This Row],[Is Reopened]]="X",Cases[[#This Row],[No. of Reopenings]]&gt;0),1,0)</f>
        <v>1</v>
      </c>
      <c r="CD454" s="2">
        <f>IF(Cases[[#This Row],[Confirmation Type]]="Automatic",1,0)</f>
        <v>1</v>
      </c>
      <c r="CE454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55" spans="1:83" x14ac:dyDescent="0.2">
      <c r="A455" s="1" t="s">
        <v>2651</v>
      </c>
      <c r="B455" s="2" t="s">
        <v>2652</v>
      </c>
      <c r="C455" s="2" t="s">
        <v>1540</v>
      </c>
      <c r="D455" s="2" t="s">
        <v>78</v>
      </c>
      <c r="E455" s="3">
        <v>16.75</v>
      </c>
      <c r="F455" s="3">
        <v>6.22</v>
      </c>
      <c r="G455" s="2" t="s">
        <v>79</v>
      </c>
      <c r="H455" s="2" t="s">
        <v>80</v>
      </c>
      <c r="I455" s="3" t="s">
        <v>114</v>
      </c>
      <c r="J455" s="3">
        <v>162</v>
      </c>
      <c r="K455" s="2" t="s">
        <v>2653</v>
      </c>
      <c r="L455" s="4">
        <v>46009</v>
      </c>
      <c r="M455" s="4">
        <v>45988</v>
      </c>
      <c r="N455" s="2" t="s">
        <v>2274</v>
      </c>
      <c r="O455" s="2" t="s">
        <v>1805</v>
      </c>
      <c r="P455" s="2" t="s">
        <v>2275</v>
      </c>
      <c r="Q455" s="2" t="s">
        <v>1806</v>
      </c>
      <c r="R455" s="2" t="s">
        <v>1542</v>
      </c>
      <c r="S455" s="4">
        <v>45965</v>
      </c>
      <c r="T455" s="2" t="s">
        <v>2274</v>
      </c>
      <c r="U455" s="2" t="s">
        <v>1805</v>
      </c>
      <c r="V455" s="2" t="s">
        <v>2583</v>
      </c>
      <c r="W455" s="2" t="s">
        <v>1806</v>
      </c>
      <c r="X455" s="2" t="s">
        <v>117</v>
      </c>
      <c r="Y455" s="3" t="s">
        <v>118</v>
      </c>
      <c r="Z455" s="3">
        <v>22.97</v>
      </c>
      <c r="AA455" s="2" t="s">
        <v>90</v>
      </c>
      <c r="AB455" s="2" t="s">
        <v>87</v>
      </c>
      <c r="AC455" s="2" t="s">
        <v>77</v>
      </c>
      <c r="AD455" t="str" cm="1">
        <f t="array" ref="AD45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455" s="2" t="s">
        <v>91</v>
      </c>
      <c r="AF455" s="2" t="s">
        <v>92</v>
      </c>
      <c r="AG455" s="2" t="s">
        <v>119</v>
      </c>
      <c r="AH455" s="2" t="s">
        <v>120</v>
      </c>
      <c r="AJ455" s="2" t="s">
        <v>122</v>
      </c>
      <c r="AK455" s="2" t="s">
        <v>2654</v>
      </c>
      <c r="AN455" s="3">
        <v>1</v>
      </c>
      <c r="AO455" s="3">
        <v>1</v>
      </c>
      <c r="AP455" s="3">
        <v>1</v>
      </c>
      <c r="AQ455" s="3">
        <v>1</v>
      </c>
      <c r="AR455" s="3">
        <v>1</v>
      </c>
      <c r="AS455" s="3">
        <v>0</v>
      </c>
      <c r="AT455" s="3">
        <v>0</v>
      </c>
      <c r="AU455" s="3">
        <v>0</v>
      </c>
      <c r="AV455" s="3">
        <v>0</v>
      </c>
      <c r="AW455" s="3">
        <v>1</v>
      </c>
      <c r="AX455" s="3">
        <v>1</v>
      </c>
      <c r="AY455" s="3">
        <v>0</v>
      </c>
      <c r="AZ455" s="3">
        <v>0</v>
      </c>
      <c r="BA455" s="3">
        <v>1</v>
      </c>
      <c r="BB455" s="3">
        <v>0</v>
      </c>
      <c r="BC455" s="3">
        <v>0</v>
      </c>
      <c r="BD455" s="3">
        <v>4</v>
      </c>
      <c r="BE455" s="3">
        <v>0</v>
      </c>
      <c r="BG455" s="2" t="s">
        <v>91</v>
      </c>
      <c r="BH455" s="3">
        <v>3</v>
      </c>
      <c r="BJ455" s="2" t="s">
        <v>96</v>
      </c>
      <c r="BL455" s="2" t="s">
        <v>123</v>
      </c>
      <c r="BM455" s="2" t="s">
        <v>123</v>
      </c>
      <c r="BN455" s="2" t="s">
        <v>124</v>
      </c>
      <c r="BO455" s="2" t="s">
        <v>125</v>
      </c>
      <c r="BP455" s="2" t="s">
        <v>101</v>
      </c>
      <c r="BQ455" s="2" t="s">
        <v>124</v>
      </c>
      <c r="BR455" s="2" t="s">
        <v>126</v>
      </c>
      <c r="BS455" s="2" t="s">
        <v>127</v>
      </c>
      <c r="BT455" s="2" t="s">
        <v>199</v>
      </c>
      <c r="BU455" s="2" t="s">
        <v>200</v>
      </c>
      <c r="BV455" s="2" t="s">
        <v>166</v>
      </c>
      <c r="BW455" s="2" t="s">
        <v>167</v>
      </c>
      <c r="BX455" s="2" t="s">
        <v>91</v>
      </c>
      <c r="BY45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55" s="2">
        <f>IF(AND(Cases[[#This Row],[Priority Level]]&gt;=3,Cases[[#This Row],[System Role]]&lt;&gt;"Productive"),1,0)</f>
        <v>1</v>
      </c>
      <c r="CA455" s="2">
        <f>IFERROR(IF(Cases[[#This Row],[Days at Customer]]&gt;MAX(1,Cases[[#This Row],[Days at SAP]]*2),1,0),0)</f>
        <v>0</v>
      </c>
      <c r="CB455" s="2">
        <f>IF(AND(Cases[[#This Row],[Initial Component]]&lt;&gt;"",Cases[[#This Row],[Component]]&lt;&gt;"",Cases[[#This Row],[Initial Component]]&lt;&gt;Cases[[#This Row],[Component]]),1,0)</f>
        <v>1</v>
      </c>
      <c r="CC455" s="2">
        <f>IF(OR(Cases[[#This Row],[Is Reopened]]="X",Cases[[#This Row],[No. of Reopenings]]&gt;0),1,0)</f>
        <v>1</v>
      </c>
      <c r="CD455" s="2">
        <f>IF(Cases[[#This Row],[Confirmation Type]]="Automatic",1,0)</f>
        <v>0</v>
      </c>
      <c r="CE455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456" spans="1:83" x14ac:dyDescent="0.2">
      <c r="A456" s="1" t="s">
        <v>2655</v>
      </c>
      <c r="B456" s="2" t="s">
        <v>2656</v>
      </c>
      <c r="C456" s="2" t="s">
        <v>1742</v>
      </c>
      <c r="D456" s="2" t="s">
        <v>78</v>
      </c>
      <c r="E456" s="3">
        <v>65.319999999999993</v>
      </c>
      <c r="F456" s="3">
        <v>73.63</v>
      </c>
      <c r="G456" s="2" t="s">
        <v>190</v>
      </c>
      <c r="H456" s="2" t="s">
        <v>191</v>
      </c>
      <c r="I456" s="3" t="s">
        <v>114</v>
      </c>
      <c r="J456" s="3">
        <v>162</v>
      </c>
      <c r="K456" s="2" t="s">
        <v>2657</v>
      </c>
      <c r="L456" s="4">
        <v>46110</v>
      </c>
      <c r="M456" s="4">
        <v>46104</v>
      </c>
      <c r="N456" s="2" t="s">
        <v>180</v>
      </c>
      <c r="O456" s="2" t="s">
        <v>181</v>
      </c>
      <c r="P456" s="2" t="s">
        <v>195</v>
      </c>
      <c r="Q456" s="2" t="s">
        <v>86</v>
      </c>
      <c r="R456" s="2" t="s">
        <v>1744</v>
      </c>
      <c r="S456" s="4">
        <v>45965</v>
      </c>
      <c r="T456" s="2" t="s">
        <v>2274</v>
      </c>
      <c r="U456" s="2" t="s">
        <v>1805</v>
      </c>
      <c r="V456" s="2" t="s">
        <v>2583</v>
      </c>
      <c r="W456" s="2" t="s">
        <v>1806</v>
      </c>
      <c r="X456" s="2" t="s">
        <v>117</v>
      </c>
      <c r="Y456" s="3" t="s">
        <v>118</v>
      </c>
      <c r="Z456" s="3">
        <v>138.94999999999999</v>
      </c>
      <c r="AA456" s="2" t="s">
        <v>90</v>
      </c>
      <c r="AB456" s="2" t="s">
        <v>2658</v>
      </c>
      <c r="AC456" s="2" t="s">
        <v>2659</v>
      </c>
      <c r="AD456" t="str" cm="1">
        <f t="array" ref="AD45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456" s="2" t="s">
        <v>91</v>
      </c>
      <c r="AF456" s="2" t="s">
        <v>92</v>
      </c>
      <c r="AG456" s="2" t="s">
        <v>540</v>
      </c>
      <c r="AH456" s="2" t="s">
        <v>541</v>
      </c>
      <c r="AK456" s="2" t="s">
        <v>2660</v>
      </c>
      <c r="AN456" s="3">
        <v>1</v>
      </c>
      <c r="AO456" s="3">
        <v>1</v>
      </c>
      <c r="AP456" s="3">
        <v>1</v>
      </c>
      <c r="AQ456" s="3">
        <v>1</v>
      </c>
      <c r="AR456" s="3">
        <v>1</v>
      </c>
      <c r="AS456" s="3">
        <v>0</v>
      </c>
      <c r="AT456" s="3">
        <v>0</v>
      </c>
      <c r="AU456" s="3">
        <v>0</v>
      </c>
      <c r="AV456" s="3">
        <v>0</v>
      </c>
      <c r="AW456" s="3">
        <v>1</v>
      </c>
      <c r="AX456" s="3">
        <v>1</v>
      </c>
      <c r="AY456" s="3">
        <v>0</v>
      </c>
      <c r="AZ456" s="3">
        <v>0</v>
      </c>
      <c r="BA456" s="3">
        <v>0</v>
      </c>
      <c r="BB456" s="3">
        <v>0</v>
      </c>
      <c r="BC456" s="3">
        <v>1</v>
      </c>
      <c r="BD456" s="3">
        <v>0</v>
      </c>
      <c r="BE456" s="3">
        <v>0</v>
      </c>
      <c r="BG456" s="2" t="s">
        <v>91</v>
      </c>
      <c r="BH456" s="3">
        <v>3</v>
      </c>
      <c r="BJ456" s="2" t="s">
        <v>96</v>
      </c>
      <c r="BL456" s="2" t="s">
        <v>382</v>
      </c>
      <c r="BM456" s="2" t="s">
        <v>382</v>
      </c>
      <c r="BN456" s="2" t="s">
        <v>99</v>
      </c>
      <c r="BO456" s="2" t="s">
        <v>100</v>
      </c>
      <c r="BP456" s="2" t="s">
        <v>101</v>
      </c>
      <c r="BQ456" s="2" t="s">
        <v>383</v>
      </c>
      <c r="BR456" s="2" t="s">
        <v>384</v>
      </c>
      <c r="BS456" s="2" t="s">
        <v>713</v>
      </c>
      <c r="BT456" s="2" t="s">
        <v>1132</v>
      </c>
      <c r="BU456" s="2" t="s">
        <v>1133</v>
      </c>
      <c r="BV456" s="2" t="s">
        <v>150</v>
      </c>
      <c r="BW456" s="2" t="s">
        <v>151</v>
      </c>
      <c r="BX456" s="2" t="s">
        <v>91</v>
      </c>
      <c r="BY45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56" s="2">
        <f>IF(AND(Cases[[#This Row],[Priority Level]]&gt;=3,Cases[[#This Row],[System Role]]&lt;&gt;"Productive"),1,0)</f>
        <v>0</v>
      </c>
      <c r="CA456" s="2">
        <f>IFERROR(IF(Cases[[#This Row],[Days at Customer]]&gt;MAX(1,Cases[[#This Row],[Days at SAP]]*2),1,0),0)</f>
        <v>0</v>
      </c>
      <c r="CB456" s="2">
        <f>IF(AND(Cases[[#This Row],[Initial Component]]&lt;&gt;"",Cases[[#This Row],[Component]]&lt;&gt;"",Cases[[#This Row],[Initial Component]]&lt;&gt;Cases[[#This Row],[Component]]),1,0)</f>
        <v>1</v>
      </c>
      <c r="CC456" s="2">
        <f>IF(OR(Cases[[#This Row],[Is Reopened]]="X",Cases[[#This Row],[No. of Reopenings]]&gt;0),1,0)</f>
        <v>0</v>
      </c>
      <c r="CD456" s="2">
        <f>IF(Cases[[#This Row],[Confirmation Type]]="Automatic",1,0)</f>
        <v>0</v>
      </c>
      <c r="CE456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57" spans="1:83" x14ac:dyDescent="0.2">
      <c r="A457" s="1" t="s">
        <v>2661</v>
      </c>
      <c r="B457" s="2" t="s">
        <v>2662</v>
      </c>
      <c r="C457" s="2" t="s">
        <v>785</v>
      </c>
      <c r="D457" s="2" t="s">
        <v>78</v>
      </c>
      <c r="E457" s="3">
        <v>70.569999999999993</v>
      </c>
      <c r="F457" s="3">
        <v>36.18</v>
      </c>
      <c r="G457" s="2" t="s">
        <v>190</v>
      </c>
      <c r="H457" s="2" t="s">
        <v>1205</v>
      </c>
      <c r="I457" s="3" t="s">
        <v>114</v>
      </c>
      <c r="J457" s="3">
        <v>162</v>
      </c>
      <c r="K457" s="2" t="s">
        <v>2663</v>
      </c>
      <c r="L457" s="4">
        <v>46075</v>
      </c>
      <c r="M457" s="4">
        <v>46072</v>
      </c>
      <c r="N457" s="2" t="s">
        <v>677</v>
      </c>
      <c r="O457" s="2" t="s">
        <v>181</v>
      </c>
      <c r="P457" s="2" t="s">
        <v>895</v>
      </c>
      <c r="Q457" s="2" t="s">
        <v>86</v>
      </c>
      <c r="R457" s="2" t="s">
        <v>787</v>
      </c>
      <c r="S457" s="4">
        <v>45965</v>
      </c>
      <c r="T457" s="2" t="s">
        <v>2274</v>
      </c>
      <c r="U457" s="2" t="s">
        <v>1805</v>
      </c>
      <c r="V457" s="2" t="s">
        <v>2583</v>
      </c>
      <c r="W457" s="2" t="s">
        <v>1806</v>
      </c>
      <c r="X457" s="2" t="s">
        <v>117</v>
      </c>
      <c r="Y457" s="3" t="s">
        <v>118</v>
      </c>
      <c r="Z457" s="3">
        <v>106.75</v>
      </c>
      <c r="AA457" s="2" t="s">
        <v>90</v>
      </c>
      <c r="AB457" s="2" t="s">
        <v>1555</v>
      </c>
      <c r="AC457" s="2" t="s">
        <v>1556</v>
      </c>
      <c r="AD457" t="str" cm="1">
        <f t="array" ref="AD45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457" s="2" t="s">
        <v>139</v>
      </c>
      <c r="AF457" s="2" t="s">
        <v>92</v>
      </c>
      <c r="AG457" s="2" t="s">
        <v>119</v>
      </c>
      <c r="AH457" s="2" t="s">
        <v>120</v>
      </c>
      <c r="AK457" s="2" t="s">
        <v>2664</v>
      </c>
      <c r="AN457" s="3">
        <v>1</v>
      </c>
      <c r="AO457" s="3">
        <v>1</v>
      </c>
      <c r="AP457" s="3">
        <v>1</v>
      </c>
      <c r="AQ457" s="3">
        <v>1</v>
      </c>
      <c r="AR457" s="3">
        <v>1</v>
      </c>
      <c r="AS457" s="3">
        <v>0</v>
      </c>
      <c r="AT457" s="3">
        <v>0</v>
      </c>
      <c r="AU457" s="3">
        <v>0</v>
      </c>
      <c r="AV457" s="3">
        <v>0</v>
      </c>
      <c r="AW457" s="3">
        <v>1</v>
      </c>
      <c r="AX457" s="3">
        <v>1</v>
      </c>
      <c r="AY457" s="3">
        <v>0</v>
      </c>
      <c r="AZ457" s="3">
        <v>0</v>
      </c>
      <c r="BA457" s="3">
        <v>0</v>
      </c>
      <c r="BB457" s="3">
        <v>0</v>
      </c>
      <c r="BC457" s="3">
        <v>1</v>
      </c>
      <c r="BD457" s="3">
        <v>0</v>
      </c>
      <c r="BE457" s="3">
        <v>0</v>
      </c>
      <c r="BG457" s="2" t="s">
        <v>91</v>
      </c>
      <c r="BH457" s="3">
        <v>3</v>
      </c>
      <c r="BJ457" s="2" t="s">
        <v>96</v>
      </c>
      <c r="BL457" s="2" t="s">
        <v>123</v>
      </c>
      <c r="BM457" s="2" t="s">
        <v>123</v>
      </c>
      <c r="BN457" s="2" t="s">
        <v>124</v>
      </c>
      <c r="BO457" s="2" t="s">
        <v>125</v>
      </c>
      <c r="BP457" s="2" t="s">
        <v>101</v>
      </c>
      <c r="BQ457" s="2" t="s">
        <v>124</v>
      </c>
      <c r="BR457" s="2" t="s">
        <v>126</v>
      </c>
      <c r="BS457" s="2" t="s">
        <v>127</v>
      </c>
      <c r="BT457" s="2" t="s">
        <v>174</v>
      </c>
      <c r="BU457" s="2" t="s">
        <v>175</v>
      </c>
      <c r="BV457" s="2" t="s">
        <v>150</v>
      </c>
      <c r="BW457" s="2" t="s">
        <v>151</v>
      </c>
      <c r="BX457" s="2" t="s">
        <v>91</v>
      </c>
      <c r="BY45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57" s="2">
        <f>IF(AND(Cases[[#This Row],[Priority Level]]&gt;=3,Cases[[#This Row],[System Role]]&lt;&gt;"Productive"),1,0)</f>
        <v>0</v>
      </c>
      <c r="CA457" s="2">
        <f>IFERROR(IF(Cases[[#This Row],[Days at Customer]]&gt;MAX(1,Cases[[#This Row],[Days at SAP]]*2),1,0),0)</f>
        <v>0</v>
      </c>
      <c r="CB457" s="2">
        <f>IF(AND(Cases[[#This Row],[Initial Component]]&lt;&gt;"",Cases[[#This Row],[Component]]&lt;&gt;"",Cases[[#This Row],[Initial Component]]&lt;&gt;Cases[[#This Row],[Component]]),1,0)</f>
        <v>1</v>
      </c>
      <c r="CC457" s="2">
        <f>IF(OR(Cases[[#This Row],[Is Reopened]]="X",Cases[[#This Row],[No. of Reopenings]]&gt;0),1,0)</f>
        <v>0</v>
      </c>
      <c r="CD457" s="2">
        <f>IF(Cases[[#This Row],[Confirmation Type]]="Automatic",1,0)</f>
        <v>0</v>
      </c>
      <c r="CE457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58" spans="1:83" x14ac:dyDescent="0.2">
      <c r="A458" s="1" t="s">
        <v>2665</v>
      </c>
      <c r="B458" s="2" t="s">
        <v>2666</v>
      </c>
      <c r="C458" s="2" t="s">
        <v>876</v>
      </c>
      <c r="D458" s="2" t="s">
        <v>238</v>
      </c>
      <c r="E458" s="3">
        <v>5.84</v>
      </c>
      <c r="F458" s="3">
        <v>21.91</v>
      </c>
      <c r="G458" s="2" t="s">
        <v>79</v>
      </c>
      <c r="H458" s="2" t="s">
        <v>155</v>
      </c>
      <c r="I458" s="3" t="s">
        <v>114</v>
      </c>
      <c r="J458" s="3">
        <v>162</v>
      </c>
      <c r="K458" s="2" t="s">
        <v>2667</v>
      </c>
      <c r="L458" s="4">
        <v>46009</v>
      </c>
      <c r="M458" s="4">
        <v>45993</v>
      </c>
      <c r="N458" s="2" t="s">
        <v>1804</v>
      </c>
      <c r="O458" s="2" t="s">
        <v>1805</v>
      </c>
      <c r="P458" s="2" t="s">
        <v>2169</v>
      </c>
      <c r="Q458" s="2" t="s">
        <v>1806</v>
      </c>
      <c r="R458" s="2" t="s">
        <v>878</v>
      </c>
      <c r="S458" s="4">
        <v>45965</v>
      </c>
      <c r="T458" s="2" t="s">
        <v>2274</v>
      </c>
      <c r="U458" s="2" t="s">
        <v>1805</v>
      </c>
      <c r="V458" s="2" t="s">
        <v>2583</v>
      </c>
      <c r="W458" s="2" t="s">
        <v>1806</v>
      </c>
      <c r="X458" s="2" t="s">
        <v>117</v>
      </c>
      <c r="Y458" s="3" t="s">
        <v>118</v>
      </c>
      <c r="Z458" s="3">
        <v>27.75</v>
      </c>
      <c r="AA458" s="2" t="s">
        <v>90</v>
      </c>
      <c r="AB458" s="2" t="s">
        <v>878</v>
      </c>
      <c r="AC458" s="2" t="s">
        <v>876</v>
      </c>
      <c r="AD458" t="str" cm="1">
        <f t="array" ref="AD45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458" s="2" t="s">
        <v>91</v>
      </c>
      <c r="AF458" s="2" t="s">
        <v>92</v>
      </c>
      <c r="AG458" s="2" t="s">
        <v>119</v>
      </c>
      <c r="AH458" s="2" t="s">
        <v>120</v>
      </c>
      <c r="AK458" s="2" t="s">
        <v>2668</v>
      </c>
      <c r="AN458" s="3">
        <v>1</v>
      </c>
      <c r="AO458" s="3">
        <v>1</v>
      </c>
      <c r="AP458" s="3">
        <v>1</v>
      </c>
      <c r="AQ458" s="3">
        <v>1</v>
      </c>
      <c r="AR458" s="3">
        <v>1</v>
      </c>
      <c r="AS458" s="3">
        <v>0</v>
      </c>
      <c r="AT458" s="3">
        <v>0</v>
      </c>
      <c r="AU458" s="3">
        <v>0</v>
      </c>
      <c r="AV458" s="3">
        <v>1</v>
      </c>
      <c r="AW458" s="3">
        <v>0</v>
      </c>
      <c r="AX458" s="3">
        <v>1</v>
      </c>
      <c r="AY458" s="3">
        <v>0</v>
      </c>
      <c r="AZ458" s="3">
        <v>0</v>
      </c>
      <c r="BA458" s="3">
        <v>1</v>
      </c>
      <c r="BB458" s="3">
        <v>0</v>
      </c>
      <c r="BC458" s="3">
        <v>0</v>
      </c>
      <c r="BD458" s="3">
        <v>0</v>
      </c>
      <c r="BE458" s="3">
        <v>0</v>
      </c>
      <c r="BG458" s="2" t="s">
        <v>91</v>
      </c>
      <c r="BH458" s="3">
        <v>3</v>
      </c>
      <c r="BJ458" s="2" t="s">
        <v>96</v>
      </c>
      <c r="BL458" s="2" t="s">
        <v>123</v>
      </c>
      <c r="BM458" s="2" t="s">
        <v>123</v>
      </c>
      <c r="BN458" s="2" t="s">
        <v>124</v>
      </c>
      <c r="BO458" s="2" t="s">
        <v>125</v>
      </c>
      <c r="BP458" s="2" t="s">
        <v>242</v>
      </c>
      <c r="BQ458" s="2" t="s">
        <v>124</v>
      </c>
      <c r="BR458" s="2" t="s">
        <v>126</v>
      </c>
      <c r="BS458" s="2" t="s">
        <v>127</v>
      </c>
      <c r="BT458" s="2" t="s">
        <v>199</v>
      </c>
      <c r="BU458" s="2" t="s">
        <v>200</v>
      </c>
      <c r="BV458" s="2" t="s">
        <v>166</v>
      </c>
      <c r="BW458" s="2" t="s">
        <v>167</v>
      </c>
      <c r="BX458" s="2" t="s">
        <v>91</v>
      </c>
      <c r="BY45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58" s="2">
        <f>IF(AND(Cases[[#This Row],[Priority Level]]&gt;=3,Cases[[#This Row],[System Role]]&lt;&gt;"Productive"),1,0)</f>
        <v>1</v>
      </c>
      <c r="CA458" s="2">
        <f>IFERROR(IF(Cases[[#This Row],[Days at Customer]]&gt;MAX(1,Cases[[#This Row],[Days at SAP]]*2),1,0),0)</f>
        <v>1</v>
      </c>
      <c r="CB458" s="2">
        <f>IF(AND(Cases[[#This Row],[Initial Component]]&lt;&gt;"",Cases[[#This Row],[Component]]&lt;&gt;"",Cases[[#This Row],[Initial Component]]&lt;&gt;Cases[[#This Row],[Component]]),1,0)</f>
        <v>0</v>
      </c>
      <c r="CC458" s="2">
        <f>IF(OR(Cases[[#This Row],[Is Reopened]]="X",Cases[[#This Row],[No. of Reopenings]]&gt;0),1,0)</f>
        <v>0</v>
      </c>
      <c r="CD458" s="2">
        <f>IF(Cases[[#This Row],[Confirmation Type]]="Automatic",1,0)</f>
        <v>1</v>
      </c>
      <c r="CE458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459" spans="1:83" x14ac:dyDescent="0.2">
      <c r="A459" s="1" t="s">
        <v>2669</v>
      </c>
      <c r="B459" s="2" t="s">
        <v>2670</v>
      </c>
      <c r="C459" s="2" t="s">
        <v>406</v>
      </c>
      <c r="D459" s="2" t="s">
        <v>238</v>
      </c>
      <c r="E459" s="3">
        <v>5.0999999999999996</v>
      </c>
      <c r="F459" s="3">
        <v>25.63</v>
      </c>
      <c r="G459" s="2" t="s">
        <v>79</v>
      </c>
      <c r="H459" s="2" t="s">
        <v>155</v>
      </c>
      <c r="I459" s="3" t="s">
        <v>114</v>
      </c>
      <c r="J459" s="3">
        <v>162</v>
      </c>
      <c r="K459" s="2" t="s">
        <v>2671</v>
      </c>
      <c r="L459" s="4">
        <v>46009</v>
      </c>
      <c r="M459" s="4">
        <v>45996</v>
      </c>
      <c r="N459" s="2" t="s">
        <v>1804</v>
      </c>
      <c r="O459" s="2" t="s">
        <v>1805</v>
      </c>
      <c r="P459" s="2" t="s">
        <v>2169</v>
      </c>
      <c r="Q459" s="2" t="s">
        <v>1806</v>
      </c>
      <c r="R459" s="2" t="s">
        <v>408</v>
      </c>
      <c r="S459" s="4">
        <v>45965</v>
      </c>
      <c r="T459" s="2" t="s">
        <v>2274</v>
      </c>
      <c r="U459" s="2" t="s">
        <v>1805</v>
      </c>
      <c r="V459" s="2" t="s">
        <v>2583</v>
      </c>
      <c r="W459" s="2" t="s">
        <v>1806</v>
      </c>
      <c r="X459" s="2" t="s">
        <v>117</v>
      </c>
      <c r="Y459" s="3" t="s">
        <v>118</v>
      </c>
      <c r="Z459" s="3">
        <v>30.73</v>
      </c>
      <c r="AA459" s="2" t="s">
        <v>90</v>
      </c>
      <c r="AB459" s="2" t="s">
        <v>408</v>
      </c>
      <c r="AC459" s="2" t="s">
        <v>406</v>
      </c>
      <c r="AD459" t="str" cm="1">
        <f t="array" ref="AD45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459" s="2" t="s">
        <v>91</v>
      </c>
      <c r="AF459" s="2" t="s">
        <v>92</v>
      </c>
      <c r="AG459" s="2" t="s">
        <v>119</v>
      </c>
      <c r="AH459" s="2" t="s">
        <v>120</v>
      </c>
      <c r="AJ459" s="2" t="s">
        <v>122</v>
      </c>
      <c r="AK459" s="2" t="s">
        <v>2672</v>
      </c>
      <c r="AN459" s="3">
        <v>1</v>
      </c>
      <c r="AO459" s="3">
        <v>1</v>
      </c>
      <c r="AP459" s="3">
        <v>1</v>
      </c>
      <c r="AQ459" s="3">
        <v>1</v>
      </c>
      <c r="AR459" s="3">
        <v>1</v>
      </c>
      <c r="AS459" s="3">
        <v>0</v>
      </c>
      <c r="AT459" s="3">
        <v>0</v>
      </c>
      <c r="AU459" s="3">
        <v>0</v>
      </c>
      <c r="AV459" s="3">
        <v>1</v>
      </c>
      <c r="AW459" s="3">
        <v>0</v>
      </c>
      <c r="AX459" s="3">
        <v>1</v>
      </c>
      <c r="AY459" s="3">
        <v>0</v>
      </c>
      <c r="AZ459" s="3">
        <v>0</v>
      </c>
      <c r="BA459" s="3">
        <v>1</v>
      </c>
      <c r="BB459" s="3">
        <v>0</v>
      </c>
      <c r="BC459" s="3">
        <v>0</v>
      </c>
      <c r="BD459" s="3">
        <v>3</v>
      </c>
      <c r="BE459" s="3">
        <v>0</v>
      </c>
      <c r="BG459" s="2" t="s">
        <v>91</v>
      </c>
      <c r="BH459" s="3">
        <v>3</v>
      </c>
      <c r="BJ459" s="2" t="s">
        <v>96</v>
      </c>
      <c r="BL459" s="2" t="s">
        <v>123</v>
      </c>
      <c r="BM459" s="2" t="s">
        <v>123</v>
      </c>
      <c r="BN459" s="2" t="s">
        <v>124</v>
      </c>
      <c r="BO459" s="2" t="s">
        <v>125</v>
      </c>
      <c r="BP459" s="2" t="s">
        <v>242</v>
      </c>
      <c r="BQ459" s="2" t="s">
        <v>124</v>
      </c>
      <c r="BR459" s="2" t="s">
        <v>126</v>
      </c>
      <c r="BS459" s="2" t="s">
        <v>127</v>
      </c>
      <c r="BT459" s="2" t="s">
        <v>199</v>
      </c>
      <c r="BU459" s="2" t="s">
        <v>200</v>
      </c>
      <c r="BV459" s="2" t="s">
        <v>166</v>
      </c>
      <c r="BW459" s="2" t="s">
        <v>167</v>
      </c>
      <c r="BX459" s="2" t="s">
        <v>91</v>
      </c>
      <c r="BY45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59" s="2">
        <f>IF(AND(Cases[[#This Row],[Priority Level]]&gt;=3,Cases[[#This Row],[System Role]]&lt;&gt;"Productive"),1,0)</f>
        <v>1</v>
      </c>
      <c r="CA459" s="2">
        <f>IFERROR(IF(Cases[[#This Row],[Days at Customer]]&gt;MAX(1,Cases[[#This Row],[Days at SAP]]*2),1,0),0)</f>
        <v>1</v>
      </c>
      <c r="CB459" s="2">
        <f>IF(AND(Cases[[#This Row],[Initial Component]]&lt;&gt;"",Cases[[#This Row],[Component]]&lt;&gt;"",Cases[[#This Row],[Initial Component]]&lt;&gt;Cases[[#This Row],[Component]]),1,0)</f>
        <v>0</v>
      </c>
      <c r="CC459" s="2">
        <f>IF(OR(Cases[[#This Row],[Is Reopened]]="X",Cases[[#This Row],[No. of Reopenings]]&gt;0),1,0)</f>
        <v>1</v>
      </c>
      <c r="CD459" s="2">
        <f>IF(Cases[[#This Row],[Confirmation Type]]="Automatic",1,0)</f>
        <v>1</v>
      </c>
      <c r="CE459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460" spans="1:83" x14ac:dyDescent="0.2">
      <c r="A460" s="1" t="s">
        <v>2673</v>
      </c>
      <c r="B460" s="2" t="s">
        <v>2674</v>
      </c>
      <c r="C460" s="2" t="s">
        <v>2675</v>
      </c>
      <c r="D460" s="2" t="s">
        <v>238</v>
      </c>
      <c r="E460" s="3">
        <v>17.079999999999998</v>
      </c>
      <c r="F460" s="3">
        <v>38.5</v>
      </c>
      <c r="G460" s="2" t="s">
        <v>79</v>
      </c>
      <c r="H460" s="2" t="s">
        <v>80</v>
      </c>
      <c r="I460" s="3" t="s">
        <v>114</v>
      </c>
      <c r="J460" s="3">
        <v>162</v>
      </c>
      <c r="K460" s="2" t="s">
        <v>2676</v>
      </c>
      <c r="L460" s="4">
        <v>46026</v>
      </c>
      <c r="M460" s="4">
        <v>46021</v>
      </c>
      <c r="N460" s="2" t="s">
        <v>1804</v>
      </c>
      <c r="O460" s="2" t="s">
        <v>1805</v>
      </c>
      <c r="P460" s="2" t="s">
        <v>1334</v>
      </c>
      <c r="Q460" s="2" t="s">
        <v>1806</v>
      </c>
      <c r="R460" s="2" t="s">
        <v>2677</v>
      </c>
      <c r="S460" s="4">
        <v>45965</v>
      </c>
      <c r="T460" s="2" t="s">
        <v>2274</v>
      </c>
      <c r="U460" s="2" t="s">
        <v>1805</v>
      </c>
      <c r="V460" s="2" t="s">
        <v>2583</v>
      </c>
      <c r="W460" s="2" t="s">
        <v>1806</v>
      </c>
      <c r="X460" s="2" t="s">
        <v>117</v>
      </c>
      <c r="Y460" s="3" t="s">
        <v>118</v>
      </c>
      <c r="Z460" s="3">
        <v>55.58</v>
      </c>
      <c r="AA460" s="2" t="s">
        <v>138</v>
      </c>
      <c r="AB460" s="2" t="s">
        <v>2678</v>
      </c>
      <c r="AC460" s="2" t="s">
        <v>2679</v>
      </c>
      <c r="AD460" t="str" cm="1">
        <f t="array" ref="AD46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460" s="2" t="s">
        <v>139</v>
      </c>
      <c r="AF460" s="2" t="s">
        <v>92</v>
      </c>
      <c r="AG460" s="2" t="s">
        <v>274</v>
      </c>
      <c r="AH460" s="2" t="s">
        <v>275</v>
      </c>
      <c r="AK460" s="2" t="s">
        <v>2680</v>
      </c>
      <c r="AN460" s="3">
        <v>1</v>
      </c>
      <c r="AO460" s="3">
        <v>1</v>
      </c>
      <c r="AP460" s="3">
        <v>1</v>
      </c>
      <c r="AQ460" s="3">
        <v>1</v>
      </c>
      <c r="AR460" s="3">
        <v>0</v>
      </c>
      <c r="AS460" s="3">
        <v>0</v>
      </c>
      <c r="AT460" s="3">
        <v>1</v>
      </c>
      <c r="AU460" s="3">
        <v>0</v>
      </c>
      <c r="AV460" s="3">
        <v>1</v>
      </c>
      <c r="AW460" s="3">
        <v>0</v>
      </c>
      <c r="AX460" s="3">
        <v>0</v>
      </c>
      <c r="AY460" s="3">
        <v>0</v>
      </c>
      <c r="AZ460" s="3">
        <v>1</v>
      </c>
      <c r="BA460" s="3">
        <v>0</v>
      </c>
      <c r="BB460" s="3">
        <v>0</v>
      </c>
      <c r="BC460" s="3">
        <v>1</v>
      </c>
      <c r="BD460" s="3">
        <v>0</v>
      </c>
      <c r="BE460" s="3">
        <v>0</v>
      </c>
      <c r="BG460" s="2" t="s">
        <v>139</v>
      </c>
      <c r="BH460" s="3">
        <v>2</v>
      </c>
      <c r="BJ460" s="2" t="s">
        <v>96</v>
      </c>
      <c r="BL460" s="2" t="s">
        <v>277</v>
      </c>
      <c r="BM460" s="2" t="s">
        <v>278</v>
      </c>
      <c r="BN460" s="2" t="s">
        <v>279</v>
      </c>
      <c r="BO460" s="2" t="s">
        <v>280</v>
      </c>
      <c r="BP460" s="2" t="s">
        <v>242</v>
      </c>
      <c r="BQ460" s="2" t="s">
        <v>277</v>
      </c>
      <c r="BR460" s="2" t="s">
        <v>281</v>
      </c>
      <c r="BS460" s="2" t="s">
        <v>147</v>
      </c>
      <c r="BT460" s="2" t="s">
        <v>148</v>
      </c>
      <c r="BU460" s="2" t="s">
        <v>282</v>
      </c>
      <c r="BV460" s="2" t="s">
        <v>150</v>
      </c>
      <c r="BW460" s="2" t="s">
        <v>151</v>
      </c>
      <c r="BX460" s="2" t="s">
        <v>139</v>
      </c>
      <c r="BY46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60" s="2">
        <f>IF(AND(Cases[[#This Row],[Priority Level]]&gt;=3,Cases[[#This Row],[System Role]]&lt;&gt;"Productive"),1,0)</f>
        <v>0</v>
      </c>
      <c r="CA460" s="2">
        <f>IFERROR(IF(Cases[[#This Row],[Days at Customer]]&gt;MAX(1,Cases[[#This Row],[Days at SAP]]*2),1,0),0)</f>
        <v>1</v>
      </c>
      <c r="CB460" s="2">
        <f>IF(AND(Cases[[#This Row],[Initial Component]]&lt;&gt;"",Cases[[#This Row],[Component]]&lt;&gt;"",Cases[[#This Row],[Initial Component]]&lt;&gt;Cases[[#This Row],[Component]]),1,0)</f>
        <v>1</v>
      </c>
      <c r="CC460" s="2">
        <f>IF(OR(Cases[[#This Row],[Is Reopened]]="X",Cases[[#This Row],[No. of Reopenings]]&gt;0),1,0)</f>
        <v>0</v>
      </c>
      <c r="CD460" s="2">
        <f>IF(Cases[[#This Row],[Confirmation Type]]="Automatic",1,0)</f>
        <v>1</v>
      </c>
      <c r="CE46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61" spans="1:83" x14ac:dyDescent="0.2">
      <c r="A461" s="1" t="s">
        <v>2681</v>
      </c>
      <c r="B461" s="2" t="s">
        <v>2682</v>
      </c>
      <c r="C461" s="2" t="s">
        <v>2683</v>
      </c>
      <c r="D461" s="2" t="s">
        <v>238</v>
      </c>
      <c r="E461" s="3">
        <v>1.54</v>
      </c>
      <c r="F461" s="3">
        <v>46.91</v>
      </c>
      <c r="G461" s="2" t="s">
        <v>79</v>
      </c>
      <c r="H461" s="2" t="s">
        <v>80</v>
      </c>
      <c r="I461" s="3" t="s">
        <v>114</v>
      </c>
      <c r="J461" s="3">
        <v>162</v>
      </c>
      <c r="K461" s="2" t="s">
        <v>2684</v>
      </c>
      <c r="L461" s="4">
        <v>46019</v>
      </c>
      <c r="M461" s="4">
        <v>46014</v>
      </c>
      <c r="N461" s="2" t="s">
        <v>1804</v>
      </c>
      <c r="O461" s="2" t="s">
        <v>1805</v>
      </c>
      <c r="P461" s="2" t="s">
        <v>1868</v>
      </c>
      <c r="Q461" s="2" t="s">
        <v>1806</v>
      </c>
      <c r="R461" s="2" t="s">
        <v>2685</v>
      </c>
      <c r="S461" s="4">
        <v>45965</v>
      </c>
      <c r="T461" s="2" t="s">
        <v>2274</v>
      </c>
      <c r="U461" s="2" t="s">
        <v>1805</v>
      </c>
      <c r="V461" s="2" t="s">
        <v>2583</v>
      </c>
      <c r="W461" s="2" t="s">
        <v>1806</v>
      </c>
      <c r="X461" s="2" t="s">
        <v>117</v>
      </c>
      <c r="Y461" s="3" t="s">
        <v>118</v>
      </c>
      <c r="Z461" s="3">
        <v>48.45</v>
      </c>
      <c r="AA461" s="2" t="s">
        <v>138</v>
      </c>
      <c r="AB461" s="2" t="s">
        <v>2686</v>
      </c>
      <c r="AC461" s="2" t="s">
        <v>2687</v>
      </c>
      <c r="AD461" t="str" cm="1">
        <f t="array" ref="AD46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461" s="2" t="s">
        <v>91</v>
      </c>
      <c r="AF461" s="2" t="s">
        <v>92</v>
      </c>
      <c r="AG461" s="2" t="s">
        <v>274</v>
      </c>
      <c r="AH461" s="2" t="s">
        <v>275</v>
      </c>
      <c r="AK461" s="2" t="s">
        <v>2688</v>
      </c>
      <c r="AN461" s="3">
        <v>1</v>
      </c>
      <c r="AO461" s="3">
        <v>1</v>
      </c>
      <c r="AP461" s="3">
        <v>1</v>
      </c>
      <c r="AQ461" s="3">
        <v>1</v>
      </c>
      <c r="AR461" s="3">
        <v>0</v>
      </c>
      <c r="AS461" s="3">
        <v>0</v>
      </c>
      <c r="AT461" s="3">
        <v>1</v>
      </c>
      <c r="AU461" s="3">
        <v>0</v>
      </c>
      <c r="AV461" s="3">
        <v>1</v>
      </c>
      <c r="AW461" s="3">
        <v>0</v>
      </c>
      <c r="AX461" s="3">
        <v>0</v>
      </c>
      <c r="AY461" s="3">
        <v>0</v>
      </c>
      <c r="AZ461" s="3">
        <v>1</v>
      </c>
      <c r="BA461" s="3">
        <v>0</v>
      </c>
      <c r="BB461" s="3">
        <v>0</v>
      </c>
      <c r="BC461" s="3">
        <v>1</v>
      </c>
      <c r="BD461" s="3">
        <v>0</v>
      </c>
      <c r="BE461" s="3">
        <v>0</v>
      </c>
      <c r="BG461" s="2" t="s">
        <v>139</v>
      </c>
      <c r="BH461" s="3">
        <v>2</v>
      </c>
      <c r="BJ461" s="2" t="s">
        <v>96</v>
      </c>
      <c r="BL461" s="2" t="s">
        <v>2689</v>
      </c>
      <c r="BM461" s="2" t="s">
        <v>2690</v>
      </c>
      <c r="BN461" s="2" t="s">
        <v>2691</v>
      </c>
      <c r="BO461" s="2" t="s">
        <v>2692</v>
      </c>
      <c r="BP461" s="2" t="s">
        <v>242</v>
      </c>
      <c r="BQ461" s="2" t="s">
        <v>2693</v>
      </c>
      <c r="BR461" s="2" t="s">
        <v>2694</v>
      </c>
      <c r="BS461" s="2" t="s">
        <v>450</v>
      </c>
      <c r="BT461" s="2" t="s">
        <v>2695</v>
      </c>
      <c r="BU461" s="2" t="s">
        <v>2696</v>
      </c>
      <c r="BV461" s="2" t="s">
        <v>150</v>
      </c>
      <c r="BW461" s="2" t="s">
        <v>151</v>
      </c>
      <c r="BX461" s="2" t="s">
        <v>91</v>
      </c>
      <c r="BY46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61" s="2">
        <f>IF(AND(Cases[[#This Row],[Priority Level]]&gt;=3,Cases[[#This Row],[System Role]]&lt;&gt;"Productive"),1,0)</f>
        <v>0</v>
      </c>
      <c r="CA461" s="2">
        <f>IFERROR(IF(Cases[[#This Row],[Days at Customer]]&gt;MAX(1,Cases[[#This Row],[Days at SAP]]*2),1,0),0)</f>
        <v>1</v>
      </c>
      <c r="CB461" s="2">
        <f>IF(AND(Cases[[#This Row],[Initial Component]]&lt;&gt;"",Cases[[#This Row],[Component]]&lt;&gt;"",Cases[[#This Row],[Initial Component]]&lt;&gt;Cases[[#This Row],[Component]]),1,0)</f>
        <v>1</v>
      </c>
      <c r="CC461" s="2">
        <f>IF(OR(Cases[[#This Row],[Is Reopened]]="X",Cases[[#This Row],[No. of Reopenings]]&gt;0),1,0)</f>
        <v>0</v>
      </c>
      <c r="CD461" s="2">
        <f>IF(Cases[[#This Row],[Confirmation Type]]="Automatic",1,0)</f>
        <v>1</v>
      </c>
      <c r="CE461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62" spans="1:83" x14ac:dyDescent="0.2">
      <c r="A462" s="1" t="s">
        <v>2697</v>
      </c>
      <c r="B462" s="2" t="s">
        <v>2698</v>
      </c>
      <c r="C462" s="2" t="s">
        <v>111</v>
      </c>
      <c r="D462" s="2" t="s">
        <v>238</v>
      </c>
      <c r="E462" s="3">
        <v>0.87</v>
      </c>
      <c r="F462" s="3">
        <v>21.58</v>
      </c>
      <c r="G462" s="2" t="s">
        <v>112</v>
      </c>
      <c r="H462" s="2" t="s">
        <v>113</v>
      </c>
      <c r="I462" s="3" t="s">
        <v>81</v>
      </c>
      <c r="J462" s="3">
        <v>163</v>
      </c>
      <c r="K462" s="2" t="s">
        <v>2699</v>
      </c>
      <c r="L462" s="4">
        <v>46009</v>
      </c>
      <c r="M462" s="4">
        <v>45993</v>
      </c>
      <c r="N462" s="2" t="s">
        <v>1804</v>
      </c>
      <c r="O462" s="2" t="s">
        <v>1805</v>
      </c>
      <c r="P462" s="2" t="s">
        <v>2169</v>
      </c>
      <c r="Q462" s="2" t="s">
        <v>1806</v>
      </c>
      <c r="R462" s="2" t="s">
        <v>116</v>
      </c>
      <c r="S462" s="4">
        <v>45964</v>
      </c>
      <c r="T462" s="2" t="s">
        <v>2274</v>
      </c>
      <c r="U462" s="2" t="s">
        <v>1805</v>
      </c>
      <c r="V462" s="2" t="s">
        <v>2583</v>
      </c>
      <c r="W462" s="2" t="s">
        <v>1806</v>
      </c>
      <c r="X462" s="2" t="s">
        <v>88</v>
      </c>
      <c r="Y462" s="3" t="s">
        <v>89</v>
      </c>
      <c r="Z462" s="3">
        <v>22.45</v>
      </c>
      <c r="AA462" s="2" t="s">
        <v>90</v>
      </c>
      <c r="AB462" s="2" t="s">
        <v>2700</v>
      </c>
      <c r="AC462" s="2" t="s">
        <v>2701</v>
      </c>
      <c r="AD462" t="str" cm="1">
        <f t="array" ref="AD46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462" s="2" t="s">
        <v>91</v>
      </c>
      <c r="AF462" s="2" t="s">
        <v>92</v>
      </c>
      <c r="AG462" s="2" t="s">
        <v>93</v>
      </c>
      <c r="AH462" s="2" t="s">
        <v>94</v>
      </c>
      <c r="AK462" s="2" t="s">
        <v>2702</v>
      </c>
      <c r="AN462" s="3">
        <v>1</v>
      </c>
      <c r="AO462" s="3">
        <v>1</v>
      </c>
      <c r="AP462" s="3">
        <v>1</v>
      </c>
      <c r="AQ462" s="3">
        <v>1</v>
      </c>
      <c r="AR462" s="3">
        <v>1</v>
      </c>
      <c r="AS462" s="3">
        <v>0</v>
      </c>
      <c r="AT462" s="3">
        <v>0</v>
      </c>
      <c r="AU462" s="3">
        <v>0</v>
      </c>
      <c r="AV462" s="3">
        <v>1</v>
      </c>
      <c r="AW462" s="3">
        <v>0</v>
      </c>
      <c r="AX462" s="3">
        <v>1</v>
      </c>
      <c r="AY462" s="3">
        <v>0</v>
      </c>
      <c r="AZ462" s="3">
        <v>0</v>
      </c>
      <c r="BA462" s="3">
        <v>1</v>
      </c>
      <c r="BB462" s="3">
        <v>0</v>
      </c>
      <c r="BC462" s="3">
        <v>0</v>
      </c>
      <c r="BD462" s="3">
        <v>0</v>
      </c>
      <c r="BE462" s="3">
        <v>0</v>
      </c>
      <c r="BG462" s="2" t="s">
        <v>91</v>
      </c>
      <c r="BH462" s="3">
        <v>3</v>
      </c>
      <c r="BI462" s="2" t="s">
        <v>122</v>
      </c>
      <c r="BJ462" s="2" t="s">
        <v>96</v>
      </c>
      <c r="BL462" s="2" t="s">
        <v>97</v>
      </c>
      <c r="BM462" s="2" t="s">
        <v>98</v>
      </c>
      <c r="BN462" s="2" t="s">
        <v>99</v>
      </c>
      <c r="BO462" s="2" t="s">
        <v>100</v>
      </c>
      <c r="BP462" s="2" t="s">
        <v>242</v>
      </c>
      <c r="BQ462" s="2" t="s">
        <v>102</v>
      </c>
      <c r="BR462" s="2" t="s">
        <v>103</v>
      </c>
      <c r="BS462" s="2" t="s">
        <v>104</v>
      </c>
      <c r="BT462" s="2" t="s">
        <v>105</v>
      </c>
      <c r="BU462" s="2" t="s">
        <v>2703</v>
      </c>
      <c r="BV462" s="2" t="s">
        <v>107</v>
      </c>
      <c r="BW462" s="2" t="s">
        <v>108</v>
      </c>
      <c r="BX462" s="2" t="s">
        <v>91</v>
      </c>
      <c r="BY46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62" s="2">
        <f>IF(AND(Cases[[#This Row],[Priority Level]]&gt;=3,Cases[[#This Row],[System Role]]&lt;&gt;"Productive"),1,0)</f>
        <v>1</v>
      </c>
      <c r="CA462" s="2">
        <f>IFERROR(IF(Cases[[#This Row],[Days at Customer]]&gt;MAX(1,Cases[[#This Row],[Days at SAP]]*2),1,0),0)</f>
        <v>1</v>
      </c>
      <c r="CB462" s="2">
        <f>IF(AND(Cases[[#This Row],[Initial Component]]&lt;&gt;"",Cases[[#This Row],[Component]]&lt;&gt;"",Cases[[#This Row],[Initial Component]]&lt;&gt;Cases[[#This Row],[Component]]),1,0)</f>
        <v>1</v>
      </c>
      <c r="CC462" s="2">
        <f>IF(OR(Cases[[#This Row],[Is Reopened]]="X",Cases[[#This Row],[No. of Reopenings]]&gt;0),1,0)</f>
        <v>0</v>
      </c>
      <c r="CD462" s="2">
        <f>IF(Cases[[#This Row],[Confirmation Type]]="Automatic",1,0)</f>
        <v>1</v>
      </c>
      <c r="CE462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463" spans="1:83" x14ac:dyDescent="0.2">
      <c r="A463" s="1" t="s">
        <v>2704</v>
      </c>
      <c r="B463" s="2" t="s">
        <v>2705</v>
      </c>
      <c r="C463" s="2" t="s">
        <v>2706</v>
      </c>
      <c r="D463" s="2" t="s">
        <v>238</v>
      </c>
      <c r="E463" s="3">
        <v>0.01</v>
      </c>
      <c r="F463" s="3">
        <v>21.51</v>
      </c>
      <c r="G463" s="2" t="s">
        <v>79</v>
      </c>
      <c r="H463" s="2" t="s">
        <v>155</v>
      </c>
      <c r="I463" s="3" t="s">
        <v>114</v>
      </c>
      <c r="J463" s="3">
        <v>163</v>
      </c>
      <c r="K463" s="2" t="s">
        <v>2707</v>
      </c>
      <c r="L463" s="4">
        <v>46009</v>
      </c>
      <c r="M463" s="4">
        <v>45985</v>
      </c>
      <c r="N463" s="2" t="s">
        <v>2274</v>
      </c>
      <c r="O463" s="2" t="s">
        <v>1805</v>
      </c>
      <c r="P463" s="2" t="s">
        <v>2275</v>
      </c>
      <c r="Q463" s="2" t="s">
        <v>1806</v>
      </c>
      <c r="R463" s="2" t="s">
        <v>2708</v>
      </c>
      <c r="S463" s="4">
        <v>45964</v>
      </c>
      <c r="T463" s="2" t="s">
        <v>2274</v>
      </c>
      <c r="U463" s="2" t="s">
        <v>1805</v>
      </c>
      <c r="V463" s="2" t="s">
        <v>2583</v>
      </c>
      <c r="W463" s="2" t="s">
        <v>1806</v>
      </c>
      <c r="X463" s="2" t="s">
        <v>117</v>
      </c>
      <c r="Y463" s="3" t="s">
        <v>118</v>
      </c>
      <c r="Z463" s="3">
        <v>21.52</v>
      </c>
      <c r="AA463" s="2" t="s">
        <v>90</v>
      </c>
      <c r="AB463" s="2" t="s">
        <v>2708</v>
      </c>
      <c r="AC463" s="2" t="s">
        <v>2706</v>
      </c>
      <c r="AD463" t="str" cm="1">
        <f t="array" ref="AD46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463" s="2" t="s">
        <v>91</v>
      </c>
      <c r="AF463" s="2" t="s">
        <v>92</v>
      </c>
      <c r="AG463" s="2" t="s">
        <v>119</v>
      </c>
      <c r="AH463" s="2" t="s">
        <v>120</v>
      </c>
      <c r="AK463" s="2" t="s">
        <v>2709</v>
      </c>
      <c r="AN463" s="3">
        <v>1</v>
      </c>
      <c r="AO463" s="3">
        <v>1</v>
      </c>
      <c r="AP463" s="3">
        <v>1</v>
      </c>
      <c r="AQ463" s="3">
        <v>1</v>
      </c>
      <c r="AR463" s="3">
        <v>1</v>
      </c>
      <c r="AS463" s="3">
        <v>0</v>
      </c>
      <c r="AT463" s="3">
        <v>0</v>
      </c>
      <c r="AU463" s="3">
        <v>0</v>
      </c>
      <c r="AV463" s="3">
        <v>1</v>
      </c>
      <c r="AW463" s="3">
        <v>0</v>
      </c>
      <c r="AX463" s="3">
        <v>1</v>
      </c>
      <c r="AY463" s="3">
        <v>0</v>
      </c>
      <c r="AZ463" s="3">
        <v>0</v>
      </c>
      <c r="BA463" s="3">
        <v>0</v>
      </c>
      <c r="BB463" s="3">
        <v>0</v>
      </c>
      <c r="BC463" s="3">
        <v>1</v>
      </c>
      <c r="BD463" s="3">
        <v>0</v>
      </c>
      <c r="BE463" s="3">
        <v>0</v>
      </c>
      <c r="BG463" s="2" t="s">
        <v>91</v>
      </c>
      <c r="BH463" s="3">
        <v>3</v>
      </c>
      <c r="BJ463" s="2" t="s">
        <v>96</v>
      </c>
      <c r="BL463" s="2" t="s">
        <v>123</v>
      </c>
      <c r="BM463" s="2" t="s">
        <v>123</v>
      </c>
      <c r="BN463" s="2" t="s">
        <v>124</v>
      </c>
      <c r="BO463" s="2" t="s">
        <v>125</v>
      </c>
      <c r="BP463" s="2" t="s">
        <v>242</v>
      </c>
      <c r="BQ463" s="2" t="s">
        <v>124</v>
      </c>
      <c r="BR463" s="2" t="s">
        <v>126</v>
      </c>
      <c r="BS463" s="2" t="s">
        <v>127</v>
      </c>
      <c r="BT463" s="2" t="s">
        <v>420</v>
      </c>
      <c r="BU463" s="2" t="s">
        <v>421</v>
      </c>
      <c r="BV463" s="2" t="s">
        <v>150</v>
      </c>
      <c r="BW463" s="2" t="s">
        <v>151</v>
      </c>
      <c r="BX463" s="2" t="s">
        <v>91</v>
      </c>
      <c r="BY46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63" s="2">
        <f>IF(AND(Cases[[#This Row],[Priority Level]]&gt;=3,Cases[[#This Row],[System Role]]&lt;&gt;"Productive"),1,0)</f>
        <v>0</v>
      </c>
      <c r="CA463" s="2">
        <f>IFERROR(IF(Cases[[#This Row],[Days at Customer]]&gt;MAX(1,Cases[[#This Row],[Days at SAP]]*2),1,0),0)</f>
        <v>1</v>
      </c>
      <c r="CB463" s="2">
        <f>IF(AND(Cases[[#This Row],[Initial Component]]&lt;&gt;"",Cases[[#This Row],[Component]]&lt;&gt;"",Cases[[#This Row],[Initial Component]]&lt;&gt;Cases[[#This Row],[Component]]),1,0)</f>
        <v>0</v>
      </c>
      <c r="CC463" s="2">
        <f>IF(OR(Cases[[#This Row],[Is Reopened]]="X",Cases[[#This Row],[No. of Reopenings]]&gt;0),1,0)</f>
        <v>0</v>
      </c>
      <c r="CD463" s="2">
        <f>IF(Cases[[#This Row],[Confirmation Type]]="Automatic",1,0)</f>
        <v>1</v>
      </c>
      <c r="CE463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64" spans="1:83" x14ac:dyDescent="0.2">
      <c r="A464" s="1" t="s">
        <v>2710</v>
      </c>
      <c r="B464" s="2" t="s">
        <v>2711</v>
      </c>
      <c r="C464" s="2" t="s">
        <v>352</v>
      </c>
      <c r="D464" s="2" t="s">
        <v>238</v>
      </c>
      <c r="E464" s="3">
        <v>3.68</v>
      </c>
      <c r="F464" s="3">
        <v>77.650000000000006</v>
      </c>
      <c r="G464" s="2" t="s">
        <v>79</v>
      </c>
      <c r="H464" s="2" t="s">
        <v>80</v>
      </c>
      <c r="I464" s="3" t="s">
        <v>114</v>
      </c>
      <c r="J464" s="3">
        <v>163</v>
      </c>
      <c r="K464" s="2" t="s">
        <v>2712</v>
      </c>
      <c r="L464" s="4">
        <v>46047</v>
      </c>
      <c r="M464" s="4">
        <v>46046</v>
      </c>
      <c r="N464" s="2" t="s">
        <v>1334</v>
      </c>
      <c r="O464" s="2" t="s">
        <v>181</v>
      </c>
      <c r="P464" s="2" t="s">
        <v>83</v>
      </c>
      <c r="Q464" s="2" t="s">
        <v>86</v>
      </c>
      <c r="R464" s="2" t="s">
        <v>351</v>
      </c>
      <c r="S464" s="4">
        <v>45964</v>
      </c>
      <c r="T464" s="2" t="s">
        <v>2274</v>
      </c>
      <c r="U464" s="2" t="s">
        <v>1805</v>
      </c>
      <c r="V464" s="2" t="s">
        <v>2583</v>
      </c>
      <c r="W464" s="2" t="s">
        <v>1806</v>
      </c>
      <c r="X464" s="2" t="s">
        <v>117</v>
      </c>
      <c r="Y464" s="3" t="s">
        <v>118</v>
      </c>
      <c r="Z464" s="3">
        <v>81.33</v>
      </c>
      <c r="AA464" s="2" t="s">
        <v>90</v>
      </c>
      <c r="AB464" s="2" t="s">
        <v>351</v>
      </c>
      <c r="AC464" s="2" t="s">
        <v>352</v>
      </c>
      <c r="AD464" t="str" cm="1">
        <f t="array" ref="AD46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464" s="2" t="s">
        <v>91</v>
      </c>
      <c r="AF464" s="2" t="s">
        <v>92</v>
      </c>
      <c r="AG464" s="2" t="s">
        <v>159</v>
      </c>
      <c r="AH464" s="2" t="s">
        <v>160</v>
      </c>
      <c r="AJ464" s="2" t="s">
        <v>122</v>
      </c>
      <c r="AK464" s="2" t="s">
        <v>2713</v>
      </c>
      <c r="AN464" s="3">
        <v>1</v>
      </c>
      <c r="AO464" s="3">
        <v>1</v>
      </c>
      <c r="AP464" s="3">
        <v>1</v>
      </c>
      <c r="AQ464" s="3">
        <v>1</v>
      </c>
      <c r="AR464" s="3">
        <v>0</v>
      </c>
      <c r="AS464" s="3">
        <v>1</v>
      </c>
      <c r="AT464" s="3">
        <v>0</v>
      </c>
      <c r="AU464" s="3">
        <v>0</v>
      </c>
      <c r="AV464" s="3">
        <v>1</v>
      </c>
      <c r="AW464" s="3">
        <v>0</v>
      </c>
      <c r="AX464" s="3">
        <v>0</v>
      </c>
      <c r="AY464" s="3">
        <v>1</v>
      </c>
      <c r="AZ464" s="3">
        <v>0</v>
      </c>
      <c r="BA464" s="3">
        <v>0</v>
      </c>
      <c r="BB464" s="3">
        <v>0</v>
      </c>
      <c r="BC464" s="3">
        <v>1</v>
      </c>
      <c r="BD464" s="3">
        <v>1</v>
      </c>
      <c r="BE464" s="3">
        <v>0</v>
      </c>
      <c r="BG464" s="2" t="s">
        <v>158</v>
      </c>
      <c r="BH464" s="3">
        <v>1</v>
      </c>
      <c r="BJ464" s="2" t="s">
        <v>96</v>
      </c>
      <c r="BL464" s="2" t="s">
        <v>97</v>
      </c>
      <c r="BM464" s="2" t="s">
        <v>98</v>
      </c>
      <c r="BN464" s="2" t="s">
        <v>99</v>
      </c>
      <c r="BO464" s="2" t="s">
        <v>100</v>
      </c>
      <c r="BP464" s="2" t="s">
        <v>242</v>
      </c>
      <c r="BQ464" s="2" t="s">
        <v>102</v>
      </c>
      <c r="BR464" s="2" t="s">
        <v>103</v>
      </c>
      <c r="BS464" s="2" t="s">
        <v>127</v>
      </c>
      <c r="BT464" s="2" t="s">
        <v>1427</v>
      </c>
      <c r="BU464" s="2" t="s">
        <v>1428</v>
      </c>
      <c r="BV464" s="2" t="s">
        <v>150</v>
      </c>
      <c r="BW464" s="2" t="s">
        <v>151</v>
      </c>
      <c r="BX464" s="2" t="s">
        <v>91</v>
      </c>
      <c r="BY46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64" s="2">
        <f>IF(AND(Cases[[#This Row],[Priority Level]]&gt;=3,Cases[[#This Row],[System Role]]&lt;&gt;"Productive"),1,0)</f>
        <v>0</v>
      </c>
      <c r="CA464" s="2">
        <f>IFERROR(IF(Cases[[#This Row],[Days at Customer]]&gt;MAX(1,Cases[[#This Row],[Days at SAP]]*2),1,0),0)</f>
        <v>1</v>
      </c>
      <c r="CB464" s="2">
        <f>IF(AND(Cases[[#This Row],[Initial Component]]&lt;&gt;"",Cases[[#This Row],[Component]]&lt;&gt;"",Cases[[#This Row],[Initial Component]]&lt;&gt;Cases[[#This Row],[Component]]),1,0)</f>
        <v>0</v>
      </c>
      <c r="CC464" s="2">
        <f>IF(OR(Cases[[#This Row],[Is Reopened]]="X",Cases[[#This Row],[No. of Reopenings]]&gt;0),1,0)</f>
        <v>1</v>
      </c>
      <c r="CD464" s="2">
        <f>IF(Cases[[#This Row],[Confirmation Type]]="Automatic",1,0)</f>
        <v>1</v>
      </c>
      <c r="CE464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65" spans="1:83" x14ac:dyDescent="0.2">
      <c r="A465" s="1" t="s">
        <v>1081</v>
      </c>
      <c r="B465" s="2" t="s">
        <v>1082</v>
      </c>
      <c r="C465" s="2" t="s">
        <v>919</v>
      </c>
      <c r="D465" s="2" t="s">
        <v>78</v>
      </c>
      <c r="E465" s="3">
        <v>1.58</v>
      </c>
      <c r="F465" s="3">
        <v>0.52</v>
      </c>
      <c r="G465" s="2" t="s">
        <v>79</v>
      </c>
      <c r="H465" s="2" t="s">
        <v>80</v>
      </c>
      <c r="I465" s="3" t="s">
        <v>114</v>
      </c>
      <c r="J465" s="3">
        <v>61</v>
      </c>
      <c r="K465" s="2" t="s">
        <v>1083</v>
      </c>
      <c r="L465" s="4">
        <v>46075</v>
      </c>
      <c r="M465" s="4">
        <v>46068</v>
      </c>
      <c r="N465" s="2" t="s">
        <v>677</v>
      </c>
      <c r="O465" s="2" t="s">
        <v>181</v>
      </c>
      <c r="P465" s="2" t="s">
        <v>1079</v>
      </c>
      <c r="Q465" s="2" t="s">
        <v>86</v>
      </c>
      <c r="R465" s="2" t="s">
        <v>918</v>
      </c>
      <c r="S465" s="4">
        <v>46066</v>
      </c>
      <c r="T465" s="2" t="s">
        <v>677</v>
      </c>
      <c r="U465" s="2" t="s">
        <v>181</v>
      </c>
      <c r="V465" s="2" t="s">
        <v>1079</v>
      </c>
      <c r="W465" s="2" t="s">
        <v>86</v>
      </c>
      <c r="X465" s="2" t="s">
        <v>117</v>
      </c>
      <c r="Y465" s="3" t="s">
        <v>118</v>
      </c>
      <c r="Z465" s="3">
        <v>2.1</v>
      </c>
      <c r="AA465" s="2" t="s">
        <v>90</v>
      </c>
      <c r="AB465" s="2" t="s">
        <v>918</v>
      </c>
      <c r="AC465" s="2" t="s">
        <v>919</v>
      </c>
      <c r="AD465" t="str" cm="1">
        <f t="array" ref="AD46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465" s="2" t="s">
        <v>182</v>
      </c>
      <c r="AF465" s="2" t="s">
        <v>92</v>
      </c>
      <c r="AG465" s="2" t="s">
        <v>829</v>
      </c>
      <c r="AH465" s="2" t="s">
        <v>830</v>
      </c>
      <c r="AJ465" s="2" t="s">
        <v>122</v>
      </c>
      <c r="AK465" s="2" t="s">
        <v>1084</v>
      </c>
      <c r="AN465" s="3">
        <v>1</v>
      </c>
      <c r="AO465" s="3">
        <v>1</v>
      </c>
      <c r="AP465" s="3">
        <v>1</v>
      </c>
      <c r="AQ465" s="3">
        <v>1</v>
      </c>
      <c r="AR465" s="3">
        <v>1</v>
      </c>
      <c r="AS465" s="3">
        <v>0</v>
      </c>
      <c r="AT465" s="3">
        <v>0</v>
      </c>
      <c r="AU465" s="3">
        <v>0</v>
      </c>
      <c r="AV465" s="3">
        <v>0</v>
      </c>
      <c r="AW465" s="3">
        <v>1</v>
      </c>
      <c r="AX465" s="3">
        <v>1</v>
      </c>
      <c r="AY465" s="3">
        <v>0</v>
      </c>
      <c r="AZ465" s="3">
        <v>0</v>
      </c>
      <c r="BA465" s="3">
        <v>1</v>
      </c>
      <c r="BB465" s="3">
        <v>0</v>
      </c>
      <c r="BC465" s="3">
        <v>0</v>
      </c>
      <c r="BD465" s="3">
        <v>1</v>
      </c>
      <c r="BE465" s="3">
        <v>0</v>
      </c>
      <c r="BG465" s="2" t="s">
        <v>91</v>
      </c>
      <c r="BH465" s="3">
        <v>3</v>
      </c>
      <c r="BJ465" s="2" t="s">
        <v>96</v>
      </c>
      <c r="BL465" s="2" t="s">
        <v>832</v>
      </c>
      <c r="BM465" s="2" t="s">
        <v>833</v>
      </c>
      <c r="BN465" s="2" t="s">
        <v>99</v>
      </c>
      <c r="BO465" s="2" t="s">
        <v>100</v>
      </c>
      <c r="BP465" s="2" t="s">
        <v>101</v>
      </c>
      <c r="BQ465" s="2" t="s">
        <v>102</v>
      </c>
      <c r="BR465" s="2" t="s">
        <v>103</v>
      </c>
      <c r="BS465" s="2" t="s">
        <v>713</v>
      </c>
      <c r="BT465" s="2" t="s">
        <v>834</v>
      </c>
      <c r="BU465" s="2" t="s">
        <v>835</v>
      </c>
      <c r="BV465" s="2" t="s">
        <v>166</v>
      </c>
      <c r="BW465" s="2" t="s">
        <v>167</v>
      </c>
      <c r="BX465" s="2" t="s">
        <v>182</v>
      </c>
      <c r="BY46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65" s="2">
        <f>IF(AND(Cases[[#This Row],[Priority Level]]&gt;=3,Cases[[#This Row],[System Role]]&lt;&gt;"Productive"),1,0)</f>
        <v>1</v>
      </c>
      <c r="CA465" s="2">
        <f>IFERROR(IF(Cases[[#This Row],[Days at Customer]]&gt;MAX(1,Cases[[#This Row],[Days at SAP]]*2),1,0),0)</f>
        <v>0</v>
      </c>
      <c r="CB465" s="2">
        <f>IF(AND(Cases[[#This Row],[Initial Component]]&lt;&gt;"",Cases[[#This Row],[Component]]&lt;&gt;"",Cases[[#This Row],[Initial Component]]&lt;&gt;Cases[[#This Row],[Component]]),1,0)</f>
        <v>0</v>
      </c>
      <c r="CC465" s="2">
        <f>IF(OR(Cases[[#This Row],[Is Reopened]]="X",Cases[[#This Row],[No. of Reopenings]]&gt;0),1,0)</f>
        <v>1</v>
      </c>
      <c r="CD465" s="2">
        <f>IF(Cases[[#This Row],[Confirmation Type]]="Automatic",1,0)</f>
        <v>0</v>
      </c>
      <c r="CE465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66" spans="1:83" x14ac:dyDescent="0.2">
      <c r="A466" s="1" t="s">
        <v>2719</v>
      </c>
      <c r="B466" s="2" t="s">
        <v>2720</v>
      </c>
      <c r="C466" s="2" t="s">
        <v>2147</v>
      </c>
      <c r="D466" s="2" t="s">
        <v>78</v>
      </c>
      <c r="E466" s="3">
        <v>1.26</v>
      </c>
      <c r="F466" s="3">
        <v>7.63</v>
      </c>
      <c r="G466" s="2" t="s">
        <v>133</v>
      </c>
      <c r="H466" s="2" t="s">
        <v>324</v>
      </c>
      <c r="I466" s="3" t="s">
        <v>114</v>
      </c>
      <c r="J466" s="3">
        <v>164</v>
      </c>
      <c r="K466" s="2" t="s">
        <v>2721</v>
      </c>
      <c r="L466" s="4">
        <v>46064</v>
      </c>
      <c r="M466" s="4">
        <v>45972</v>
      </c>
      <c r="N466" s="2" t="s">
        <v>2274</v>
      </c>
      <c r="O466" s="2" t="s">
        <v>1805</v>
      </c>
      <c r="P466" s="2" t="s">
        <v>2467</v>
      </c>
      <c r="Q466" s="2" t="s">
        <v>1806</v>
      </c>
      <c r="R466" s="2" t="s">
        <v>2149</v>
      </c>
      <c r="S466" s="4">
        <v>45963</v>
      </c>
      <c r="T466" s="2" t="s">
        <v>2274</v>
      </c>
      <c r="U466" s="2" t="s">
        <v>1805</v>
      </c>
      <c r="V466" s="2" t="s">
        <v>2717</v>
      </c>
      <c r="W466" s="2" t="s">
        <v>1806</v>
      </c>
      <c r="X466" s="2" t="s">
        <v>117</v>
      </c>
      <c r="Y466" s="3" t="s">
        <v>118</v>
      </c>
      <c r="Z466" s="3">
        <v>8.8800000000000008</v>
      </c>
      <c r="AA466" s="2" t="s">
        <v>90</v>
      </c>
      <c r="AB466" s="2" t="s">
        <v>2149</v>
      </c>
      <c r="AC466" s="2" t="s">
        <v>2147</v>
      </c>
      <c r="AD466" t="str" cm="1">
        <f t="array" ref="AD46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466" s="2" t="s">
        <v>91</v>
      </c>
      <c r="AF466" s="2" t="s">
        <v>92</v>
      </c>
      <c r="AG466" s="2" t="s">
        <v>119</v>
      </c>
      <c r="AH466" s="2" t="s">
        <v>120</v>
      </c>
      <c r="AK466" s="2" t="s">
        <v>2722</v>
      </c>
      <c r="AN466" s="3">
        <v>1</v>
      </c>
      <c r="AO466" s="3">
        <v>1</v>
      </c>
      <c r="AP466" s="3">
        <v>1</v>
      </c>
      <c r="AQ466" s="3">
        <v>1</v>
      </c>
      <c r="AR466" s="3">
        <v>1</v>
      </c>
      <c r="AS466" s="3">
        <v>0</v>
      </c>
      <c r="AT466" s="3">
        <v>0</v>
      </c>
      <c r="AU466" s="3">
        <v>0</v>
      </c>
      <c r="AV466" s="3">
        <v>0</v>
      </c>
      <c r="AW466" s="3">
        <v>1</v>
      </c>
      <c r="AX466" s="3">
        <v>1</v>
      </c>
      <c r="AY466" s="3">
        <v>0</v>
      </c>
      <c r="AZ466" s="3">
        <v>0</v>
      </c>
      <c r="BA466" s="3">
        <v>0</v>
      </c>
      <c r="BB466" s="3">
        <v>0</v>
      </c>
      <c r="BC466" s="3">
        <v>1</v>
      </c>
      <c r="BD466" s="3">
        <v>0</v>
      </c>
      <c r="BE466" s="3">
        <v>0</v>
      </c>
      <c r="BG466" s="2" t="s">
        <v>91</v>
      </c>
      <c r="BH466" s="3">
        <v>3</v>
      </c>
      <c r="BJ466" s="2" t="s">
        <v>96</v>
      </c>
      <c r="BL466" s="2" t="s">
        <v>123</v>
      </c>
      <c r="BM466" s="2" t="s">
        <v>123</v>
      </c>
      <c r="BN466" s="2" t="s">
        <v>124</v>
      </c>
      <c r="BO466" s="2" t="s">
        <v>125</v>
      </c>
      <c r="BP466" s="2" t="s">
        <v>101</v>
      </c>
      <c r="BQ466" s="2" t="s">
        <v>124</v>
      </c>
      <c r="BR466" s="2" t="s">
        <v>126</v>
      </c>
      <c r="BS466" s="2" t="s">
        <v>127</v>
      </c>
      <c r="BT466" s="2" t="s">
        <v>207</v>
      </c>
      <c r="BU466" s="2" t="s">
        <v>208</v>
      </c>
      <c r="BV466" s="2" t="s">
        <v>150</v>
      </c>
      <c r="BW466" s="2" t="s">
        <v>151</v>
      </c>
      <c r="BX466" s="2" t="s">
        <v>91</v>
      </c>
      <c r="BY46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66" s="2">
        <f>IF(AND(Cases[[#This Row],[Priority Level]]&gt;=3,Cases[[#This Row],[System Role]]&lt;&gt;"Productive"),1,0)</f>
        <v>0</v>
      </c>
      <c r="CA466" s="2">
        <f>IFERROR(IF(Cases[[#This Row],[Days at Customer]]&gt;MAX(1,Cases[[#This Row],[Days at SAP]]*2),1,0),0)</f>
        <v>1</v>
      </c>
      <c r="CB466" s="2">
        <f>IF(AND(Cases[[#This Row],[Initial Component]]&lt;&gt;"",Cases[[#This Row],[Component]]&lt;&gt;"",Cases[[#This Row],[Initial Component]]&lt;&gt;Cases[[#This Row],[Component]]),1,0)</f>
        <v>0</v>
      </c>
      <c r="CC466" s="2">
        <f>IF(OR(Cases[[#This Row],[Is Reopened]]="X",Cases[[#This Row],[No. of Reopenings]]&gt;0),1,0)</f>
        <v>0</v>
      </c>
      <c r="CD466" s="2">
        <f>IF(Cases[[#This Row],[Confirmation Type]]="Automatic",1,0)</f>
        <v>0</v>
      </c>
      <c r="CE466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67" spans="1:83" x14ac:dyDescent="0.2">
      <c r="A467" s="1" t="s">
        <v>1855</v>
      </c>
      <c r="B467" s="2" t="s">
        <v>1856</v>
      </c>
      <c r="C467" s="2" t="s">
        <v>1857</v>
      </c>
      <c r="D467" s="2" t="s">
        <v>238</v>
      </c>
      <c r="E467" s="3">
        <v>20.5</v>
      </c>
      <c r="F467" s="3">
        <v>30.83</v>
      </c>
      <c r="G467" s="2" t="s">
        <v>190</v>
      </c>
      <c r="H467" s="2" t="s">
        <v>191</v>
      </c>
      <c r="I467" s="3" t="s">
        <v>114</v>
      </c>
      <c r="J467" s="3">
        <v>107</v>
      </c>
      <c r="K467" s="2" t="s">
        <v>1858</v>
      </c>
      <c r="L467" s="4">
        <v>46075</v>
      </c>
      <c r="M467" s="4">
        <v>46071</v>
      </c>
      <c r="N467" s="2" t="s">
        <v>677</v>
      </c>
      <c r="O467" s="2" t="s">
        <v>181</v>
      </c>
      <c r="P467" s="2" t="s">
        <v>895</v>
      </c>
      <c r="Q467" s="2" t="s">
        <v>86</v>
      </c>
      <c r="R467" s="2" t="s">
        <v>1859</v>
      </c>
      <c r="S467" s="4">
        <v>46020</v>
      </c>
      <c r="T467" s="2" t="s">
        <v>1804</v>
      </c>
      <c r="U467" s="2" t="s">
        <v>1805</v>
      </c>
      <c r="V467" s="2" t="s">
        <v>1334</v>
      </c>
      <c r="W467" s="2" t="s">
        <v>1806</v>
      </c>
      <c r="X467" s="2" t="s">
        <v>117</v>
      </c>
      <c r="Y467" s="3" t="s">
        <v>118</v>
      </c>
      <c r="Z467" s="3">
        <v>51.33</v>
      </c>
      <c r="AA467" s="2" t="s">
        <v>90</v>
      </c>
      <c r="AB467" s="2" t="s">
        <v>1860</v>
      </c>
      <c r="AC467" s="2" t="s">
        <v>1861</v>
      </c>
      <c r="AD467" t="str" cm="1">
        <f t="array" ref="AD46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467" s="2" t="s">
        <v>139</v>
      </c>
      <c r="AF467" s="2" t="s">
        <v>92</v>
      </c>
      <c r="AG467" s="2" t="s">
        <v>119</v>
      </c>
      <c r="AH467" s="2" t="s">
        <v>120</v>
      </c>
      <c r="AJ467" s="2" t="s">
        <v>122</v>
      </c>
      <c r="AK467" s="2" t="s">
        <v>1862</v>
      </c>
      <c r="AN467" s="3">
        <v>1</v>
      </c>
      <c r="AO467" s="3">
        <v>1</v>
      </c>
      <c r="AP467" s="3">
        <v>1</v>
      </c>
      <c r="AQ467" s="3">
        <v>1</v>
      </c>
      <c r="AR467" s="3">
        <v>0</v>
      </c>
      <c r="AS467" s="3">
        <v>0</v>
      </c>
      <c r="AT467" s="3">
        <v>1</v>
      </c>
      <c r="AU467" s="3">
        <v>0</v>
      </c>
      <c r="AV467" s="3">
        <v>1</v>
      </c>
      <c r="AW467" s="3">
        <v>0</v>
      </c>
      <c r="AX467" s="3">
        <v>0</v>
      </c>
      <c r="AY467" s="3">
        <v>0</v>
      </c>
      <c r="AZ467" s="3">
        <v>1</v>
      </c>
      <c r="BA467" s="3">
        <v>0</v>
      </c>
      <c r="BB467" s="3">
        <v>0</v>
      </c>
      <c r="BC467" s="3">
        <v>1</v>
      </c>
      <c r="BD467" s="3">
        <v>1</v>
      </c>
      <c r="BE467" s="3">
        <v>0</v>
      </c>
      <c r="BG467" s="2" t="s">
        <v>139</v>
      </c>
      <c r="BH467" s="3">
        <v>2</v>
      </c>
      <c r="BJ467" s="2" t="s">
        <v>96</v>
      </c>
      <c r="BL467" s="2" t="s">
        <v>123</v>
      </c>
      <c r="BM467" s="2" t="s">
        <v>123</v>
      </c>
      <c r="BN467" s="2" t="s">
        <v>124</v>
      </c>
      <c r="BO467" s="2" t="s">
        <v>125</v>
      </c>
      <c r="BP467" s="2" t="s">
        <v>242</v>
      </c>
      <c r="BQ467" s="2" t="s">
        <v>124</v>
      </c>
      <c r="BR467" s="2" t="s">
        <v>126</v>
      </c>
      <c r="BS467" s="2" t="s">
        <v>127</v>
      </c>
      <c r="BT467" s="2" t="s">
        <v>207</v>
      </c>
      <c r="BU467" s="2" t="s">
        <v>208</v>
      </c>
      <c r="BV467" s="2" t="s">
        <v>150</v>
      </c>
      <c r="BW467" s="2" t="s">
        <v>151</v>
      </c>
      <c r="BX467" s="2" t="s">
        <v>139</v>
      </c>
      <c r="BY46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67" s="2">
        <f>IF(AND(Cases[[#This Row],[Priority Level]]&gt;=3,Cases[[#This Row],[System Role]]&lt;&gt;"Productive"),1,0)</f>
        <v>0</v>
      </c>
      <c r="CA467" s="2">
        <f>IFERROR(IF(Cases[[#This Row],[Days at Customer]]&gt;MAX(1,Cases[[#This Row],[Days at SAP]]*2),1,0),0)</f>
        <v>0</v>
      </c>
      <c r="CB467" s="2">
        <f>IF(AND(Cases[[#This Row],[Initial Component]]&lt;&gt;"",Cases[[#This Row],[Component]]&lt;&gt;"",Cases[[#This Row],[Initial Component]]&lt;&gt;Cases[[#This Row],[Component]]),1,0)</f>
        <v>1</v>
      </c>
      <c r="CC467" s="2">
        <f>IF(OR(Cases[[#This Row],[Is Reopened]]="X",Cases[[#This Row],[No. of Reopenings]]&gt;0),1,0)</f>
        <v>1</v>
      </c>
      <c r="CD467" s="2">
        <f>IF(Cases[[#This Row],[Confirmation Type]]="Automatic",1,0)</f>
        <v>1</v>
      </c>
      <c r="CE46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68" spans="1:83" x14ac:dyDescent="0.2">
      <c r="A468" s="1" t="s">
        <v>2729</v>
      </c>
      <c r="B468" s="2" t="s">
        <v>2730</v>
      </c>
      <c r="C468" s="2" t="s">
        <v>2731</v>
      </c>
      <c r="D468" s="2" t="s">
        <v>238</v>
      </c>
      <c r="E468" s="3">
        <v>1.66</v>
      </c>
      <c r="F468" s="3">
        <v>21.09</v>
      </c>
      <c r="G468" s="2" t="s">
        <v>79</v>
      </c>
      <c r="H468" s="2" t="s">
        <v>178</v>
      </c>
      <c r="I468" s="3" t="s">
        <v>114</v>
      </c>
      <c r="J468" s="3">
        <v>166</v>
      </c>
      <c r="K468" s="2" t="s">
        <v>2732</v>
      </c>
      <c r="L468" s="4">
        <v>46009</v>
      </c>
      <c r="M468" s="4">
        <v>45983</v>
      </c>
      <c r="N468" s="2" t="s">
        <v>2274</v>
      </c>
      <c r="O468" s="2" t="s">
        <v>1805</v>
      </c>
      <c r="P468" s="2" t="s">
        <v>2404</v>
      </c>
      <c r="Q468" s="2" t="s">
        <v>1806</v>
      </c>
      <c r="R468" s="2" t="s">
        <v>2733</v>
      </c>
      <c r="S468" s="4">
        <v>45961</v>
      </c>
      <c r="T468" s="2" t="s">
        <v>2727</v>
      </c>
      <c r="U468" s="2" t="s">
        <v>1805</v>
      </c>
      <c r="V468" s="2" t="s">
        <v>2717</v>
      </c>
      <c r="W468" s="2" t="s">
        <v>1806</v>
      </c>
      <c r="X468" s="2" t="s">
        <v>117</v>
      </c>
      <c r="Y468" s="3" t="s">
        <v>118</v>
      </c>
      <c r="Z468" s="3">
        <v>22.75</v>
      </c>
      <c r="AA468" s="2" t="s">
        <v>90</v>
      </c>
      <c r="AB468" s="2" t="s">
        <v>2733</v>
      </c>
      <c r="AC468" s="2" t="s">
        <v>2731</v>
      </c>
      <c r="AD468" t="str" cm="1">
        <f t="array" ref="AD46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468" s="2" t="s">
        <v>139</v>
      </c>
      <c r="AF468" s="2" t="s">
        <v>92</v>
      </c>
      <c r="AG468" s="2" t="s">
        <v>1069</v>
      </c>
      <c r="AH468" s="2" t="s">
        <v>1070</v>
      </c>
      <c r="AK468" s="2" t="s">
        <v>2734</v>
      </c>
      <c r="AN468" s="3">
        <v>1</v>
      </c>
      <c r="AO468" s="3">
        <v>1</v>
      </c>
      <c r="AP468" s="3">
        <v>1</v>
      </c>
      <c r="AQ468" s="3">
        <v>1</v>
      </c>
      <c r="AR468" s="3">
        <v>0</v>
      </c>
      <c r="AS468" s="3">
        <v>0</v>
      </c>
      <c r="AT468" s="3">
        <v>1</v>
      </c>
      <c r="AU468" s="3">
        <v>0</v>
      </c>
      <c r="AV468" s="3">
        <v>1</v>
      </c>
      <c r="AW468" s="3">
        <v>0</v>
      </c>
      <c r="AX468" s="3">
        <v>0</v>
      </c>
      <c r="AY468" s="3">
        <v>0</v>
      </c>
      <c r="AZ468" s="3">
        <v>1</v>
      </c>
      <c r="BA468" s="3">
        <v>0</v>
      </c>
      <c r="BB468" s="3">
        <v>0</v>
      </c>
      <c r="BC468" s="3">
        <v>1</v>
      </c>
      <c r="BD468" s="3">
        <v>0</v>
      </c>
      <c r="BE468" s="3">
        <v>0</v>
      </c>
      <c r="BG468" s="2" t="s">
        <v>139</v>
      </c>
      <c r="BH468" s="3">
        <v>2</v>
      </c>
      <c r="BJ468" s="2" t="s">
        <v>96</v>
      </c>
      <c r="BL468" s="2" t="s">
        <v>556</v>
      </c>
      <c r="BM468" s="2" t="s">
        <v>557</v>
      </c>
      <c r="BN468" s="2" t="s">
        <v>99</v>
      </c>
      <c r="BO468" s="2" t="s">
        <v>100</v>
      </c>
      <c r="BP468" s="2" t="s">
        <v>242</v>
      </c>
      <c r="BQ468" s="2" t="s">
        <v>102</v>
      </c>
      <c r="BR468" s="2" t="s">
        <v>103</v>
      </c>
      <c r="BS468" s="2" t="s">
        <v>127</v>
      </c>
      <c r="BT468" s="2" t="s">
        <v>1072</v>
      </c>
      <c r="BU468" s="2" t="s">
        <v>1073</v>
      </c>
      <c r="BV468" s="2" t="s">
        <v>150</v>
      </c>
      <c r="BW468" s="2" t="s">
        <v>151</v>
      </c>
      <c r="BX468" s="2" t="s">
        <v>139</v>
      </c>
      <c r="BY46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68" s="2">
        <f>IF(AND(Cases[[#This Row],[Priority Level]]&gt;=3,Cases[[#This Row],[System Role]]&lt;&gt;"Productive"),1,0)</f>
        <v>0</v>
      </c>
      <c r="CA468" s="2">
        <f>IFERROR(IF(Cases[[#This Row],[Days at Customer]]&gt;MAX(1,Cases[[#This Row],[Days at SAP]]*2),1,0),0)</f>
        <v>1</v>
      </c>
      <c r="CB468" s="2">
        <f>IF(AND(Cases[[#This Row],[Initial Component]]&lt;&gt;"",Cases[[#This Row],[Component]]&lt;&gt;"",Cases[[#This Row],[Initial Component]]&lt;&gt;Cases[[#This Row],[Component]]),1,0)</f>
        <v>0</v>
      </c>
      <c r="CC468" s="2">
        <f>IF(OR(Cases[[#This Row],[Is Reopened]]="X",Cases[[#This Row],[No. of Reopenings]]&gt;0),1,0)</f>
        <v>0</v>
      </c>
      <c r="CD468" s="2">
        <f>IF(Cases[[#This Row],[Confirmation Type]]="Automatic",1,0)</f>
        <v>1</v>
      </c>
      <c r="CE468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69" spans="1:83" x14ac:dyDescent="0.2">
      <c r="A469" s="1" t="s">
        <v>2735</v>
      </c>
      <c r="B469" s="2" t="s">
        <v>2736</v>
      </c>
      <c r="C469" s="2" t="s">
        <v>406</v>
      </c>
      <c r="D469" s="2" t="s">
        <v>78</v>
      </c>
      <c r="E469" s="3">
        <v>1.1399999999999999</v>
      </c>
      <c r="F469" s="3">
        <v>11.89</v>
      </c>
      <c r="G469" s="2" t="s">
        <v>79</v>
      </c>
      <c r="H469" s="2" t="s">
        <v>178</v>
      </c>
      <c r="I469" s="3" t="s">
        <v>114</v>
      </c>
      <c r="J469" s="3">
        <v>166</v>
      </c>
      <c r="K469" s="2" t="s">
        <v>2737</v>
      </c>
      <c r="L469" s="4">
        <v>46065</v>
      </c>
      <c r="M469" s="4">
        <v>45974</v>
      </c>
      <c r="N469" s="2" t="s">
        <v>2274</v>
      </c>
      <c r="O469" s="2" t="s">
        <v>1805</v>
      </c>
      <c r="P469" s="2" t="s">
        <v>2467</v>
      </c>
      <c r="Q469" s="2" t="s">
        <v>1806</v>
      </c>
      <c r="R469" s="2" t="s">
        <v>408</v>
      </c>
      <c r="S469" s="4">
        <v>45961</v>
      </c>
      <c r="T469" s="2" t="s">
        <v>2727</v>
      </c>
      <c r="U469" s="2" t="s">
        <v>1805</v>
      </c>
      <c r="V469" s="2" t="s">
        <v>2717</v>
      </c>
      <c r="W469" s="2" t="s">
        <v>1806</v>
      </c>
      <c r="X469" s="2" t="s">
        <v>117</v>
      </c>
      <c r="Y469" s="3" t="s">
        <v>118</v>
      </c>
      <c r="Z469" s="3">
        <v>13.03</v>
      </c>
      <c r="AA469" s="2" t="s">
        <v>90</v>
      </c>
      <c r="AB469" s="2" t="s">
        <v>408</v>
      </c>
      <c r="AC469" s="2" t="s">
        <v>406</v>
      </c>
      <c r="AD469" t="str" cm="1">
        <f t="array" ref="AD46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469" s="2" t="s">
        <v>91</v>
      </c>
      <c r="AF469" s="2" t="s">
        <v>92</v>
      </c>
      <c r="AG469" s="2" t="s">
        <v>119</v>
      </c>
      <c r="AH469" s="2" t="s">
        <v>120</v>
      </c>
      <c r="AJ469" s="2" t="s">
        <v>122</v>
      </c>
      <c r="AK469" s="2" t="s">
        <v>2738</v>
      </c>
      <c r="AN469" s="3">
        <v>1</v>
      </c>
      <c r="AO469" s="3">
        <v>1</v>
      </c>
      <c r="AP469" s="3">
        <v>1</v>
      </c>
      <c r="AQ469" s="3">
        <v>1</v>
      </c>
      <c r="AR469" s="3">
        <v>1</v>
      </c>
      <c r="AS469" s="3">
        <v>0</v>
      </c>
      <c r="AT469" s="3">
        <v>0</v>
      </c>
      <c r="AU469" s="3">
        <v>0</v>
      </c>
      <c r="AV469" s="3">
        <v>0</v>
      </c>
      <c r="AW469" s="3">
        <v>1</v>
      </c>
      <c r="AX469" s="3">
        <v>1</v>
      </c>
      <c r="AY469" s="3">
        <v>0</v>
      </c>
      <c r="AZ469" s="3">
        <v>0</v>
      </c>
      <c r="BA469" s="3">
        <v>1</v>
      </c>
      <c r="BB469" s="3">
        <v>0</v>
      </c>
      <c r="BC469" s="3">
        <v>0</v>
      </c>
      <c r="BD469" s="3">
        <v>5</v>
      </c>
      <c r="BE469" s="3">
        <v>0</v>
      </c>
      <c r="BG469" s="2" t="s">
        <v>91</v>
      </c>
      <c r="BH469" s="3">
        <v>3</v>
      </c>
      <c r="BJ469" s="2" t="s">
        <v>96</v>
      </c>
      <c r="BL469" s="2" t="s">
        <v>123</v>
      </c>
      <c r="BM469" s="2" t="s">
        <v>123</v>
      </c>
      <c r="BN469" s="2" t="s">
        <v>124</v>
      </c>
      <c r="BO469" s="2" t="s">
        <v>125</v>
      </c>
      <c r="BP469" s="2" t="s">
        <v>101</v>
      </c>
      <c r="BQ469" s="2" t="s">
        <v>124</v>
      </c>
      <c r="BR469" s="2" t="s">
        <v>126</v>
      </c>
      <c r="BS469" s="2" t="s">
        <v>127</v>
      </c>
      <c r="BT469" s="2" t="s">
        <v>199</v>
      </c>
      <c r="BU469" s="2" t="s">
        <v>200</v>
      </c>
      <c r="BV469" s="2" t="s">
        <v>166</v>
      </c>
      <c r="BW469" s="2" t="s">
        <v>167</v>
      </c>
      <c r="BX469" s="2" t="s">
        <v>91</v>
      </c>
      <c r="BY46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69" s="2">
        <f>IF(AND(Cases[[#This Row],[Priority Level]]&gt;=3,Cases[[#This Row],[System Role]]&lt;&gt;"Productive"),1,0)</f>
        <v>1</v>
      </c>
      <c r="CA469" s="2">
        <f>IFERROR(IF(Cases[[#This Row],[Days at Customer]]&gt;MAX(1,Cases[[#This Row],[Days at SAP]]*2),1,0),0)</f>
        <v>1</v>
      </c>
      <c r="CB469" s="2">
        <f>IF(AND(Cases[[#This Row],[Initial Component]]&lt;&gt;"",Cases[[#This Row],[Component]]&lt;&gt;"",Cases[[#This Row],[Initial Component]]&lt;&gt;Cases[[#This Row],[Component]]),1,0)</f>
        <v>0</v>
      </c>
      <c r="CC469" s="2">
        <f>IF(OR(Cases[[#This Row],[Is Reopened]]="X",Cases[[#This Row],[No. of Reopenings]]&gt;0),1,0)</f>
        <v>1</v>
      </c>
      <c r="CD469" s="2">
        <f>IF(Cases[[#This Row],[Confirmation Type]]="Automatic",1,0)</f>
        <v>0</v>
      </c>
      <c r="CE469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470" spans="1:83" x14ac:dyDescent="0.2">
      <c r="A470" s="1" t="s">
        <v>915</v>
      </c>
      <c r="B470" s="2" t="s">
        <v>916</v>
      </c>
      <c r="C470" s="2" t="s">
        <v>826</v>
      </c>
      <c r="D470" s="2" t="s">
        <v>78</v>
      </c>
      <c r="E470" s="3">
        <v>1.07</v>
      </c>
      <c r="F470" s="3">
        <v>1.1399999999999999</v>
      </c>
      <c r="G470" s="2" t="s">
        <v>79</v>
      </c>
      <c r="H470" s="2" t="s">
        <v>80</v>
      </c>
      <c r="I470" s="3" t="s">
        <v>114</v>
      </c>
      <c r="J470" s="3">
        <v>53</v>
      </c>
      <c r="K470" s="2" t="s">
        <v>917</v>
      </c>
      <c r="L470" s="4">
        <v>46082</v>
      </c>
      <c r="M470" s="4">
        <v>46076</v>
      </c>
      <c r="N470" s="2" t="s">
        <v>677</v>
      </c>
      <c r="O470" s="2" t="s">
        <v>181</v>
      </c>
      <c r="P470" s="2" t="s">
        <v>678</v>
      </c>
      <c r="Q470" s="2" t="s">
        <v>86</v>
      </c>
      <c r="R470" s="2" t="s">
        <v>828</v>
      </c>
      <c r="S470" s="4">
        <v>46074</v>
      </c>
      <c r="T470" s="2" t="s">
        <v>677</v>
      </c>
      <c r="U470" s="2" t="s">
        <v>181</v>
      </c>
      <c r="V470" s="2" t="s">
        <v>895</v>
      </c>
      <c r="W470" s="2" t="s">
        <v>86</v>
      </c>
      <c r="X470" s="2" t="s">
        <v>117</v>
      </c>
      <c r="Y470" s="3" t="s">
        <v>118</v>
      </c>
      <c r="Z470" s="3">
        <v>2.21</v>
      </c>
      <c r="AA470" s="2" t="s">
        <v>90</v>
      </c>
      <c r="AB470" s="2" t="s">
        <v>918</v>
      </c>
      <c r="AC470" s="2" t="s">
        <v>919</v>
      </c>
      <c r="AD470" t="str" cm="1">
        <f t="array" ref="AD47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470" s="2" t="s">
        <v>182</v>
      </c>
      <c r="AF470" s="2" t="s">
        <v>92</v>
      </c>
      <c r="AG470" s="2" t="s">
        <v>829</v>
      </c>
      <c r="AH470" s="2" t="s">
        <v>830</v>
      </c>
      <c r="AJ470" s="2" t="s">
        <v>122</v>
      </c>
      <c r="AK470" s="2" t="s">
        <v>920</v>
      </c>
      <c r="AN470" s="3">
        <v>1</v>
      </c>
      <c r="AO470" s="3">
        <v>1</v>
      </c>
      <c r="AP470" s="3">
        <v>1</v>
      </c>
      <c r="AQ470" s="3">
        <v>1</v>
      </c>
      <c r="AR470" s="3">
        <v>1</v>
      </c>
      <c r="AS470" s="3">
        <v>0</v>
      </c>
      <c r="AT470" s="3">
        <v>0</v>
      </c>
      <c r="AU470" s="3">
        <v>0</v>
      </c>
      <c r="AV470" s="3">
        <v>0</v>
      </c>
      <c r="AW470" s="3">
        <v>1</v>
      </c>
      <c r="AX470" s="3">
        <v>1</v>
      </c>
      <c r="AY470" s="3">
        <v>0</v>
      </c>
      <c r="AZ470" s="3">
        <v>0</v>
      </c>
      <c r="BA470" s="3">
        <v>0</v>
      </c>
      <c r="BB470" s="3">
        <v>0</v>
      </c>
      <c r="BC470" s="3">
        <v>1</v>
      </c>
      <c r="BD470" s="3">
        <v>1</v>
      </c>
      <c r="BE470" s="3">
        <v>0</v>
      </c>
      <c r="BG470" s="2" t="s">
        <v>91</v>
      </c>
      <c r="BH470" s="3">
        <v>3</v>
      </c>
      <c r="BJ470" s="2" t="s">
        <v>96</v>
      </c>
      <c r="BL470" s="2" t="s">
        <v>832</v>
      </c>
      <c r="BM470" s="2" t="s">
        <v>833</v>
      </c>
      <c r="BN470" s="2" t="s">
        <v>99</v>
      </c>
      <c r="BO470" s="2" t="s">
        <v>100</v>
      </c>
      <c r="BP470" s="2" t="s">
        <v>101</v>
      </c>
      <c r="BQ470" s="2" t="s">
        <v>102</v>
      </c>
      <c r="BR470" s="2" t="s">
        <v>103</v>
      </c>
      <c r="BS470" s="2" t="s">
        <v>127</v>
      </c>
      <c r="BT470" s="2" t="s">
        <v>921</v>
      </c>
      <c r="BU470" s="2" t="s">
        <v>922</v>
      </c>
      <c r="BV470" s="2" t="s">
        <v>150</v>
      </c>
      <c r="BW470" s="2" t="s">
        <v>151</v>
      </c>
      <c r="BX470" s="2" t="s">
        <v>182</v>
      </c>
      <c r="BY47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70" s="2">
        <f>IF(AND(Cases[[#This Row],[Priority Level]]&gt;=3,Cases[[#This Row],[System Role]]&lt;&gt;"Productive"),1,0)</f>
        <v>0</v>
      </c>
      <c r="CA470" s="2">
        <f>IFERROR(IF(Cases[[#This Row],[Days at Customer]]&gt;MAX(1,Cases[[#This Row],[Days at SAP]]*2),1,0),0)</f>
        <v>0</v>
      </c>
      <c r="CB470" s="2">
        <f>IF(AND(Cases[[#This Row],[Initial Component]]&lt;&gt;"",Cases[[#This Row],[Component]]&lt;&gt;"",Cases[[#This Row],[Initial Component]]&lt;&gt;Cases[[#This Row],[Component]]),1,0)</f>
        <v>1</v>
      </c>
      <c r="CC470" s="2">
        <f>IF(OR(Cases[[#This Row],[Is Reopened]]="X",Cases[[#This Row],[No. of Reopenings]]&gt;0),1,0)</f>
        <v>1</v>
      </c>
      <c r="CD470" s="2">
        <f>IF(Cases[[#This Row],[Confirmation Type]]="Automatic",1,0)</f>
        <v>0</v>
      </c>
      <c r="CE47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71" spans="1:83" x14ac:dyDescent="0.2">
      <c r="A471" s="1" t="s">
        <v>2743</v>
      </c>
      <c r="B471" s="2" t="s">
        <v>2744</v>
      </c>
      <c r="C471" s="2" t="s">
        <v>77</v>
      </c>
      <c r="D471" s="2" t="s">
        <v>78</v>
      </c>
      <c r="E471" s="3">
        <v>3.11</v>
      </c>
      <c r="F471" s="3">
        <v>0.53</v>
      </c>
      <c r="G471" s="2" t="s">
        <v>79</v>
      </c>
      <c r="H471" s="2" t="s">
        <v>155</v>
      </c>
      <c r="I471" s="3" t="s">
        <v>114</v>
      </c>
      <c r="J471" s="3">
        <v>166</v>
      </c>
      <c r="K471" s="2" t="s">
        <v>2745</v>
      </c>
      <c r="L471" s="4">
        <v>46061</v>
      </c>
      <c r="M471" s="4">
        <v>45965</v>
      </c>
      <c r="N471" s="2" t="s">
        <v>2274</v>
      </c>
      <c r="O471" s="2" t="s">
        <v>1805</v>
      </c>
      <c r="P471" s="2" t="s">
        <v>2583</v>
      </c>
      <c r="Q471" s="2" t="s">
        <v>1806</v>
      </c>
      <c r="R471" s="2" t="s">
        <v>87</v>
      </c>
      <c r="S471" s="4">
        <v>45961</v>
      </c>
      <c r="T471" s="2" t="s">
        <v>2727</v>
      </c>
      <c r="U471" s="2" t="s">
        <v>1805</v>
      </c>
      <c r="V471" s="2" t="s">
        <v>2717</v>
      </c>
      <c r="W471" s="2" t="s">
        <v>1806</v>
      </c>
      <c r="X471" s="2" t="s">
        <v>117</v>
      </c>
      <c r="Y471" s="3" t="s">
        <v>118</v>
      </c>
      <c r="Z471" s="3">
        <v>3.64</v>
      </c>
      <c r="AA471" s="2" t="s">
        <v>90</v>
      </c>
      <c r="AB471" s="2" t="s">
        <v>87</v>
      </c>
      <c r="AC471" s="2" t="s">
        <v>77</v>
      </c>
      <c r="AD471" t="str" cm="1">
        <f t="array" ref="AD47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471" s="2" t="s">
        <v>91</v>
      </c>
      <c r="AF471" s="2" t="s">
        <v>92</v>
      </c>
      <c r="AG471" s="2" t="s">
        <v>119</v>
      </c>
      <c r="AH471" s="2" t="s">
        <v>120</v>
      </c>
      <c r="AK471" s="2" t="s">
        <v>2746</v>
      </c>
      <c r="AN471" s="3">
        <v>1</v>
      </c>
      <c r="AO471" s="3">
        <v>1</v>
      </c>
      <c r="AP471" s="3">
        <v>1</v>
      </c>
      <c r="AQ471" s="3">
        <v>1</v>
      </c>
      <c r="AR471" s="3">
        <v>1</v>
      </c>
      <c r="AS471" s="3">
        <v>0</v>
      </c>
      <c r="AT471" s="3">
        <v>0</v>
      </c>
      <c r="AU471" s="3">
        <v>0</v>
      </c>
      <c r="AV471" s="3">
        <v>0</v>
      </c>
      <c r="AW471" s="3">
        <v>1</v>
      </c>
      <c r="AX471" s="3">
        <v>1</v>
      </c>
      <c r="AY471" s="3">
        <v>0</v>
      </c>
      <c r="AZ471" s="3">
        <v>0</v>
      </c>
      <c r="BA471" s="3">
        <v>1</v>
      </c>
      <c r="BB471" s="3">
        <v>0</v>
      </c>
      <c r="BC471" s="3">
        <v>0</v>
      </c>
      <c r="BD471" s="3">
        <v>0</v>
      </c>
      <c r="BE471" s="3">
        <v>0</v>
      </c>
      <c r="BG471" s="2" t="s">
        <v>91</v>
      </c>
      <c r="BH471" s="3">
        <v>3</v>
      </c>
      <c r="BJ471" s="2" t="s">
        <v>96</v>
      </c>
      <c r="BL471" s="2" t="s">
        <v>123</v>
      </c>
      <c r="BM471" s="2" t="s">
        <v>123</v>
      </c>
      <c r="BN471" s="2" t="s">
        <v>124</v>
      </c>
      <c r="BO471" s="2" t="s">
        <v>125</v>
      </c>
      <c r="BP471" s="2" t="s">
        <v>101</v>
      </c>
      <c r="BQ471" s="2" t="s">
        <v>124</v>
      </c>
      <c r="BR471" s="2" t="s">
        <v>126</v>
      </c>
      <c r="BS471" s="2" t="s">
        <v>127</v>
      </c>
      <c r="BT471" s="2" t="s">
        <v>199</v>
      </c>
      <c r="BU471" s="2" t="s">
        <v>200</v>
      </c>
      <c r="BV471" s="2" t="s">
        <v>166</v>
      </c>
      <c r="BW471" s="2" t="s">
        <v>167</v>
      </c>
      <c r="BX471" s="2" t="s">
        <v>91</v>
      </c>
      <c r="BY47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71" s="2">
        <f>IF(AND(Cases[[#This Row],[Priority Level]]&gt;=3,Cases[[#This Row],[System Role]]&lt;&gt;"Productive"),1,0)</f>
        <v>1</v>
      </c>
      <c r="CA471" s="2">
        <f>IFERROR(IF(Cases[[#This Row],[Days at Customer]]&gt;MAX(1,Cases[[#This Row],[Days at SAP]]*2),1,0),0)</f>
        <v>0</v>
      </c>
      <c r="CB471" s="2">
        <f>IF(AND(Cases[[#This Row],[Initial Component]]&lt;&gt;"",Cases[[#This Row],[Component]]&lt;&gt;"",Cases[[#This Row],[Initial Component]]&lt;&gt;Cases[[#This Row],[Component]]),1,0)</f>
        <v>0</v>
      </c>
      <c r="CC471" s="2">
        <f>IF(OR(Cases[[#This Row],[Is Reopened]]="X",Cases[[#This Row],[No. of Reopenings]]&gt;0),1,0)</f>
        <v>0</v>
      </c>
      <c r="CD471" s="2">
        <f>IF(Cases[[#This Row],[Confirmation Type]]="Automatic",1,0)</f>
        <v>0</v>
      </c>
      <c r="CE471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72" spans="1:83" x14ac:dyDescent="0.2">
      <c r="A472" s="1" t="s">
        <v>2747</v>
      </c>
      <c r="B472" s="2" t="s">
        <v>2748</v>
      </c>
      <c r="C472" s="2" t="s">
        <v>572</v>
      </c>
      <c r="D472" s="2" t="s">
        <v>238</v>
      </c>
      <c r="E472" s="3">
        <v>26.31</v>
      </c>
      <c r="F472" s="3">
        <v>30.06</v>
      </c>
      <c r="G472" s="2" t="s">
        <v>190</v>
      </c>
      <c r="H472" s="2" t="s">
        <v>666</v>
      </c>
      <c r="I472" s="3" t="s">
        <v>114</v>
      </c>
      <c r="J472" s="3">
        <v>166</v>
      </c>
      <c r="K472" s="2" t="s">
        <v>2749</v>
      </c>
      <c r="L472" s="4">
        <v>46019</v>
      </c>
      <c r="M472" s="4">
        <v>46018</v>
      </c>
      <c r="N472" s="2" t="s">
        <v>1804</v>
      </c>
      <c r="O472" s="2" t="s">
        <v>1805</v>
      </c>
      <c r="P472" s="2" t="s">
        <v>1868</v>
      </c>
      <c r="Q472" s="2" t="s">
        <v>1806</v>
      </c>
      <c r="R472" s="2" t="s">
        <v>574</v>
      </c>
      <c r="S472" s="4">
        <v>45961</v>
      </c>
      <c r="T472" s="2" t="s">
        <v>2727</v>
      </c>
      <c r="U472" s="2" t="s">
        <v>1805</v>
      </c>
      <c r="V472" s="2" t="s">
        <v>2717</v>
      </c>
      <c r="W472" s="2" t="s">
        <v>1806</v>
      </c>
      <c r="X472" s="2" t="s">
        <v>117</v>
      </c>
      <c r="Y472" s="3" t="s">
        <v>118</v>
      </c>
      <c r="Z472" s="3">
        <v>56.37</v>
      </c>
      <c r="AA472" s="2" t="s">
        <v>138</v>
      </c>
      <c r="AB472" s="2" t="s">
        <v>477</v>
      </c>
      <c r="AC472" s="2" t="s">
        <v>475</v>
      </c>
      <c r="AD472" t="str" cm="1">
        <f t="array" ref="AD47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472" s="2" t="s">
        <v>91</v>
      </c>
      <c r="AF472" s="2" t="s">
        <v>92</v>
      </c>
      <c r="AG472" s="2" t="s">
        <v>274</v>
      </c>
      <c r="AH472" s="2" t="s">
        <v>275</v>
      </c>
      <c r="AK472" s="2" t="s">
        <v>2750</v>
      </c>
      <c r="AN472" s="3">
        <v>1</v>
      </c>
      <c r="AO472" s="3">
        <v>1</v>
      </c>
      <c r="AP472" s="3">
        <v>1</v>
      </c>
      <c r="AQ472" s="3">
        <v>1</v>
      </c>
      <c r="AR472" s="3">
        <v>0</v>
      </c>
      <c r="AS472" s="3">
        <v>0</v>
      </c>
      <c r="AT472" s="3">
        <v>1</v>
      </c>
      <c r="AU472" s="3">
        <v>0</v>
      </c>
      <c r="AV472" s="3">
        <v>1</v>
      </c>
      <c r="AW472" s="3">
        <v>0</v>
      </c>
      <c r="AX472" s="3">
        <v>0</v>
      </c>
      <c r="AY472" s="3">
        <v>0</v>
      </c>
      <c r="AZ472" s="3">
        <v>1</v>
      </c>
      <c r="BA472" s="3">
        <v>0</v>
      </c>
      <c r="BB472" s="3">
        <v>0</v>
      </c>
      <c r="BC472" s="3">
        <v>1</v>
      </c>
      <c r="BD472" s="3">
        <v>0</v>
      </c>
      <c r="BE472" s="3">
        <v>0</v>
      </c>
      <c r="BG472" s="2" t="s">
        <v>139</v>
      </c>
      <c r="BH472" s="3">
        <v>2</v>
      </c>
      <c r="BJ472" s="2" t="s">
        <v>96</v>
      </c>
      <c r="BL472" s="2" t="s">
        <v>2751</v>
      </c>
      <c r="BM472" s="2" t="s">
        <v>2752</v>
      </c>
      <c r="BN472" s="2" t="s">
        <v>279</v>
      </c>
      <c r="BO472" s="2" t="s">
        <v>280</v>
      </c>
      <c r="BP472" s="2" t="s">
        <v>242</v>
      </c>
      <c r="BQ472" s="2" t="s">
        <v>448</v>
      </c>
      <c r="BR472" s="2" t="s">
        <v>449</v>
      </c>
      <c r="BS472" s="2" t="s">
        <v>450</v>
      </c>
      <c r="BT472" s="2" t="s">
        <v>148</v>
      </c>
      <c r="BU472" s="2" t="s">
        <v>2753</v>
      </c>
      <c r="BV472" s="2" t="s">
        <v>150</v>
      </c>
      <c r="BW472" s="2" t="s">
        <v>151</v>
      </c>
      <c r="BX472" s="2" t="s">
        <v>91</v>
      </c>
      <c r="BY47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72" s="2">
        <f>IF(AND(Cases[[#This Row],[Priority Level]]&gt;=3,Cases[[#This Row],[System Role]]&lt;&gt;"Productive"),1,0)</f>
        <v>0</v>
      </c>
      <c r="CA472" s="2">
        <f>IFERROR(IF(Cases[[#This Row],[Days at Customer]]&gt;MAX(1,Cases[[#This Row],[Days at SAP]]*2),1,0),0)</f>
        <v>0</v>
      </c>
      <c r="CB472" s="2">
        <f>IF(AND(Cases[[#This Row],[Initial Component]]&lt;&gt;"",Cases[[#This Row],[Component]]&lt;&gt;"",Cases[[#This Row],[Initial Component]]&lt;&gt;Cases[[#This Row],[Component]]),1,0)</f>
        <v>1</v>
      </c>
      <c r="CC472" s="2">
        <f>IF(OR(Cases[[#This Row],[Is Reopened]]="X",Cases[[#This Row],[No. of Reopenings]]&gt;0),1,0)</f>
        <v>0</v>
      </c>
      <c r="CD472" s="2">
        <f>IF(Cases[[#This Row],[Confirmation Type]]="Automatic",1,0)</f>
        <v>1</v>
      </c>
      <c r="CE472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73" spans="1:83" x14ac:dyDescent="0.2">
      <c r="A473" s="1" t="s">
        <v>2754</v>
      </c>
      <c r="B473" s="2" t="s">
        <v>2755</v>
      </c>
      <c r="C473" s="2" t="s">
        <v>231</v>
      </c>
      <c r="D473" s="2" t="s">
        <v>238</v>
      </c>
      <c r="E473" s="3">
        <v>0.56000000000000005</v>
      </c>
      <c r="F473" s="3">
        <v>24.81</v>
      </c>
      <c r="G473" s="2" t="s">
        <v>79</v>
      </c>
      <c r="H473" s="2" t="s">
        <v>178</v>
      </c>
      <c r="I473" s="3" t="s">
        <v>114</v>
      </c>
      <c r="J473" s="3">
        <v>166</v>
      </c>
      <c r="K473" s="2" t="s">
        <v>2756</v>
      </c>
      <c r="L473" s="4">
        <v>46009</v>
      </c>
      <c r="M473" s="4">
        <v>45987</v>
      </c>
      <c r="N473" s="2" t="s">
        <v>2274</v>
      </c>
      <c r="O473" s="2" t="s">
        <v>1805</v>
      </c>
      <c r="P473" s="2" t="s">
        <v>2275</v>
      </c>
      <c r="Q473" s="2" t="s">
        <v>1806</v>
      </c>
      <c r="R473" s="2" t="s">
        <v>233</v>
      </c>
      <c r="S473" s="4">
        <v>45961</v>
      </c>
      <c r="T473" s="2" t="s">
        <v>2727</v>
      </c>
      <c r="U473" s="2" t="s">
        <v>1805</v>
      </c>
      <c r="V473" s="2" t="s">
        <v>2717</v>
      </c>
      <c r="W473" s="2" t="s">
        <v>1806</v>
      </c>
      <c r="X473" s="2" t="s">
        <v>117</v>
      </c>
      <c r="Y473" s="3" t="s">
        <v>118</v>
      </c>
      <c r="Z473" s="3">
        <v>25.37</v>
      </c>
      <c r="AA473" s="2" t="s">
        <v>90</v>
      </c>
      <c r="AB473" s="2" t="s">
        <v>233</v>
      </c>
      <c r="AC473" s="2" t="s">
        <v>231</v>
      </c>
      <c r="AD473" t="str" cm="1">
        <f t="array" ref="AD47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473" s="2" t="s">
        <v>91</v>
      </c>
      <c r="AF473" s="2" t="s">
        <v>92</v>
      </c>
      <c r="AG473" s="2" t="s">
        <v>119</v>
      </c>
      <c r="AH473" s="2" t="s">
        <v>120</v>
      </c>
      <c r="AK473" s="2" t="s">
        <v>2757</v>
      </c>
      <c r="AN473" s="3">
        <v>1</v>
      </c>
      <c r="AO473" s="3">
        <v>1</v>
      </c>
      <c r="AP473" s="3">
        <v>1</v>
      </c>
      <c r="AQ473" s="3">
        <v>1</v>
      </c>
      <c r="AR473" s="3">
        <v>1</v>
      </c>
      <c r="AS473" s="3">
        <v>0</v>
      </c>
      <c r="AT473" s="3">
        <v>0</v>
      </c>
      <c r="AU473" s="3">
        <v>0</v>
      </c>
      <c r="AV473" s="3">
        <v>1</v>
      </c>
      <c r="AW473" s="3">
        <v>0</v>
      </c>
      <c r="AX473" s="3">
        <v>1</v>
      </c>
      <c r="AY473" s="3">
        <v>0</v>
      </c>
      <c r="AZ473" s="3">
        <v>0</v>
      </c>
      <c r="BA473" s="3">
        <v>0</v>
      </c>
      <c r="BB473" s="3">
        <v>0</v>
      </c>
      <c r="BC473" s="3">
        <v>1</v>
      </c>
      <c r="BD473" s="3">
        <v>0</v>
      </c>
      <c r="BE473" s="3">
        <v>0</v>
      </c>
      <c r="BG473" s="2" t="s">
        <v>91</v>
      </c>
      <c r="BH473" s="3">
        <v>3</v>
      </c>
      <c r="BJ473" s="2" t="s">
        <v>96</v>
      </c>
      <c r="BL473" s="2" t="s">
        <v>123</v>
      </c>
      <c r="BM473" s="2" t="s">
        <v>123</v>
      </c>
      <c r="BN473" s="2" t="s">
        <v>124</v>
      </c>
      <c r="BO473" s="2" t="s">
        <v>125</v>
      </c>
      <c r="BP473" s="2" t="s">
        <v>242</v>
      </c>
      <c r="BQ473" s="2" t="s">
        <v>124</v>
      </c>
      <c r="BR473" s="2" t="s">
        <v>126</v>
      </c>
      <c r="BS473" s="2" t="s">
        <v>127</v>
      </c>
      <c r="BT473" s="2" t="s">
        <v>207</v>
      </c>
      <c r="BU473" s="2" t="s">
        <v>208</v>
      </c>
      <c r="BV473" s="2" t="s">
        <v>150</v>
      </c>
      <c r="BW473" s="2" t="s">
        <v>151</v>
      </c>
      <c r="BX473" s="2" t="s">
        <v>91</v>
      </c>
      <c r="BY47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73" s="2">
        <f>IF(AND(Cases[[#This Row],[Priority Level]]&gt;=3,Cases[[#This Row],[System Role]]&lt;&gt;"Productive"),1,0)</f>
        <v>0</v>
      </c>
      <c r="CA473" s="2">
        <f>IFERROR(IF(Cases[[#This Row],[Days at Customer]]&gt;MAX(1,Cases[[#This Row],[Days at SAP]]*2),1,0),0)</f>
        <v>1</v>
      </c>
      <c r="CB473" s="2">
        <f>IF(AND(Cases[[#This Row],[Initial Component]]&lt;&gt;"",Cases[[#This Row],[Component]]&lt;&gt;"",Cases[[#This Row],[Initial Component]]&lt;&gt;Cases[[#This Row],[Component]]),1,0)</f>
        <v>0</v>
      </c>
      <c r="CC473" s="2">
        <f>IF(OR(Cases[[#This Row],[Is Reopened]]="X",Cases[[#This Row],[No. of Reopenings]]&gt;0),1,0)</f>
        <v>0</v>
      </c>
      <c r="CD473" s="2">
        <f>IF(Cases[[#This Row],[Confirmation Type]]="Automatic",1,0)</f>
        <v>1</v>
      </c>
      <c r="CE473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74" spans="1:83" x14ac:dyDescent="0.2">
      <c r="A474" s="1" t="s">
        <v>2758</v>
      </c>
      <c r="B474" s="2" t="s">
        <v>2759</v>
      </c>
      <c r="C474" s="2" t="s">
        <v>994</v>
      </c>
      <c r="D474" s="2" t="s">
        <v>238</v>
      </c>
      <c r="E474" s="3">
        <v>0.17</v>
      </c>
      <c r="F474" s="3">
        <v>21.39</v>
      </c>
      <c r="G474" s="2" t="s">
        <v>79</v>
      </c>
      <c r="H474" s="2" t="s">
        <v>178</v>
      </c>
      <c r="I474" s="3" t="s">
        <v>114</v>
      </c>
      <c r="J474" s="3">
        <v>166</v>
      </c>
      <c r="K474" s="2" t="s">
        <v>2760</v>
      </c>
      <c r="L474" s="4">
        <v>46009</v>
      </c>
      <c r="M474" s="4">
        <v>45983</v>
      </c>
      <c r="N474" s="2" t="s">
        <v>2274</v>
      </c>
      <c r="O474" s="2" t="s">
        <v>1805</v>
      </c>
      <c r="P474" s="2" t="s">
        <v>2404</v>
      </c>
      <c r="Q474" s="2" t="s">
        <v>1806</v>
      </c>
      <c r="R474" s="2" t="s">
        <v>997</v>
      </c>
      <c r="S474" s="4">
        <v>45961</v>
      </c>
      <c r="T474" s="2" t="s">
        <v>2727</v>
      </c>
      <c r="U474" s="2" t="s">
        <v>1805</v>
      </c>
      <c r="V474" s="2" t="s">
        <v>2717</v>
      </c>
      <c r="W474" s="2" t="s">
        <v>1806</v>
      </c>
      <c r="X474" s="2" t="s">
        <v>117</v>
      </c>
      <c r="Y474" s="3" t="s">
        <v>118</v>
      </c>
      <c r="Z474" s="3">
        <v>21.56</v>
      </c>
      <c r="AA474" s="2" t="s">
        <v>90</v>
      </c>
      <c r="AB474" s="2" t="s">
        <v>997</v>
      </c>
      <c r="AC474" s="2" t="s">
        <v>994</v>
      </c>
      <c r="AD474" t="str" cm="1">
        <f t="array" ref="AD47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474" s="2" t="s">
        <v>139</v>
      </c>
      <c r="AF474" s="2" t="s">
        <v>92</v>
      </c>
      <c r="AG474" s="2" t="s">
        <v>540</v>
      </c>
      <c r="AH474" s="2" t="s">
        <v>541</v>
      </c>
      <c r="AK474" s="2" t="s">
        <v>2761</v>
      </c>
      <c r="AN474" s="3">
        <v>1</v>
      </c>
      <c r="AO474" s="3">
        <v>1</v>
      </c>
      <c r="AP474" s="3">
        <v>1</v>
      </c>
      <c r="AQ474" s="3">
        <v>1</v>
      </c>
      <c r="AR474" s="3">
        <v>0</v>
      </c>
      <c r="AS474" s="3">
        <v>0</v>
      </c>
      <c r="AT474" s="3">
        <v>1</v>
      </c>
      <c r="AU474" s="3">
        <v>0</v>
      </c>
      <c r="AV474" s="3">
        <v>1</v>
      </c>
      <c r="AW474" s="3">
        <v>0</v>
      </c>
      <c r="AX474" s="3">
        <v>0</v>
      </c>
      <c r="AY474" s="3">
        <v>0</v>
      </c>
      <c r="AZ474" s="3">
        <v>1</v>
      </c>
      <c r="BA474" s="3">
        <v>0</v>
      </c>
      <c r="BB474" s="3">
        <v>0</v>
      </c>
      <c r="BC474" s="3">
        <v>1</v>
      </c>
      <c r="BD474" s="3">
        <v>0</v>
      </c>
      <c r="BE474" s="3">
        <v>0</v>
      </c>
      <c r="BG474" s="2" t="s">
        <v>139</v>
      </c>
      <c r="BH474" s="3">
        <v>2</v>
      </c>
      <c r="BJ474" s="2" t="s">
        <v>96</v>
      </c>
      <c r="BL474" s="2" t="s">
        <v>382</v>
      </c>
      <c r="BM474" s="2" t="s">
        <v>382</v>
      </c>
      <c r="BN474" s="2" t="s">
        <v>99</v>
      </c>
      <c r="BO474" s="2" t="s">
        <v>100</v>
      </c>
      <c r="BP474" s="2" t="s">
        <v>242</v>
      </c>
      <c r="BQ474" s="2" t="s">
        <v>383</v>
      </c>
      <c r="BR474" s="2" t="s">
        <v>384</v>
      </c>
      <c r="BS474" s="2" t="s">
        <v>713</v>
      </c>
      <c r="BT474" s="2" t="s">
        <v>1132</v>
      </c>
      <c r="BU474" s="2" t="s">
        <v>1133</v>
      </c>
      <c r="BV474" s="2" t="s">
        <v>150</v>
      </c>
      <c r="BW474" s="2" t="s">
        <v>151</v>
      </c>
      <c r="BX474" s="2" t="s">
        <v>139</v>
      </c>
      <c r="BY47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74" s="2">
        <f>IF(AND(Cases[[#This Row],[Priority Level]]&gt;=3,Cases[[#This Row],[System Role]]&lt;&gt;"Productive"),1,0)</f>
        <v>0</v>
      </c>
      <c r="CA474" s="2">
        <f>IFERROR(IF(Cases[[#This Row],[Days at Customer]]&gt;MAX(1,Cases[[#This Row],[Days at SAP]]*2),1,0),0)</f>
        <v>1</v>
      </c>
      <c r="CB474" s="2">
        <f>IF(AND(Cases[[#This Row],[Initial Component]]&lt;&gt;"",Cases[[#This Row],[Component]]&lt;&gt;"",Cases[[#This Row],[Initial Component]]&lt;&gt;Cases[[#This Row],[Component]]),1,0)</f>
        <v>0</v>
      </c>
      <c r="CC474" s="2">
        <f>IF(OR(Cases[[#This Row],[Is Reopened]]="X",Cases[[#This Row],[No. of Reopenings]]&gt;0),1,0)</f>
        <v>0</v>
      </c>
      <c r="CD474" s="2">
        <f>IF(Cases[[#This Row],[Confirmation Type]]="Automatic",1,0)</f>
        <v>1</v>
      </c>
      <c r="CE474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75" spans="1:83" x14ac:dyDescent="0.2">
      <c r="A475" s="1" t="s">
        <v>1271</v>
      </c>
      <c r="B475" s="2" t="s">
        <v>1272</v>
      </c>
      <c r="C475" s="2" t="s">
        <v>111</v>
      </c>
      <c r="D475" s="2" t="s">
        <v>238</v>
      </c>
      <c r="E475" s="3">
        <v>0</v>
      </c>
      <c r="F475" s="3">
        <v>21.63</v>
      </c>
      <c r="G475" s="2" t="s">
        <v>112</v>
      </c>
      <c r="H475" s="2" t="s">
        <v>113</v>
      </c>
      <c r="I475" s="3" t="s">
        <v>114</v>
      </c>
      <c r="J475" s="3">
        <v>70</v>
      </c>
      <c r="K475" s="2" t="s">
        <v>1273</v>
      </c>
      <c r="L475" s="4">
        <v>46082</v>
      </c>
      <c r="M475" s="4">
        <v>46079</v>
      </c>
      <c r="N475" s="2" t="s">
        <v>677</v>
      </c>
      <c r="O475" s="2" t="s">
        <v>181</v>
      </c>
      <c r="P475" s="2" t="s">
        <v>678</v>
      </c>
      <c r="Q475" s="2" t="s">
        <v>86</v>
      </c>
      <c r="R475" s="2" t="s">
        <v>116</v>
      </c>
      <c r="S475" s="4">
        <v>46057</v>
      </c>
      <c r="T475" s="2" t="s">
        <v>677</v>
      </c>
      <c r="U475" s="2" t="s">
        <v>181</v>
      </c>
      <c r="V475" s="2" t="s">
        <v>1165</v>
      </c>
      <c r="W475" s="2" t="s">
        <v>86</v>
      </c>
      <c r="X475" s="2" t="s">
        <v>117</v>
      </c>
      <c r="Y475" s="3" t="s">
        <v>118</v>
      </c>
      <c r="Z475" s="3">
        <v>21.63</v>
      </c>
      <c r="AA475" s="2" t="s">
        <v>90</v>
      </c>
      <c r="AB475" s="2" t="s">
        <v>116</v>
      </c>
      <c r="AC475" s="2" t="s">
        <v>111</v>
      </c>
      <c r="AD475" t="str" cm="1">
        <f t="array" ref="AD47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475" s="2" t="s">
        <v>139</v>
      </c>
      <c r="AF475" s="2" t="s">
        <v>92</v>
      </c>
      <c r="AG475" s="2" t="s">
        <v>119</v>
      </c>
      <c r="AH475" s="2" t="s">
        <v>120</v>
      </c>
      <c r="AK475" s="2" t="s">
        <v>1274</v>
      </c>
      <c r="AN475" s="3">
        <v>1</v>
      </c>
      <c r="AO475" s="3">
        <v>1</v>
      </c>
      <c r="AP475" s="3">
        <v>1</v>
      </c>
      <c r="AQ475" s="3">
        <v>1</v>
      </c>
      <c r="AR475" s="3">
        <v>0</v>
      </c>
      <c r="AS475" s="3">
        <v>0</v>
      </c>
      <c r="AT475" s="3">
        <v>1</v>
      </c>
      <c r="AU475" s="3">
        <v>0</v>
      </c>
      <c r="AV475" s="3">
        <v>1</v>
      </c>
      <c r="AW475" s="3">
        <v>0</v>
      </c>
      <c r="AX475" s="3">
        <v>0</v>
      </c>
      <c r="AY475" s="3">
        <v>0</v>
      </c>
      <c r="AZ475" s="3">
        <v>1</v>
      </c>
      <c r="BA475" s="3">
        <v>1</v>
      </c>
      <c r="BB475" s="3">
        <v>0</v>
      </c>
      <c r="BC475" s="3">
        <v>0</v>
      </c>
      <c r="BD475" s="3">
        <v>0</v>
      </c>
      <c r="BE475" s="3">
        <v>0</v>
      </c>
      <c r="BG475" s="2" t="s">
        <v>139</v>
      </c>
      <c r="BH475" s="3">
        <v>2</v>
      </c>
      <c r="BI475" s="2" t="s">
        <v>122</v>
      </c>
      <c r="BJ475" s="2" t="s">
        <v>96</v>
      </c>
      <c r="BL475" s="2" t="s">
        <v>123</v>
      </c>
      <c r="BM475" s="2" t="s">
        <v>123</v>
      </c>
      <c r="BN475" s="2" t="s">
        <v>124</v>
      </c>
      <c r="BO475" s="2" t="s">
        <v>125</v>
      </c>
      <c r="BP475" s="2" t="s">
        <v>242</v>
      </c>
      <c r="BQ475" s="2" t="s">
        <v>124</v>
      </c>
      <c r="BR475" s="2" t="s">
        <v>126</v>
      </c>
      <c r="BS475" s="2" t="s">
        <v>127</v>
      </c>
      <c r="BT475" s="2" t="s">
        <v>199</v>
      </c>
      <c r="BU475" s="2" t="s">
        <v>200</v>
      </c>
      <c r="BV475" s="2" t="s">
        <v>166</v>
      </c>
      <c r="BW475" s="2" t="s">
        <v>167</v>
      </c>
      <c r="BX475" s="2" t="s">
        <v>139</v>
      </c>
      <c r="BY47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75" s="2">
        <f>IF(AND(Cases[[#This Row],[Priority Level]]&gt;=3,Cases[[#This Row],[System Role]]&lt;&gt;"Productive"),1,0)</f>
        <v>0</v>
      </c>
      <c r="CA475" s="2">
        <f>IFERROR(IF(Cases[[#This Row],[Days at Customer]]&gt;MAX(1,Cases[[#This Row],[Days at SAP]]*2),1,0),0)</f>
        <v>1</v>
      </c>
      <c r="CB475" s="2">
        <f>IF(AND(Cases[[#This Row],[Initial Component]]&lt;&gt;"",Cases[[#This Row],[Component]]&lt;&gt;"",Cases[[#This Row],[Initial Component]]&lt;&gt;Cases[[#This Row],[Component]]),1,0)</f>
        <v>0</v>
      </c>
      <c r="CC475" s="2">
        <f>IF(OR(Cases[[#This Row],[Is Reopened]]="X",Cases[[#This Row],[No. of Reopenings]]&gt;0),1,0)</f>
        <v>0</v>
      </c>
      <c r="CD475" s="2">
        <f>IF(Cases[[#This Row],[Confirmation Type]]="Automatic",1,0)</f>
        <v>1</v>
      </c>
      <c r="CE475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76" spans="1:83" x14ac:dyDescent="0.2">
      <c r="A476" s="1" t="s">
        <v>2766</v>
      </c>
      <c r="B476" s="2" t="s">
        <v>2767</v>
      </c>
      <c r="C476" s="2" t="s">
        <v>2768</v>
      </c>
      <c r="D476" s="2" t="s">
        <v>238</v>
      </c>
      <c r="E476" s="3">
        <v>2.48</v>
      </c>
      <c r="F476" s="3">
        <v>33.82</v>
      </c>
      <c r="G476" s="2" t="s">
        <v>190</v>
      </c>
      <c r="H476" s="2" t="s">
        <v>191</v>
      </c>
      <c r="I476" s="3" t="s">
        <v>114</v>
      </c>
      <c r="J476" s="3">
        <v>167</v>
      </c>
      <c r="K476" s="2" t="s">
        <v>2769</v>
      </c>
      <c r="L476" s="4">
        <v>46009</v>
      </c>
      <c r="M476" s="4">
        <v>45997</v>
      </c>
      <c r="N476" s="2" t="s">
        <v>1804</v>
      </c>
      <c r="O476" s="2" t="s">
        <v>1805</v>
      </c>
      <c r="P476" s="2" t="s">
        <v>2169</v>
      </c>
      <c r="Q476" s="2" t="s">
        <v>1806</v>
      </c>
      <c r="R476" s="2" t="s">
        <v>1352</v>
      </c>
      <c r="S476" s="4">
        <v>45960</v>
      </c>
      <c r="T476" s="2" t="s">
        <v>2727</v>
      </c>
      <c r="U476" s="2" t="s">
        <v>1805</v>
      </c>
      <c r="V476" s="2" t="s">
        <v>2717</v>
      </c>
      <c r="W476" s="2" t="s">
        <v>1806</v>
      </c>
      <c r="X476" s="2" t="s">
        <v>117</v>
      </c>
      <c r="Y476" s="3" t="s">
        <v>118</v>
      </c>
      <c r="Z476" s="3">
        <v>36.299999999999997</v>
      </c>
      <c r="AA476" s="2" t="s">
        <v>90</v>
      </c>
      <c r="AB476" s="2" t="s">
        <v>1352</v>
      </c>
      <c r="AC476" s="2" t="s">
        <v>2768</v>
      </c>
      <c r="AD476" t="str" cm="1">
        <f t="array" ref="AD47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476" s="2" t="s">
        <v>91</v>
      </c>
      <c r="AF476" s="2" t="s">
        <v>92</v>
      </c>
      <c r="AG476" s="2" t="s">
        <v>119</v>
      </c>
      <c r="AH476" s="2" t="s">
        <v>120</v>
      </c>
      <c r="AK476" s="2" t="s">
        <v>2770</v>
      </c>
      <c r="AN476" s="3">
        <v>1</v>
      </c>
      <c r="AO476" s="3">
        <v>1</v>
      </c>
      <c r="AP476" s="3">
        <v>1</v>
      </c>
      <c r="AQ476" s="3">
        <v>1</v>
      </c>
      <c r="AR476" s="3">
        <v>1</v>
      </c>
      <c r="AS476" s="3">
        <v>0</v>
      </c>
      <c r="AT476" s="3">
        <v>0</v>
      </c>
      <c r="AU476" s="3">
        <v>0</v>
      </c>
      <c r="AV476" s="3">
        <v>1</v>
      </c>
      <c r="AW476" s="3">
        <v>0</v>
      </c>
      <c r="AX476" s="3">
        <v>1</v>
      </c>
      <c r="AY476" s="3">
        <v>0</v>
      </c>
      <c r="AZ476" s="3">
        <v>0</v>
      </c>
      <c r="BA476" s="3">
        <v>0</v>
      </c>
      <c r="BB476" s="3">
        <v>0</v>
      </c>
      <c r="BC476" s="3">
        <v>1</v>
      </c>
      <c r="BD476" s="3">
        <v>0</v>
      </c>
      <c r="BE476" s="3">
        <v>0</v>
      </c>
      <c r="BG476" s="2" t="s">
        <v>91</v>
      </c>
      <c r="BH476" s="3">
        <v>3</v>
      </c>
      <c r="BJ476" s="2" t="s">
        <v>96</v>
      </c>
      <c r="BL476" s="2" t="s">
        <v>123</v>
      </c>
      <c r="BM476" s="2" t="s">
        <v>123</v>
      </c>
      <c r="BN476" s="2" t="s">
        <v>124</v>
      </c>
      <c r="BO476" s="2" t="s">
        <v>125</v>
      </c>
      <c r="BP476" s="2" t="s">
        <v>242</v>
      </c>
      <c r="BQ476" s="2" t="s">
        <v>124</v>
      </c>
      <c r="BR476" s="2" t="s">
        <v>126</v>
      </c>
      <c r="BS476" s="2" t="s">
        <v>127</v>
      </c>
      <c r="BT476" s="2" t="s">
        <v>207</v>
      </c>
      <c r="BU476" s="2" t="s">
        <v>208</v>
      </c>
      <c r="BV476" s="2" t="s">
        <v>150</v>
      </c>
      <c r="BW476" s="2" t="s">
        <v>151</v>
      </c>
      <c r="BX476" s="2" t="s">
        <v>91</v>
      </c>
      <c r="BY47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76" s="2">
        <f>IF(AND(Cases[[#This Row],[Priority Level]]&gt;=3,Cases[[#This Row],[System Role]]&lt;&gt;"Productive"),1,0)</f>
        <v>0</v>
      </c>
      <c r="CA476" s="2">
        <f>IFERROR(IF(Cases[[#This Row],[Days at Customer]]&gt;MAX(1,Cases[[#This Row],[Days at SAP]]*2),1,0),0)</f>
        <v>1</v>
      </c>
      <c r="CB476" s="2">
        <f>IF(AND(Cases[[#This Row],[Initial Component]]&lt;&gt;"",Cases[[#This Row],[Component]]&lt;&gt;"",Cases[[#This Row],[Initial Component]]&lt;&gt;Cases[[#This Row],[Component]]),1,0)</f>
        <v>0</v>
      </c>
      <c r="CC476" s="2">
        <f>IF(OR(Cases[[#This Row],[Is Reopened]]="X",Cases[[#This Row],[No. of Reopenings]]&gt;0),1,0)</f>
        <v>0</v>
      </c>
      <c r="CD476" s="2">
        <f>IF(Cases[[#This Row],[Confirmation Type]]="Automatic",1,0)</f>
        <v>1</v>
      </c>
      <c r="CE476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77" spans="1:83" x14ac:dyDescent="0.2">
      <c r="A477" s="1" t="s">
        <v>598</v>
      </c>
      <c r="B477" s="2" t="s">
        <v>599</v>
      </c>
      <c r="C477" s="2" t="s">
        <v>203</v>
      </c>
      <c r="D477" s="2" t="s">
        <v>78</v>
      </c>
      <c r="E477" s="3">
        <v>0</v>
      </c>
      <c r="F477" s="3">
        <v>0</v>
      </c>
      <c r="G477" s="2" t="s">
        <v>112</v>
      </c>
      <c r="H477" s="2" t="s">
        <v>113</v>
      </c>
      <c r="I477" s="3" t="s">
        <v>114</v>
      </c>
      <c r="J477" s="3">
        <v>42</v>
      </c>
      <c r="K477" s="2" t="s">
        <v>600</v>
      </c>
      <c r="L477" s="4">
        <v>46089</v>
      </c>
      <c r="M477" s="4">
        <v>46085</v>
      </c>
      <c r="N477" s="2" t="s">
        <v>180</v>
      </c>
      <c r="O477" s="2" t="s">
        <v>181</v>
      </c>
      <c r="P477" s="2" t="s">
        <v>526</v>
      </c>
      <c r="Q477" s="2" t="s">
        <v>86</v>
      </c>
      <c r="R477" s="2" t="s">
        <v>205</v>
      </c>
      <c r="S477" s="4">
        <v>46085</v>
      </c>
      <c r="T477" s="2" t="s">
        <v>180</v>
      </c>
      <c r="U477" s="2" t="s">
        <v>181</v>
      </c>
      <c r="V477" s="2" t="s">
        <v>526</v>
      </c>
      <c r="W477" s="2" t="s">
        <v>86</v>
      </c>
      <c r="X477" s="2" t="s">
        <v>117</v>
      </c>
      <c r="Y477" s="3" t="s">
        <v>118</v>
      </c>
      <c r="Z477" s="3">
        <v>0</v>
      </c>
      <c r="AA477" s="2" t="s">
        <v>90</v>
      </c>
      <c r="AB477" s="2" t="s">
        <v>205</v>
      </c>
      <c r="AC477" s="2" t="s">
        <v>203</v>
      </c>
      <c r="AD477" t="str" cm="1">
        <f t="array" ref="AD47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477" s="2" t="s">
        <v>139</v>
      </c>
      <c r="AF477" s="2" t="s">
        <v>92</v>
      </c>
      <c r="AG477" s="2" t="s">
        <v>527</v>
      </c>
      <c r="AH477" s="2" t="s">
        <v>528</v>
      </c>
      <c r="AK477" s="2" t="s">
        <v>601</v>
      </c>
      <c r="AN477" s="3">
        <v>1</v>
      </c>
      <c r="AO477" s="3">
        <v>1</v>
      </c>
      <c r="AP477" s="3">
        <v>1</v>
      </c>
      <c r="AQ477" s="3">
        <v>1</v>
      </c>
      <c r="AR477" s="3">
        <v>0</v>
      </c>
      <c r="AS477" s="3">
        <v>0</v>
      </c>
      <c r="AT477" s="3">
        <v>1</v>
      </c>
      <c r="AU477" s="3">
        <v>0</v>
      </c>
      <c r="AV477" s="3">
        <v>0</v>
      </c>
      <c r="AW477" s="3">
        <v>1</v>
      </c>
      <c r="AX477" s="3">
        <v>0</v>
      </c>
      <c r="AY477" s="3">
        <v>0</v>
      </c>
      <c r="AZ477" s="3">
        <v>1</v>
      </c>
      <c r="BA477" s="3">
        <v>0</v>
      </c>
      <c r="BB477" s="3">
        <v>0</v>
      </c>
      <c r="BC477" s="3">
        <v>1</v>
      </c>
      <c r="BD477" s="3">
        <v>0</v>
      </c>
      <c r="BE477" s="3">
        <v>0</v>
      </c>
      <c r="BG477" s="2" t="s">
        <v>139</v>
      </c>
      <c r="BH477" s="3">
        <v>2</v>
      </c>
      <c r="BI477" s="2" t="s">
        <v>122</v>
      </c>
      <c r="BJ477" s="2" t="s">
        <v>96</v>
      </c>
      <c r="BL477" s="2" t="s">
        <v>184</v>
      </c>
      <c r="BM477" s="2" t="s">
        <v>184</v>
      </c>
      <c r="BN477" s="2" t="s">
        <v>124</v>
      </c>
      <c r="BO477" s="2" t="s">
        <v>125</v>
      </c>
      <c r="BP477" s="2" t="s">
        <v>101</v>
      </c>
      <c r="BQ477" s="2" t="s">
        <v>124</v>
      </c>
      <c r="BR477" s="2" t="s">
        <v>126</v>
      </c>
      <c r="BS477" s="2" t="s">
        <v>127</v>
      </c>
      <c r="BT477" s="2" t="s">
        <v>185</v>
      </c>
      <c r="BU477" s="2" t="s">
        <v>530</v>
      </c>
      <c r="BV477" s="2" t="s">
        <v>150</v>
      </c>
      <c r="BW477" s="2" t="s">
        <v>151</v>
      </c>
      <c r="BX477" s="2" t="s">
        <v>139</v>
      </c>
      <c r="BY47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77" s="2">
        <f>IF(AND(Cases[[#This Row],[Priority Level]]&gt;=3,Cases[[#This Row],[System Role]]&lt;&gt;"Productive"),1,0)</f>
        <v>0</v>
      </c>
      <c r="CA477" s="2">
        <f>IFERROR(IF(Cases[[#This Row],[Days at Customer]]&gt;MAX(1,Cases[[#This Row],[Days at SAP]]*2),1,0),0)</f>
        <v>0</v>
      </c>
      <c r="CB477" s="2">
        <f>IF(AND(Cases[[#This Row],[Initial Component]]&lt;&gt;"",Cases[[#This Row],[Component]]&lt;&gt;"",Cases[[#This Row],[Initial Component]]&lt;&gt;Cases[[#This Row],[Component]]),1,0)</f>
        <v>0</v>
      </c>
      <c r="CC477" s="2">
        <f>IF(OR(Cases[[#This Row],[Is Reopened]]="X",Cases[[#This Row],[No. of Reopenings]]&gt;0),1,0)</f>
        <v>0</v>
      </c>
      <c r="CD477" s="2">
        <f>IF(Cases[[#This Row],[Confirmation Type]]="Automatic",1,0)</f>
        <v>0</v>
      </c>
      <c r="CE477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478" spans="1:83" x14ac:dyDescent="0.2">
      <c r="A478" s="1" t="s">
        <v>2775</v>
      </c>
      <c r="B478" s="2" t="s">
        <v>2776</v>
      </c>
      <c r="C478" s="2" t="s">
        <v>2777</v>
      </c>
      <c r="D478" s="2" t="s">
        <v>238</v>
      </c>
      <c r="E478" s="3">
        <v>11.78</v>
      </c>
      <c r="F478" s="3">
        <v>35.909999999999997</v>
      </c>
      <c r="G478" s="2" t="s">
        <v>79</v>
      </c>
      <c r="H478" s="2" t="s">
        <v>290</v>
      </c>
      <c r="I478" s="3" t="s">
        <v>114</v>
      </c>
      <c r="J478" s="3">
        <v>167</v>
      </c>
      <c r="K478" s="2" t="s">
        <v>2778</v>
      </c>
      <c r="L478" s="4">
        <v>46012</v>
      </c>
      <c r="M478" s="4">
        <v>46008</v>
      </c>
      <c r="N478" s="2" t="s">
        <v>1804</v>
      </c>
      <c r="O478" s="2" t="s">
        <v>1805</v>
      </c>
      <c r="P478" s="2" t="s">
        <v>1930</v>
      </c>
      <c r="Q478" s="2" t="s">
        <v>1806</v>
      </c>
      <c r="R478" s="2" t="s">
        <v>2779</v>
      </c>
      <c r="S478" s="4">
        <v>45960</v>
      </c>
      <c r="T478" s="2" t="s">
        <v>2727</v>
      </c>
      <c r="U478" s="2" t="s">
        <v>1805</v>
      </c>
      <c r="V478" s="2" t="s">
        <v>2717</v>
      </c>
      <c r="W478" s="2" t="s">
        <v>1806</v>
      </c>
      <c r="X478" s="2" t="s">
        <v>117</v>
      </c>
      <c r="Y478" s="3" t="s">
        <v>118</v>
      </c>
      <c r="Z478" s="3">
        <v>47.7</v>
      </c>
      <c r="AA478" s="2" t="s">
        <v>90</v>
      </c>
      <c r="AB478" s="2" t="s">
        <v>2780</v>
      </c>
      <c r="AC478" s="2" t="s">
        <v>2781</v>
      </c>
      <c r="AD478" t="str" cm="1">
        <f t="array" ref="AD47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478" s="2" t="s">
        <v>139</v>
      </c>
      <c r="AF478" s="2" t="s">
        <v>92</v>
      </c>
      <c r="AG478" s="2" t="s">
        <v>119</v>
      </c>
      <c r="AH478" s="2" t="s">
        <v>120</v>
      </c>
      <c r="AJ478" s="2" t="s">
        <v>122</v>
      </c>
      <c r="AK478" s="2" t="s">
        <v>2782</v>
      </c>
      <c r="AN478" s="3">
        <v>1</v>
      </c>
      <c r="AO478" s="3">
        <v>1</v>
      </c>
      <c r="AP478" s="3">
        <v>1</v>
      </c>
      <c r="AQ478" s="3">
        <v>1</v>
      </c>
      <c r="AR478" s="3">
        <v>0</v>
      </c>
      <c r="AS478" s="3">
        <v>0</v>
      </c>
      <c r="AT478" s="3">
        <v>1</v>
      </c>
      <c r="AU478" s="3">
        <v>0</v>
      </c>
      <c r="AV478" s="3">
        <v>1</v>
      </c>
      <c r="AW478" s="3">
        <v>0</v>
      </c>
      <c r="AX478" s="3">
        <v>0</v>
      </c>
      <c r="AY478" s="3">
        <v>0</v>
      </c>
      <c r="AZ478" s="3">
        <v>1</v>
      </c>
      <c r="BA478" s="3">
        <v>1</v>
      </c>
      <c r="BB478" s="3">
        <v>0</v>
      </c>
      <c r="BC478" s="3">
        <v>0</v>
      </c>
      <c r="BD478" s="3">
        <v>1</v>
      </c>
      <c r="BE478" s="3">
        <v>0</v>
      </c>
      <c r="BG478" s="2" t="s">
        <v>139</v>
      </c>
      <c r="BH478" s="3">
        <v>2</v>
      </c>
      <c r="BJ478" s="2" t="s">
        <v>96</v>
      </c>
      <c r="BL478" s="2" t="s">
        <v>123</v>
      </c>
      <c r="BM478" s="2" t="s">
        <v>123</v>
      </c>
      <c r="BN478" s="2" t="s">
        <v>124</v>
      </c>
      <c r="BO478" s="2" t="s">
        <v>125</v>
      </c>
      <c r="BP478" s="2" t="s">
        <v>242</v>
      </c>
      <c r="BQ478" s="2" t="s">
        <v>124</v>
      </c>
      <c r="BR478" s="2" t="s">
        <v>126</v>
      </c>
      <c r="BS478" s="2" t="s">
        <v>127</v>
      </c>
      <c r="BT478" s="2" t="s">
        <v>199</v>
      </c>
      <c r="BU478" s="2" t="s">
        <v>200</v>
      </c>
      <c r="BV478" s="2" t="s">
        <v>166</v>
      </c>
      <c r="BW478" s="2" t="s">
        <v>167</v>
      </c>
      <c r="BX478" s="2" t="s">
        <v>139</v>
      </c>
      <c r="BY47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78" s="2">
        <f>IF(AND(Cases[[#This Row],[Priority Level]]&gt;=3,Cases[[#This Row],[System Role]]&lt;&gt;"Productive"),1,0)</f>
        <v>0</v>
      </c>
      <c r="CA478" s="2">
        <f>IFERROR(IF(Cases[[#This Row],[Days at Customer]]&gt;MAX(1,Cases[[#This Row],[Days at SAP]]*2),1,0),0)</f>
        <v>1</v>
      </c>
      <c r="CB478" s="2">
        <f>IF(AND(Cases[[#This Row],[Initial Component]]&lt;&gt;"",Cases[[#This Row],[Component]]&lt;&gt;"",Cases[[#This Row],[Initial Component]]&lt;&gt;Cases[[#This Row],[Component]]),1,0)</f>
        <v>1</v>
      </c>
      <c r="CC478" s="2">
        <f>IF(OR(Cases[[#This Row],[Is Reopened]]="X",Cases[[#This Row],[No. of Reopenings]]&gt;0),1,0)</f>
        <v>1</v>
      </c>
      <c r="CD478" s="2">
        <f>IF(Cases[[#This Row],[Confirmation Type]]="Automatic",1,0)</f>
        <v>1</v>
      </c>
      <c r="CE478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479" spans="1:83" x14ac:dyDescent="0.2">
      <c r="A479" s="1" t="s">
        <v>627</v>
      </c>
      <c r="B479" s="2" t="s">
        <v>628</v>
      </c>
      <c r="C479" s="2" t="s">
        <v>203</v>
      </c>
      <c r="D479" s="2" t="s">
        <v>78</v>
      </c>
      <c r="E479" s="3">
        <v>0</v>
      </c>
      <c r="F479" s="3">
        <v>0.66</v>
      </c>
      <c r="G479" s="2" t="s">
        <v>112</v>
      </c>
      <c r="H479" s="2" t="s">
        <v>113</v>
      </c>
      <c r="I479" s="3" t="s">
        <v>114</v>
      </c>
      <c r="J479" s="3">
        <v>44</v>
      </c>
      <c r="K479" s="2" t="s">
        <v>629</v>
      </c>
      <c r="L479" s="4">
        <v>46089</v>
      </c>
      <c r="M479" s="4">
        <v>46084</v>
      </c>
      <c r="N479" s="2" t="s">
        <v>180</v>
      </c>
      <c r="O479" s="2" t="s">
        <v>181</v>
      </c>
      <c r="P479" s="2" t="s">
        <v>526</v>
      </c>
      <c r="Q479" s="2" t="s">
        <v>86</v>
      </c>
      <c r="R479" s="2" t="s">
        <v>205</v>
      </c>
      <c r="S479" s="4">
        <v>46083</v>
      </c>
      <c r="T479" s="2" t="s">
        <v>180</v>
      </c>
      <c r="U479" s="2" t="s">
        <v>181</v>
      </c>
      <c r="V479" s="2" t="s">
        <v>526</v>
      </c>
      <c r="W479" s="2" t="s">
        <v>86</v>
      </c>
      <c r="X479" s="2" t="s">
        <v>117</v>
      </c>
      <c r="Y479" s="3" t="s">
        <v>118</v>
      </c>
      <c r="Z479" s="3">
        <v>0.66</v>
      </c>
      <c r="AA479" s="2" t="s">
        <v>90</v>
      </c>
      <c r="AB479" s="2" t="s">
        <v>205</v>
      </c>
      <c r="AC479" s="2" t="s">
        <v>203</v>
      </c>
      <c r="AD479" t="str" cm="1">
        <f t="array" ref="AD47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479" s="2" t="s">
        <v>182</v>
      </c>
      <c r="AF479" s="2" t="s">
        <v>92</v>
      </c>
      <c r="AG479" s="2" t="s">
        <v>119</v>
      </c>
      <c r="AH479" s="2" t="s">
        <v>120</v>
      </c>
      <c r="AK479" s="2" t="s">
        <v>630</v>
      </c>
      <c r="AN479" s="3">
        <v>1</v>
      </c>
      <c r="AO479" s="3">
        <v>1</v>
      </c>
      <c r="AP479" s="3">
        <v>1</v>
      </c>
      <c r="AQ479" s="3">
        <v>1</v>
      </c>
      <c r="AR479" s="3">
        <v>1</v>
      </c>
      <c r="AS479" s="3">
        <v>0</v>
      </c>
      <c r="AT479" s="3">
        <v>0</v>
      </c>
      <c r="AU479" s="3">
        <v>0</v>
      </c>
      <c r="AV479" s="3">
        <v>0</v>
      </c>
      <c r="AW479" s="3">
        <v>1</v>
      </c>
      <c r="AX479" s="3">
        <v>1</v>
      </c>
      <c r="AY479" s="3">
        <v>0</v>
      </c>
      <c r="AZ479" s="3">
        <v>0</v>
      </c>
      <c r="BA479" s="3">
        <v>0</v>
      </c>
      <c r="BB479" s="3">
        <v>0</v>
      </c>
      <c r="BC479" s="3">
        <v>1</v>
      </c>
      <c r="BD479" s="3">
        <v>0</v>
      </c>
      <c r="BE479" s="3">
        <v>0</v>
      </c>
      <c r="BG479" s="2" t="s">
        <v>91</v>
      </c>
      <c r="BH479" s="3">
        <v>3</v>
      </c>
      <c r="BI479" s="2" t="s">
        <v>122</v>
      </c>
      <c r="BJ479" s="2" t="s">
        <v>96</v>
      </c>
      <c r="BL479" s="2" t="s">
        <v>123</v>
      </c>
      <c r="BM479" s="2" t="s">
        <v>123</v>
      </c>
      <c r="BN479" s="2" t="s">
        <v>124</v>
      </c>
      <c r="BO479" s="2" t="s">
        <v>125</v>
      </c>
      <c r="BP479" s="2" t="s">
        <v>101</v>
      </c>
      <c r="BQ479" s="2" t="s">
        <v>124</v>
      </c>
      <c r="BR479" s="2" t="s">
        <v>126</v>
      </c>
      <c r="BS479" s="2" t="s">
        <v>127</v>
      </c>
      <c r="BT479" s="2" t="s">
        <v>207</v>
      </c>
      <c r="BU479" s="2" t="s">
        <v>208</v>
      </c>
      <c r="BV479" s="2" t="s">
        <v>150</v>
      </c>
      <c r="BW479" s="2" t="s">
        <v>151</v>
      </c>
      <c r="BX479" s="2" t="s">
        <v>182</v>
      </c>
      <c r="BY47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79" s="2">
        <f>IF(AND(Cases[[#This Row],[Priority Level]]&gt;=3,Cases[[#This Row],[System Role]]&lt;&gt;"Productive"),1,0)</f>
        <v>0</v>
      </c>
      <c r="CA479" s="2">
        <f>IFERROR(IF(Cases[[#This Row],[Days at Customer]]&gt;MAX(1,Cases[[#This Row],[Days at SAP]]*2),1,0),0)</f>
        <v>0</v>
      </c>
      <c r="CB479" s="2">
        <f>IF(AND(Cases[[#This Row],[Initial Component]]&lt;&gt;"",Cases[[#This Row],[Component]]&lt;&gt;"",Cases[[#This Row],[Initial Component]]&lt;&gt;Cases[[#This Row],[Component]]),1,0)</f>
        <v>0</v>
      </c>
      <c r="CC479" s="2">
        <f>IF(OR(Cases[[#This Row],[Is Reopened]]="X",Cases[[#This Row],[No. of Reopenings]]&gt;0),1,0)</f>
        <v>0</v>
      </c>
      <c r="CD479" s="2">
        <f>IF(Cases[[#This Row],[Confirmation Type]]="Automatic",1,0)</f>
        <v>0</v>
      </c>
      <c r="CE479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480" spans="1:83" x14ac:dyDescent="0.2">
      <c r="A480" s="1" t="s">
        <v>2789</v>
      </c>
      <c r="B480" s="2" t="s">
        <v>2790</v>
      </c>
      <c r="C480" s="2" t="s">
        <v>2791</v>
      </c>
      <c r="D480" s="2" t="s">
        <v>238</v>
      </c>
      <c r="E480" s="3">
        <v>36.03</v>
      </c>
      <c r="F480" s="3">
        <v>24.37</v>
      </c>
      <c r="G480" s="2" t="s">
        <v>79</v>
      </c>
      <c r="H480" s="2" t="s">
        <v>80</v>
      </c>
      <c r="I480" s="3" t="s">
        <v>114</v>
      </c>
      <c r="J480" s="3">
        <v>167</v>
      </c>
      <c r="K480" s="2" t="s">
        <v>2792</v>
      </c>
      <c r="L480" s="4">
        <v>46026</v>
      </c>
      <c r="M480" s="4">
        <v>46021</v>
      </c>
      <c r="N480" s="2" t="s">
        <v>1804</v>
      </c>
      <c r="O480" s="2" t="s">
        <v>1805</v>
      </c>
      <c r="P480" s="2" t="s">
        <v>1334</v>
      </c>
      <c r="Q480" s="2" t="s">
        <v>1806</v>
      </c>
      <c r="R480" s="2" t="s">
        <v>2793</v>
      </c>
      <c r="S480" s="4">
        <v>45960</v>
      </c>
      <c r="T480" s="2" t="s">
        <v>2727</v>
      </c>
      <c r="U480" s="2" t="s">
        <v>1805</v>
      </c>
      <c r="V480" s="2" t="s">
        <v>2717</v>
      </c>
      <c r="W480" s="2" t="s">
        <v>1806</v>
      </c>
      <c r="X480" s="2" t="s">
        <v>117</v>
      </c>
      <c r="Y480" s="3" t="s">
        <v>118</v>
      </c>
      <c r="Z480" s="3">
        <v>60.4</v>
      </c>
      <c r="AA480" s="2" t="s">
        <v>90</v>
      </c>
      <c r="AB480" s="2" t="s">
        <v>1555</v>
      </c>
      <c r="AC480" s="2" t="s">
        <v>1556</v>
      </c>
      <c r="AD480" t="str" cm="1">
        <f t="array" ref="AD48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480" s="2" t="s">
        <v>139</v>
      </c>
      <c r="AF480" s="2" t="s">
        <v>92</v>
      </c>
      <c r="AG480" s="2" t="s">
        <v>119</v>
      </c>
      <c r="AH480" s="2" t="s">
        <v>120</v>
      </c>
      <c r="AK480" s="2" t="s">
        <v>2794</v>
      </c>
      <c r="AN480" s="3">
        <v>1</v>
      </c>
      <c r="AO480" s="3">
        <v>1</v>
      </c>
      <c r="AP480" s="3">
        <v>1</v>
      </c>
      <c r="AQ480" s="3">
        <v>1</v>
      </c>
      <c r="AR480" s="3">
        <v>1</v>
      </c>
      <c r="AS480" s="3">
        <v>0</v>
      </c>
      <c r="AT480" s="3">
        <v>0</v>
      </c>
      <c r="AU480" s="3">
        <v>0</v>
      </c>
      <c r="AV480" s="3">
        <v>1</v>
      </c>
      <c r="AW480" s="3">
        <v>0</v>
      </c>
      <c r="AX480" s="3">
        <v>1</v>
      </c>
      <c r="AY480" s="3">
        <v>0</v>
      </c>
      <c r="AZ480" s="3">
        <v>0</v>
      </c>
      <c r="BA480" s="3">
        <v>0</v>
      </c>
      <c r="BB480" s="3">
        <v>0</v>
      </c>
      <c r="BC480" s="3">
        <v>1</v>
      </c>
      <c r="BD480" s="3">
        <v>0</v>
      </c>
      <c r="BE480" s="3">
        <v>0</v>
      </c>
      <c r="BG480" s="2" t="s">
        <v>91</v>
      </c>
      <c r="BH480" s="3">
        <v>3</v>
      </c>
      <c r="BJ480" s="2" t="s">
        <v>96</v>
      </c>
      <c r="BL480" s="2" t="s">
        <v>123</v>
      </c>
      <c r="BM480" s="2" t="s">
        <v>123</v>
      </c>
      <c r="BN480" s="2" t="s">
        <v>124</v>
      </c>
      <c r="BO480" s="2" t="s">
        <v>125</v>
      </c>
      <c r="BP480" s="2" t="s">
        <v>242</v>
      </c>
      <c r="BQ480" s="2" t="s">
        <v>124</v>
      </c>
      <c r="BR480" s="2" t="s">
        <v>126</v>
      </c>
      <c r="BS480" s="2" t="s">
        <v>127</v>
      </c>
      <c r="BT480" s="2" t="s">
        <v>174</v>
      </c>
      <c r="BU480" s="2" t="s">
        <v>175</v>
      </c>
      <c r="BV480" s="2" t="s">
        <v>150</v>
      </c>
      <c r="BW480" s="2" t="s">
        <v>151</v>
      </c>
      <c r="BX480" s="2" t="s">
        <v>91</v>
      </c>
      <c r="BY48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80" s="2">
        <f>IF(AND(Cases[[#This Row],[Priority Level]]&gt;=3,Cases[[#This Row],[System Role]]&lt;&gt;"Productive"),1,0)</f>
        <v>0</v>
      </c>
      <c r="CA480" s="2">
        <f>IFERROR(IF(Cases[[#This Row],[Days at Customer]]&gt;MAX(1,Cases[[#This Row],[Days at SAP]]*2),1,0),0)</f>
        <v>0</v>
      </c>
      <c r="CB480" s="2">
        <f>IF(AND(Cases[[#This Row],[Initial Component]]&lt;&gt;"",Cases[[#This Row],[Component]]&lt;&gt;"",Cases[[#This Row],[Initial Component]]&lt;&gt;Cases[[#This Row],[Component]]),1,0)</f>
        <v>1</v>
      </c>
      <c r="CC480" s="2">
        <f>IF(OR(Cases[[#This Row],[Is Reopened]]="X",Cases[[#This Row],[No. of Reopenings]]&gt;0),1,0)</f>
        <v>0</v>
      </c>
      <c r="CD480" s="2">
        <f>IF(Cases[[#This Row],[Confirmation Type]]="Automatic",1,0)</f>
        <v>1</v>
      </c>
      <c r="CE480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81" spans="1:83" x14ac:dyDescent="0.2">
      <c r="A481" s="1" t="s">
        <v>2795</v>
      </c>
      <c r="B481" s="2" t="s">
        <v>2796</v>
      </c>
      <c r="C481" s="2" t="s">
        <v>300</v>
      </c>
      <c r="D481" s="2" t="s">
        <v>238</v>
      </c>
      <c r="E481" s="3">
        <v>27.42</v>
      </c>
      <c r="F481" s="3">
        <v>53.34</v>
      </c>
      <c r="G481" s="2" t="s">
        <v>79</v>
      </c>
      <c r="H481" s="2" t="s">
        <v>80</v>
      </c>
      <c r="I481" s="3" t="s">
        <v>114</v>
      </c>
      <c r="J481" s="3">
        <v>168</v>
      </c>
      <c r="K481" s="2" t="s">
        <v>2797</v>
      </c>
      <c r="L481" s="4">
        <v>46047</v>
      </c>
      <c r="M481" s="4">
        <v>46039</v>
      </c>
      <c r="N481" s="2" t="s">
        <v>1334</v>
      </c>
      <c r="O481" s="2" t="s">
        <v>181</v>
      </c>
      <c r="P481" s="2" t="s">
        <v>180</v>
      </c>
      <c r="Q481" s="2" t="s">
        <v>86</v>
      </c>
      <c r="R481" s="2" t="s">
        <v>299</v>
      </c>
      <c r="S481" s="4">
        <v>45959</v>
      </c>
      <c r="T481" s="2" t="s">
        <v>2727</v>
      </c>
      <c r="U481" s="2" t="s">
        <v>1805</v>
      </c>
      <c r="V481" s="2" t="s">
        <v>2717</v>
      </c>
      <c r="W481" s="2" t="s">
        <v>1806</v>
      </c>
      <c r="X481" s="2" t="s">
        <v>117</v>
      </c>
      <c r="Y481" s="3" t="s">
        <v>118</v>
      </c>
      <c r="Z481" s="3">
        <v>80.760000000000005</v>
      </c>
      <c r="AA481" s="2" t="s">
        <v>90</v>
      </c>
      <c r="AB481" s="2" t="s">
        <v>299</v>
      </c>
      <c r="AC481" s="2" t="s">
        <v>300</v>
      </c>
      <c r="AD481" t="str" cm="1">
        <f t="array" ref="AD48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481" s="2" t="s">
        <v>91</v>
      </c>
      <c r="AF481" s="2" t="s">
        <v>92</v>
      </c>
      <c r="AG481" s="2" t="s">
        <v>159</v>
      </c>
      <c r="AH481" s="2" t="s">
        <v>160</v>
      </c>
      <c r="AK481" s="2" t="s">
        <v>2798</v>
      </c>
      <c r="AN481" s="3">
        <v>1</v>
      </c>
      <c r="AO481" s="3">
        <v>1</v>
      </c>
      <c r="AP481" s="3">
        <v>1</v>
      </c>
      <c r="AQ481" s="3">
        <v>1</v>
      </c>
      <c r="AR481" s="3">
        <v>1</v>
      </c>
      <c r="AS481" s="3">
        <v>0</v>
      </c>
      <c r="AT481" s="3">
        <v>0</v>
      </c>
      <c r="AU481" s="3">
        <v>0</v>
      </c>
      <c r="AV481" s="3">
        <v>1</v>
      </c>
      <c r="AW481" s="3">
        <v>0</v>
      </c>
      <c r="AX481" s="3">
        <v>1</v>
      </c>
      <c r="AY481" s="3">
        <v>0</v>
      </c>
      <c r="AZ481" s="3">
        <v>0</v>
      </c>
      <c r="BA481" s="3">
        <v>0</v>
      </c>
      <c r="BB481" s="3">
        <v>0</v>
      </c>
      <c r="BC481" s="3">
        <v>1</v>
      </c>
      <c r="BD481" s="3">
        <v>0</v>
      </c>
      <c r="BE481" s="3">
        <v>0</v>
      </c>
      <c r="BG481" s="2" t="s">
        <v>91</v>
      </c>
      <c r="BH481" s="3">
        <v>3</v>
      </c>
      <c r="BJ481" s="2" t="s">
        <v>96</v>
      </c>
      <c r="BL481" s="2" t="s">
        <v>162</v>
      </c>
      <c r="BM481" s="2" t="s">
        <v>163</v>
      </c>
      <c r="BN481" s="2" t="s">
        <v>99</v>
      </c>
      <c r="BO481" s="2" t="s">
        <v>100</v>
      </c>
      <c r="BP481" s="2" t="s">
        <v>242</v>
      </c>
      <c r="BQ481" s="2" t="s">
        <v>102</v>
      </c>
      <c r="BR481" s="2" t="s">
        <v>103</v>
      </c>
      <c r="BS481" s="2" t="s">
        <v>127</v>
      </c>
      <c r="BT481" s="2" t="s">
        <v>398</v>
      </c>
      <c r="BU481" s="2" t="s">
        <v>399</v>
      </c>
      <c r="BV481" s="2" t="s">
        <v>150</v>
      </c>
      <c r="BW481" s="2" t="s">
        <v>151</v>
      </c>
      <c r="BX481" s="2" t="s">
        <v>91</v>
      </c>
      <c r="BY48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81" s="2">
        <f>IF(AND(Cases[[#This Row],[Priority Level]]&gt;=3,Cases[[#This Row],[System Role]]&lt;&gt;"Productive"),1,0)</f>
        <v>0</v>
      </c>
      <c r="CA481" s="2">
        <f>IFERROR(IF(Cases[[#This Row],[Days at Customer]]&gt;MAX(1,Cases[[#This Row],[Days at SAP]]*2),1,0),0)</f>
        <v>0</v>
      </c>
      <c r="CB481" s="2">
        <f>IF(AND(Cases[[#This Row],[Initial Component]]&lt;&gt;"",Cases[[#This Row],[Component]]&lt;&gt;"",Cases[[#This Row],[Initial Component]]&lt;&gt;Cases[[#This Row],[Component]]),1,0)</f>
        <v>0</v>
      </c>
      <c r="CC481" s="2">
        <f>IF(OR(Cases[[#This Row],[Is Reopened]]="X",Cases[[#This Row],[No. of Reopenings]]&gt;0),1,0)</f>
        <v>0</v>
      </c>
      <c r="CD481" s="2">
        <f>IF(Cases[[#This Row],[Confirmation Type]]="Automatic",1,0)</f>
        <v>1</v>
      </c>
      <c r="CE481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482" spans="1:83" x14ac:dyDescent="0.2">
      <c r="A482" s="1" t="s">
        <v>2799</v>
      </c>
      <c r="B482" s="2" t="s">
        <v>2800</v>
      </c>
      <c r="C482" s="2" t="s">
        <v>2801</v>
      </c>
      <c r="D482" s="2" t="s">
        <v>78</v>
      </c>
      <c r="E482" s="3">
        <v>2.73</v>
      </c>
      <c r="F482" s="3">
        <v>3.39</v>
      </c>
      <c r="G482" s="2" t="s">
        <v>79</v>
      </c>
      <c r="H482" s="2" t="s">
        <v>178</v>
      </c>
      <c r="I482" s="3" t="s">
        <v>114</v>
      </c>
      <c r="J482" s="3">
        <v>168</v>
      </c>
      <c r="K482" s="2" t="s">
        <v>2802</v>
      </c>
      <c r="L482" s="4">
        <v>46061</v>
      </c>
      <c r="M482" s="4">
        <v>45965</v>
      </c>
      <c r="N482" s="2" t="s">
        <v>2274</v>
      </c>
      <c r="O482" s="2" t="s">
        <v>1805</v>
      </c>
      <c r="P482" s="2" t="s">
        <v>2583</v>
      </c>
      <c r="Q482" s="2" t="s">
        <v>1806</v>
      </c>
      <c r="R482" s="2" t="s">
        <v>2803</v>
      </c>
      <c r="S482" s="4">
        <v>45959</v>
      </c>
      <c r="T482" s="2" t="s">
        <v>2727</v>
      </c>
      <c r="U482" s="2" t="s">
        <v>1805</v>
      </c>
      <c r="V482" s="2" t="s">
        <v>2717</v>
      </c>
      <c r="W482" s="2" t="s">
        <v>1806</v>
      </c>
      <c r="X482" s="2" t="s">
        <v>117</v>
      </c>
      <c r="Y482" s="3" t="s">
        <v>118</v>
      </c>
      <c r="Z482" s="3">
        <v>6.13</v>
      </c>
      <c r="AA482" s="2" t="s">
        <v>90</v>
      </c>
      <c r="AB482" s="2" t="s">
        <v>2803</v>
      </c>
      <c r="AC482" s="2" t="s">
        <v>2801</v>
      </c>
      <c r="AD482" t="str" cm="1">
        <f t="array" ref="AD48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482" s="2" t="s">
        <v>139</v>
      </c>
      <c r="AF482" s="2" t="s">
        <v>92</v>
      </c>
      <c r="AG482" s="2" t="s">
        <v>159</v>
      </c>
      <c r="AH482" s="2" t="s">
        <v>160</v>
      </c>
      <c r="AJ482" s="2" t="s">
        <v>122</v>
      </c>
      <c r="AK482" s="2" t="s">
        <v>2804</v>
      </c>
      <c r="AN482" s="3">
        <v>1</v>
      </c>
      <c r="AO482" s="3">
        <v>1</v>
      </c>
      <c r="AP482" s="3">
        <v>1</v>
      </c>
      <c r="AQ482" s="3">
        <v>1</v>
      </c>
      <c r="AR482" s="3">
        <v>0</v>
      </c>
      <c r="AS482" s="3">
        <v>0</v>
      </c>
      <c r="AT482" s="3">
        <v>1</v>
      </c>
      <c r="AU482" s="3">
        <v>0</v>
      </c>
      <c r="AV482" s="3">
        <v>0</v>
      </c>
      <c r="AW482" s="3">
        <v>1</v>
      </c>
      <c r="AX482" s="3">
        <v>0</v>
      </c>
      <c r="AY482" s="3">
        <v>0</v>
      </c>
      <c r="AZ482" s="3">
        <v>1</v>
      </c>
      <c r="BA482" s="3">
        <v>0</v>
      </c>
      <c r="BB482" s="3">
        <v>0</v>
      </c>
      <c r="BC482" s="3">
        <v>1</v>
      </c>
      <c r="BD482" s="3">
        <v>1</v>
      </c>
      <c r="BE482" s="3">
        <v>0</v>
      </c>
      <c r="BG482" s="2" t="s">
        <v>139</v>
      </c>
      <c r="BH482" s="3">
        <v>2</v>
      </c>
      <c r="BJ482" s="2" t="s">
        <v>96</v>
      </c>
      <c r="BL482" s="2" t="s">
        <v>97</v>
      </c>
      <c r="BM482" s="2" t="s">
        <v>98</v>
      </c>
      <c r="BN482" s="2" t="s">
        <v>99</v>
      </c>
      <c r="BO482" s="2" t="s">
        <v>100</v>
      </c>
      <c r="BP482" s="2" t="s">
        <v>101</v>
      </c>
      <c r="BQ482" s="2" t="s">
        <v>102</v>
      </c>
      <c r="BR482" s="2" t="s">
        <v>103</v>
      </c>
      <c r="BS482" s="2" t="s">
        <v>127</v>
      </c>
      <c r="BT482" s="2" t="s">
        <v>1427</v>
      </c>
      <c r="BU482" s="2" t="s">
        <v>1428</v>
      </c>
      <c r="BV482" s="2" t="s">
        <v>150</v>
      </c>
      <c r="BW482" s="2" t="s">
        <v>151</v>
      </c>
      <c r="BX482" s="2" t="s">
        <v>139</v>
      </c>
      <c r="BY48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82" s="2">
        <f>IF(AND(Cases[[#This Row],[Priority Level]]&gt;=3,Cases[[#This Row],[System Role]]&lt;&gt;"Productive"),1,0)</f>
        <v>0</v>
      </c>
      <c r="CA482" s="2">
        <f>IFERROR(IF(Cases[[#This Row],[Days at Customer]]&gt;MAX(1,Cases[[#This Row],[Days at SAP]]*2),1,0),0)</f>
        <v>0</v>
      </c>
      <c r="CB482" s="2">
        <f>IF(AND(Cases[[#This Row],[Initial Component]]&lt;&gt;"",Cases[[#This Row],[Component]]&lt;&gt;"",Cases[[#This Row],[Initial Component]]&lt;&gt;Cases[[#This Row],[Component]]),1,0)</f>
        <v>0</v>
      </c>
      <c r="CC482" s="2">
        <f>IF(OR(Cases[[#This Row],[Is Reopened]]="X",Cases[[#This Row],[No. of Reopenings]]&gt;0),1,0)</f>
        <v>1</v>
      </c>
      <c r="CD482" s="2">
        <f>IF(Cases[[#This Row],[Confirmation Type]]="Automatic",1,0)</f>
        <v>0</v>
      </c>
      <c r="CE482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83" spans="1:83" x14ac:dyDescent="0.2">
      <c r="A483" s="1" t="s">
        <v>2805</v>
      </c>
      <c r="B483" s="2" t="s">
        <v>2806</v>
      </c>
      <c r="C483" s="2" t="s">
        <v>1850</v>
      </c>
      <c r="D483" s="2" t="s">
        <v>238</v>
      </c>
      <c r="E483" s="3">
        <v>4.07</v>
      </c>
      <c r="F483" s="3">
        <v>82.38</v>
      </c>
      <c r="G483" s="2" t="s">
        <v>79</v>
      </c>
      <c r="H483" s="2" t="s">
        <v>178</v>
      </c>
      <c r="I483" s="3" t="s">
        <v>114</v>
      </c>
      <c r="J483" s="3">
        <v>168</v>
      </c>
      <c r="K483" s="2" t="s">
        <v>2807</v>
      </c>
      <c r="L483" s="4">
        <v>46047</v>
      </c>
      <c r="M483" s="4">
        <v>46045</v>
      </c>
      <c r="N483" s="2" t="s">
        <v>1334</v>
      </c>
      <c r="O483" s="2" t="s">
        <v>181</v>
      </c>
      <c r="P483" s="2" t="s">
        <v>83</v>
      </c>
      <c r="Q483" s="2" t="s">
        <v>86</v>
      </c>
      <c r="R483" s="2" t="s">
        <v>363</v>
      </c>
      <c r="S483" s="4">
        <v>45959</v>
      </c>
      <c r="T483" s="2" t="s">
        <v>2727</v>
      </c>
      <c r="U483" s="2" t="s">
        <v>1805</v>
      </c>
      <c r="V483" s="2" t="s">
        <v>2717</v>
      </c>
      <c r="W483" s="2" t="s">
        <v>1806</v>
      </c>
      <c r="X483" s="2" t="s">
        <v>117</v>
      </c>
      <c r="Y483" s="3" t="s">
        <v>118</v>
      </c>
      <c r="Z483" s="3">
        <v>86.45</v>
      </c>
      <c r="AA483" s="2" t="s">
        <v>90</v>
      </c>
      <c r="AB483" s="2" t="s">
        <v>1852</v>
      </c>
      <c r="AC483" s="2" t="s">
        <v>1853</v>
      </c>
      <c r="AD483" t="str" cm="1">
        <f t="array" ref="AD48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483" s="2" t="s">
        <v>91</v>
      </c>
      <c r="AF483" s="2" t="s">
        <v>92</v>
      </c>
      <c r="AG483" s="2" t="s">
        <v>119</v>
      </c>
      <c r="AH483" s="2" t="s">
        <v>120</v>
      </c>
      <c r="AJ483" s="2" t="s">
        <v>122</v>
      </c>
      <c r="AK483" s="2" t="s">
        <v>2808</v>
      </c>
      <c r="AN483" s="3">
        <v>1</v>
      </c>
      <c r="AO483" s="3">
        <v>1</v>
      </c>
      <c r="AP483" s="3">
        <v>1</v>
      </c>
      <c r="AQ483" s="3">
        <v>1</v>
      </c>
      <c r="AR483" s="3">
        <v>0</v>
      </c>
      <c r="AS483" s="3">
        <v>1</v>
      </c>
      <c r="AT483" s="3">
        <v>0</v>
      </c>
      <c r="AU483" s="3">
        <v>0</v>
      </c>
      <c r="AV483" s="3">
        <v>1</v>
      </c>
      <c r="AW483" s="3">
        <v>0</v>
      </c>
      <c r="AX483" s="3">
        <v>0</v>
      </c>
      <c r="AY483" s="3">
        <v>1</v>
      </c>
      <c r="AZ483" s="3">
        <v>0</v>
      </c>
      <c r="BA483" s="3">
        <v>0</v>
      </c>
      <c r="BB483" s="3">
        <v>0</v>
      </c>
      <c r="BC483" s="3">
        <v>1</v>
      </c>
      <c r="BD483" s="3">
        <v>7</v>
      </c>
      <c r="BE483" s="3">
        <v>0</v>
      </c>
      <c r="BG483" s="2" t="s">
        <v>158</v>
      </c>
      <c r="BH483" s="3">
        <v>1</v>
      </c>
      <c r="BJ483" s="2" t="s">
        <v>96</v>
      </c>
      <c r="BL483" s="2" t="s">
        <v>123</v>
      </c>
      <c r="BM483" s="2" t="s">
        <v>123</v>
      </c>
      <c r="BN483" s="2" t="s">
        <v>124</v>
      </c>
      <c r="BO483" s="2" t="s">
        <v>125</v>
      </c>
      <c r="BP483" s="2" t="s">
        <v>242</v>
      </c>
      <c r="BQ483" s="2" t="s">
        <v>124</v>
      </c>
      <c r="BR483" s="2" t="s">
        <v>126</v>
      </c>
      <c r="BS483" s="2" t="s">
        <v>127</v>
      </c>
      <c r="BT483" s="2" t="s">
        <v>207</v>
      </c>
      <c r="BU483" s="2" t="s">
        <v>208</v>
      </c>
      <c r="BV483" s="2" t="s">
        <v>150</v>
      </c>
      <c r="BW483" s="2" t="s">
        <v>151</v>
      </c>
      <c r="BX483" s="2" t="s">
        <v>91</v>
      </c>
      <c r="BY48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83" s="2">
        <f>IF(AND(Cases[[#This Row],[Priority Level]]&gt;=3,Cases[[#This Row],[System Role]]&lt;&gt;"Productive"),1,0)</f>
        <v>0</v>
      </c>
      <c r="CA483" s="2">
        <f>IFERROR(IF(Cases[[#This Row],[Days at Customer]]&gt;MAX(1,Cases[[#This Row],[Days at SAP]]*2),1,0),0)</f>
        <v>1</v>
      </c>
      <c r="CB483" s="2">
        <f>IF(AND(Cases[[#This Row],[Initial Component]]&lt;&gt;"",Cases[[#This Row],[Component]]&lt;&gt;"",Cases[[#This Row],[Initial Component]]&lt;&gt;Cases[[#This Row],[Component]]),1,0)</f>
        <v>1</v>
      </c>
      <c r="CC483" s="2">
        <f>IF(OR(Cases[[#This Row],[Is Reopened]]="X",Cases[[#This Row],[No. of Reopenings]]&gt;0),1,0)</f>
        <v>1</v>
      </c>
      <c r="CD483" s="2">
        <f>IF(Cases[[#This Row],[Confirmation Type]]="Automatic",1,0)</f>
        <v>1</v>
      </c>
      <c r="CE483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484" spans="1:83" x14ac:dyDescent="0.2">
      <c r="A484" s="1" t="s">
        <v>2809</v>
      </c>
      <c r="B484" s="2" t="s">
        <v>2810</v>
      </c>
      <c r="C484" s="2" t="s">
        <v>231</v>
      </c>
      <c r="D484" s="2" t="s">
        <v>238</v>
      </c>
      <c r="E484" s="3">
        <v>1.81</v>
      </c>
      <c r="F484" s="3">
        <v>26.58</v>
      </c>
      <c r="G484" s="2" t="s">
        <v>79</v>
      </c>
      <c r="H484" s="2" t="s">
        <v>80</v>
      </c>
      <c r="I484" s="3" t="s">
        <v>114</v>
      </c>
      <c r="J484" s="3">
        <v>168</v>
      </c>
      <c r="K484" s="2" t="s">
        <v>2811</v>
      </c>
      <c r="L484" s="4">
        <v>46009</v>
      </c>
      <c r="M484" s="4">
        <v>45988</v>
      </c>
      <c r="N484" s="2" t="s">
        <v>2274</v>
      </c>
      <c r="O484" s="2" t="s">
        <v>1805</v>
      </c>
      <c r="P484" s="2" t="s">
        <v>2275</v>
      </c>
      <c r="Q484" s="2" t="s">
        <v>1806</v>
      </c>
      <c r="R484" s="2" t="s">
        <v>233</v>
      </c>
      <c r="S484" s="4">
        <v>45959</v>
      </c>
      <c r="T484" s="2" t="s">
        <v>2727</v>
      </c>
      <c r="U484" s="2" t="s">
        <v>1805</v>
      </c>
      <c r="V484" s="2" t="s">
        <v>2717</v>
      </c>
      <c r="W484" s="2" t="s">
        <v>1806</v>
      </c>
      <c r="X484" s="2" t="s">
        <v>117</v>
      </c>
      <c r="Y484" s="3" t="s">
        <v>118</v>
      </c>
      <c r="Z484" s="3">
        <v>28.39</v>
      </c>
      <c r="AA484" s="2" t="s">
        <v>90</v>
      </c>
      <c r="AB484" s="2" t="s">
        <v>233</v>
      </c>
      <c r="AC484" s="2" t="s">
        <v>231</v>
      </c>
      <c r="AD484" t="str" cm="1">
        <f t="array" ref="AD48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484" s="2" t="s">
        <v>139</v>
      </c>
      <c r="AF484" s="2" t="s">
        <v>92</v>
      </c>
      <c r="AG484" s="2" t="s">
        <v>119</v>
      </c>
      <c r="AH484" s="2" t="s">
        <v>120</v>
      </c>
      <c r="AK484" s="2" t="s">
        <v>2812</v>
      </c>
      <c r="AN484" s="3">
        <v>1</v>
      </c>
      <c r="AO484" s="3">
        <v>1</v>
      </c>
      <c r="AP484" s="3">
        <v>1</v>
      </c>
      <c r="AQ484" s="3">
        <v>1</v>
      </c>
      <c r="AR484" s="3">
        <v>1</v>
      </c>
      <c r="AS484" s="3">
        <v>0</v>
      </c>
      <c r="AT484" s="3">
        <v>0</v>
      </c>
      <c r="AU484" s="3">
        <v>0</v>
      </c>
      <c r="AV484" s="3">
        <v>1</v>
      </c>
      <c r="AW484" s="3">
        <v>0</v>
      </c>
      <c r="AX484" s="3">
        <v>1</v>
      </c>
      <c r="AY484" s="3">
        <v>0</v>
      </c>
      <c r="AZ484" s="3">
        <v>0</v>
      </c>
      <c r="BA484" s="3">
        <v>0</v>
      </c>
      <c r="BB484" s="3">
        <v>0</v>
      </c>
      <c r="BC484" s="3">
        <v>1</v>
      </c>
      <c r="BD484" s="3">
        <v>0</v>
      </c>
      <c r="BE484" s="3">
        <v>0</v>
      </c>
      <c r="BG484" s="2" t="s">
        <v>91</v>
      </c>
      <c r="BH484" s="3">
        <v>3</v>
      </c>
      <c r="BJ484" s="2" t="s">
        <v>96</v>
      </c>
      <c r="BL484" s="2" t="s">
        <v>123</v>
      </c>
      <c r="BM484" s="2" t="s">
        <v>123</v>
      </c>
      <c r="BN484" s="2" t="s">
        <v>124</v>
      </c>
      <c r="BO484" s="2" t="s">
        <v>125</v>
      </c>
      <c r="BP484" s="2" t="s">
        <v>242</v>
      </c>
      <c r="BQ484" s="2" t="s">
        <v>124</v>
      </c>
      <c r="BR484" s="2" t="s">
        <v>126</v>
      </c>
      <c r="BS484" s="2" t="s">
        <v>127</v>
      </c>
      <c r="BT484" s="2" t="s">
        <v>207</v>
      </c>
      <c r="BU484" s="2" t="s">
        <v>208</v>
      </c>
      <c r="BV484" s="2" t="s">
        <v>150</v>
      </c>
      <c r="BW484" s="2" t="s">
        <v>151</v>
      </c>
      <c r="BX484" s="2" t="s">
        <v>91</v>
      </c>
      <c r="BY48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84" s="2">
        <f>IF(AND(Cases[[#This Row],[Priority Level]]&gt;=3,Cases[[#This Row],[System Role]]&lt;&gt;"Productive"),1,0)</f>
        <v>0</v>
      </c>
      <c r="CA484" s="2">
        <f>IFERROR(IF(Cases[[#This Row],[Days at Customer]]&gt;MAX(1,Cases[[#This Row],[Days at SAP]]*2),1,0),0)</f>
        <v>1</v>
      </c>
      <c r="CB484" s="2">
        <f>IF(AND(Cases[[#This Row],[Initial Component]]&lt;&gt;"",Cases[[#This Row],[Component]]&lt;&gt;"",Cases[[#This Row],[Initial Component]]&lt;&gt;Cases[[#This Row],[Component]]),1,0)</f>
        <v>0</v>
      </c>
      <c r="CC484" s="2">
        <f>IF(OR(Cases[[#This Row],[Is Reopened]]="X",Cases[[#This Row],[No. of Reopenings]]&gt;0),1,0)</f>
        <v>0</v>
      </c>
      <c r="CD484" s="2">
        <f>IF(Cases[[#This Row],[Confirmation Type]]="Automatic",1,0)</f>
        <v>1</v>
      </c>
      <c r="CE48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85" spans="1:83" x14ac:dyDescent="0.2">
      <c r="A485" s="1" t="s">
        <v>2813</v>
      </c>
      <c r="B485" s="2" t="s">
        <v>2814</v>
      </c>
      <c r="C485" s="2" t="s">
        <v>655</v>
      </c>
      <c r="D485" s="2" t="s">
        <v>238</v>
      </c>
      <c r="E485" s="3">
        <v>0</v>
      </c>
      <c r="F485" s="3">
        <v>39.31</v>
      </c>
      <c r="G485" s="2" t="s">
        <v>79</v>
      </c>
      <c r="H485" s="2" t="s">
        <v>178</v>
      </c>
      <c r="I485" s="3" t="s">
        <v>114</v>
      </c>
      <c r="J485" s="3">
        <v>168</v>
      </c>
      <c r="K485" s="2" t="s">
        <v>2815</v>
      </c>
      <c r="L485" s="4">
        <v>46009</v>
      </c>
      <c r="M485" s="4">
        <v>45999</v>
      </c>
      <c r="N485" s="2" t="s">
        <v>1804</v>
      </c>
      <c r="O485" s="2" t="s">
        <v>1805</v>
      </c>
      <c r="P485" s="2" t="s">
        <v>2037</v>
      </c>
      <c r="Q485" s="2" t="s">
        <v>1806</v>
      </c>
      <c r="R485" s="2" t="s">
        <v>657</v>
      </c>
      <c r="S485" s="4">
        <v>45959</v>
      </c>
      <c r="T485" s="2" t="s">
        <v>2727</v>
      </c>
      <c r="U485" s="2" t="s">
        <v>1805</v>
      </c>
      <c r="V485" s="2" t="s">
        <v>2717</v>
      </c>
      <c r="W485" s="2" t="s">
        <v>1806</v>
      </c>
      <c r="X485" s="2" t="s">
        <v>117</v>
      </c>
      <c r="Y485" s="3" t="s">
        <v>118</v>
      </c>
      <c r="Z485" s="3">
        <v>39.31</v>
      </c>
      <c r="AA485" s="2" t="s">
        <v>90</v>
      </c>
      <c r="AB485" s="2" t="s">
        <v>657</v>
      </c>
      <c r="AC485" s="2" t="s">
        <v>655</v>
      </c>
      <c r="AD485" t="str" cm="1">
        <f t="array" ref="AD48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485" s="2" t="s">
        <v>139</v>
      </c>
      <c r="AF485" s="2" t="s">
        <v>92</v>
      </c>
      <c r="AG485" s="2" t="s">
        <v>159</v>
      </c>
      <c r="AH485" s="2" t="s">
        <v>160</v>
      </c>
      <c r="AK485" s="2" t="s">
        <v>2816</v>
      </c>
      <c r="AN485" s="3">
        <v>1</v>
      </c>
      <c r="AO485" s="3">
        <v>1</v>
      </c>
      <c r="AP485" s="3">
        <v>1</v>
      </c>
      <c r="AQ485" s="3">
        <v>1</v>
      </c>
      <c r="AR485" s="3">
        <v>0</v>
      </c>
      <c r="AS485" s="3">
        <v>0</v>
      </c>
      <c r="AT485" s="3">
        <v>1</v>
      </c>
      <c r="AU485" s="3">
        <v>0</v>
      </c>
      <c r="AV485" s="3">
        <v>1</v>
      </c>
      <c r="AW485" s="3">
        <v>0</v>
      </c>
      <c r="AX485" s="3">
        <v>0</v>
      </c>
      <c r="AY485" s="3">
        <v>0</v>
      </c>
      <c r="AZ485" s="3">
        <v>1</v>
      </c>
      <c r="BA485" s="3">
        <v>1</v>
      </c>
      <c r="BB485" s="3">
        <v>0</v>
      </c>
      <c r="BC485" s="3">
        <v>0</v>
      </c>
      <c r="BD485" s="3">
        <v>0</v>
      </c>
      <c r="BE485" s="3">
        <v>0</v>
      </c>
      <c r="BG485" s="2" t="s">
        <v>139</v>
      </c>
      <c r="BH485" s="3">
        <v>2</v>
      </c>
      <c r="BJ485" s="2" t="s">
        <v>96</v>
      </c>
      <c r="BL485" s="2" t="s">
        <v>97</v>
      </c>
      <c r="BM485" s="2" t="s">
        <v>98</v>
      </c>
      <c r="BN485" s="2" t="s">
        <v>99</v>
      </c>
      <c r="BO485" s="2" t="s">
        <v>100</v>
      </c>
      <c r="BP485" s="2" t="s">
        <v>242</v>
      </c>
      <c r="BQ485" s="2" t="s">
        <v>102</v>
      </c>
      <c r="BR485" s="2" t="s">
        <v>103</v>
      </c>
      <c r="BS485" s="2" t="s">
        <v>127</v>
      </c>
      <c r="BT485" s="2" t="s">
        <v>2817</v>
      </c>
      <c r="BU485" s="2" t="s">
        <v>2818</v>
      </c>
      <c r="BV485" s="2" t="s">
        <v>107</v>
      </c>
      <c r="BW485" s="2" t="s">
        <v>108</v>
      </c>
      <c r="BX485" s="2" t="s">
        <v>139</v>
      </c>
      <c r="BY48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85" s="2">
        <f>IF(AND(Cases[[#This Row],[Priority Level]]&gt;=3,Cases[[#This Row],[System Role]]&lt;&gt;"Productive"),1,0)</f>
        <v>0</v>
      </c>
      <c r="CA485" s="2">
        <f>IFERROR(IF(Cases[[#This Row],[Days at Customer]]&gt;MAX(1,Cases[[#This Row],[Days at SAP]]*2),1,0),0)</f>
        <v>1</v>
      </c>
      <c r="CB485" s="2">
        <f>IF(AND(Cases[[#This Row],[Initial Component]]&lt;&gt;"",Cases[[#This Row],[Component]]&lt;&gt;"",Cases[[#This Row],[Initial Component]]&lt;&gt;Cases[[#This Row],[Component]]),1,0)</f>
        <v>0</v>
      </c>
      <c r="CC485" s="2">
        <f>IF(OR(Cases[[#This Row],[Is Reopened]]="X",Cases[[#This Row],[No. of Reopenings]]&gt;0),1,0)</f>
        <v>0</v>
      </c>
      <c r="CD485" s="2">
        <f>IF(Cases[[#This Row],[Confirmation Type]]="Automatic",1,0)</f>
        <v>1</v>
      </c>
      <c r="CE485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86" spans="1:83" x14ac:dyDescent="0.2">
      <c r="A486" s="1" t="s">
        <v>2819</v>
      </c>
      <c r="B486" s="2" t="s">
        <v>2820</v>
      </c>
      <c r="C486" s="2" t="s">
        <v>2821</v>
      </c>
      <c r="D486" s="2" t="s">
        <v>238</v>
      </c>
      <c r="E486" s="3">
        <v>9.57</v>
      </c>
      <c r="F486" s="3">
        <v>34.96</v>
      </c>
      <c r="G486" s="2" t="s">
        <v>79</v>
      </c>
      <c r="H486" s="2" t="s">
        <v>155</v>
      </c>
      <c r="I486" s="3" t="s">
        <v>114</v>
      </c>
      <c r="J486" s="3">
        <v>168</v>
      </c>
      <c r="K486" s="2" t="s">
        <v>2822</v>
      </c>
      <c r="L486" s="4">
        <v>46009</v>
      </c>
      <c r="M486" s="4">
        <v>46004</v>
      </c>
      <c r="N486" s="2" t="s">
        <v>1804</v>
      </c>
      <c r="O486" s="2" t="s">
        <v>1805</v>
      </c>
      <c r="P486" s="2" t="s">
        <v>2037</v>
      </c>
      <c r="Q486" s="2" t="s">
        <v>1806</v>
      </c>
      <c r="R486" s="2" t="s">
        <v>2823</v>
      </c>
      <c r="S486" s="4">
        <v>45959</v>
      </c>
      <c r="T486" s="2" t="s">
        <v>2727</v>
      </c>
      <c r="U486" s="2" t="s">
        <v>1805</v>
      </c>
      <c r="V486" s="2" t="s">
        <v>2717</v>
      </c>
      <c r="W486" s="2" t="s">
        <v>1806</v>
      </c>
      <c r="X486" s="2" t="s">
        <v>117</v>
      </c>
      <c r="Y486" s="3" t="s">
        <v>118</v>
      </c>
      <c r="Z486" s="3">
        <v>44.53</v>
      </c>
      <c r="AA486" s="2" t="s">
        <v>90</v>
      </c>
      <c r="AB486" s="2" t="s">
        <v>2824</v>
      </c>
      <c r="AC486" s="2" t="s">
        <v>2825</v>
      </c>
      <c r="AD486" t="str" cm="1">
        <f t="array" ref="AD48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486" s="2" t="s">
        <v>91</v>
      </c>
      <c r="AF486" s="2" t="s">
        <v>92</v>
      </c>
      <c r="AG486" s="2" t="s">
        <v>119</v>
      </c>
      <c r="AH486" s="2" t="s">
        <v>120</v>
      </c>
      <c r="AJ486" s="2" t="s">
        <v>122</v>
      </c>
      <c r="AK486" s="2" t="s">
        <v>2826</v>
      </c>
      <c r="AN486" s="3">
        <v>1</v>
      </c>
      <c r="AO486" s="3">
        <v>1</v>
      </c>
      <c r="AP486" s="3">
        <v>1</v>
      </c>
      <c r="AQ486" s="3">
        <v>1</v>
      </c>
      <c r="AR486" s="3">
        <v>1</v>
      </c>
      <c r="AS486" s="3">
        <v>0</v>
      </c>
      <c r="AT486" s="3">
        <v>0</v>
      </c>
      <c r="AU486" s="3">
        <v>0</v>
      </c>
      <c r="AV486" s="3">
        <v>1</v>
      </c>
      <c r="AW486" s="3">
        <v>0</v>
      </c>
      <c r="AX486" s="3">
        <v>1</v>
      </c>
      <c r="AY486" s="3">
        <v>0</v>
      </c>
      <c r="AZ486" s="3">
        <v>0</v>
      </c>
      <c r="BA486" s="3">
        <v>1</v>
      </c>
      <c r="BB486" s="3">
        <v>0</v>
      </c>
      <c r="BC486" s="3">
        <v>0</v>
      </c>
      <c r="BD486" s="3">
        <v>3</v>
      </c>
      <c r="BE486" s="3">
        <v>0</v>
      </c>
      <c r="BG486" s="2" t="s">
        <v>91</v>
      </c>
      <c r="BH486" s="3">
        <v>3</v>
      </c>
      <c r="BJ486" s="2" t="s">
        <v>96</v>
      </c>
      <c r="BL486" s="2" t="s">
        <v>123</v>
      </c>
      <c r="BM486" s="2" t="s">
        <v>123</v>
      </c>
      <c r="BN486" s="2" t="s">
        <v>124</v>
      </c>
      <c r="BO486" s="2" t="s">
        <v>125</v>
      </c>
      <c r="BP486" s="2" t="s">
        <v>242</v>
      </c>
      <c r="BQ486" s="2" t="s">
        <v>124</v>
      </c>
      <c r="BR486" s="2" t="s">
        <v>126</v>
      </c>
      <c r="BS486" s="2" t="s">
        <v>713</v>
      </c>
      <c r="BT486" s="2" t="s">
        <v>2240</v>
      </c>
      <c r="BU486" s="2" t="s">
        <v>2241</v>
      </c>
      <c r="BV486" s="2" t="s">
        <v>107</v>
      </c>
      <c r="BW486" s="2" t="s">
        <v>108</v>
      </c>
      <c r="BX486" s="2" t="s">
        <v>91</v>
      </c>
      <c r="BY48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86" s="2">
        <f>IF(AND(Cases[[#This Row],[Priority Level]]&gt;=3,Cases[[#This Row],[System Role]]&lt;&gt;"Productive"),1,0)</f>
        <v>1</v>
      </c>
      <c r="CA486" s="2">
        <f>IFERROR(IF(Cases[[#This Row],[Days at Customer]]&gt;MAX(1,Cases[[#This Row],[Days at SAP]]*2),1,0),0)</f>
        <v>1</v>
      </c>
      <c r="CB486" s="2">
        <f>IF(AND(Cases[[#This Row],[Initial Component]]&lt;&gt;"",Cases[[#This Row],[Component]]&lt;&gt;"",Cases[[#This Row],[Initial Component]]&lt;&gt;Cases[[#This Row],[Component]]),1,0)</f>
        <v>1</v>
      </c>
      <c r="CC486" s="2">
        <f>IF(OR(Cases[[#This Row],[Is Reopened]]="X",Cases[[#This Row],[No. of Reopenings]]&gt;0),1,0)</f>
        <v>1</v>
      </c>
      <c r="CD486" s="2">
        <f>IF(Cases[[#This Row],[Confirmation Type]]="Automatic",1,0)</f>
        <v>1</v>
      </c>
      <c r="CE486" s="2">
        <f>Cases[[#This Row],[Flag_HowToOrConsulting]]+Cases[[#This Row],[Flag_PriorityInflation]]+Cases[[#This Row],[Flag_CustomerDelay]]+Cases[[#This Row],[Flag_ComponentMismatch]]+Cases[[#This Row],[Flag_Reopened]]</f>
        <v>5</v>
      </c>
    </row>
    <row r="487" spans="1:83" x14ac:dyDescent="0.2">
      <c r="A487" s="1" t="s">
        <v>2827</v>
      </c>
      <c r="B487" s="2" t="s">
        <v>1624</v>
      </c>
      <c r="C487" s="2" t="s">
        <v>1625</v>
      </c>
      <c r="D487" s="2" t="s">
        <v>238</v>
      </c>
      <c r="E487" s="3">
        <v>17.14</v>
      </c>
      <c r="F487" s="3">
        <v>37.32</v>
      </c>
      <c r="G487" s="2" t="s">
        <v>190</v>
      </c>
      <c r="H487" s="2" t="s">
        <v>1205</v>
      </c>
      <c r="I487" s="3" t="s">
        <v>114</v>
      </c>
      <c r="J487" s="3">
        <v>168</v>
      </c>
      <c r="K487" s="2" t="s">
        <v>2828</v>
      </c>
      <c r="L487" s="4">
        <v>46019</v>
      </c>
      <c r="M487" s="4">
        <v>46014</v>
      </c>
      <c r="N487" s="2" t="s">
        <v>1804</v>
      </c>
      <c r="O487" s="2" t="s">
        <v>1805</v>
      </c>
      <c r="P487" s="2" t="s">
        <v>1868</v>
      </c>
      <c r="Q487" s="2" t="s">
        <v>1806</v>
      </c>
      <c r="R487" s="2" t="s">
        <v>1627</v>
      </c>
      <c r="S487" s="4">
        <v>45959</v>
      </c>
      <c r="T487" s="2" t="s">
        <v>2727</v>
      </c>
      <c r="U487" s="2" t="s">
        <v>1805</v>
      </c>
      <c r="V487" s="2" t="s">
        <v>2717</v>
      </c>
      <c r="W487" s="2" t="s">
        <v>1806</v>
      </c>
      <c r="X487" s="2" t="s">
        <v>117</v>
      </c>
      <c r="Y487" s="3" t="s">
        <v>118</v>
      </c>
      <c r="Z487" s="3">
        <v>54.46</v>
      </c>
      <c r="AA487" s="2" t="s">
        <v>90</v>
      </c>
      <c r="AB487" s="2" t="s">
        <v>1627</v>
      </c>
      <c r="AC487" s="2" t="s">
        <v>1625</v>
      </c>
      <c r="AD487" t="str" cm="1">
        <f t="array" ref="AD48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487" s="2" t="s">
        <v>139</v>
      </c>
      <c r="AF487" s="2" t="s">
        <v>92</v>
      </c>
      <c r="AG487" s="2" t="s">
        <v>119</v>
      </c>
      <c r="AH487" s="2" t="s">
        <v>120</v>
      </c>
      <c r="AK487" s="2" t="s">
        <v>2829</v>
      </c>
      <c r="AN487" s="3">
        <v>1</v>
      </c>
      <c r="AO487" s="3">
        <v>1</v>
      </c>
      <c r="AP487" s="3">
        <v>1</v>
      </c>
      <c r="AQ487" s="3">
        <v>1</v>
      </c>
      <c r="AR487" s="3">
        <v>0</v>
      </c>
      <c r="AS487" s="3">
        <v>0</v>
      </c>
      <c r="AT487" s="3">
        <v>1</v>
      </c>
      <c r="AU487" s="3">
        <v>0</v>
      </c>
      <c r="AV487" s="3">
        <v>1</v>
      </c>
      <c r="AW487" s="3">
        <v>0</v>
      </c>
      <c r="AX487" s="3">
        <v>0</v>
      </c>
      <c r="AY487" s="3">
        <v>0</v>
      </c>
      <c r="AZ487" s="3">
        <v>1</v>
      </c>
      <c r="BA487" s="3">
        <v>1</v>
      </c>
      <c r="BB487" s="3">
        <v>0</v>
      </c>
      <c r="BC487" s="3">
        <v>0</v>
      </c>
      <c r="BD487" s="3">
        <v>0</v>
      </c>
      <c r="BE487" s="3">
        <v>0</v>
      </c>
      <c r="BG487" s="2" t="s">
        <v>139</v>
      </c>
      <c r="BH487" s="3">
        <v>2</v>
      </c>
      <c r="BJ487" s="2" t="s">
        <v>96</v>
      </c>
      <c r="BL487" s="2" t="s">
        <v>123</v>
      </c>
      <c r="BM487" s="2" t="s">
        <v>123</v>
      </c>
      <c r="BN487" s="2" t="s">
        <v>124</v>
      </c>
      <c r="BO487" s="2" t="s">
        <v>125</v>
      </c>
      <c r="BP487" s="2" t="s">
        <v>242</v>
      </c>
      <c r="BQ487" s="2" t="s">
        <v>124</v>
      </c>
      <c r="BR487" s="2" t="s">
        <v>126</v>
      </c>
      <c r="BS487" s="2" t="s">
        <v>127</v>
      </c>
      <c r="BT487" s="2" t="s">
        <v>872</v>
      </c>
      <c r="BU487" s="2" t="s">
        <v>873</v>
      </c>
      <c r="BV487" s="2" t="s">
        <v>166</v>
      </c>
      <c r="BW487" s="2" t="s">
        <v>167</v>
      </c>
      <c r="BX487" s="2" t="s">
        <v>139</v>
      </c>
      <c r="BY48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87" s="2">
        <f>IF(AND(Cases[[#This Row],[Priority Level]]&gt;=3,Cases[[#This Row],[System Role]]&lt;&gt;"Productive"),1,0)</f>
        <v>0</v>
      </c>
      <c r="CA487" s="2">
        <f>IFERROR(IF(Cases[[#This Row],[Days at Customer]]&gt;MAX(1,Cases[[#This Row],[Days at SAP]]*2),1,0),0)</f>
        <v>1</v>
      </c>
      <c r="CB487" s="2">
        <f>IF(AND(Cases[[#This Row],[Initial Component]]&lt;&gt;"",Cases[[#This Row],[Component]]&lt;&gt;"",Cases[[#This Row],[Initial Component]]&lt;&gt;Cases[[#This Row],[Component]]),1,0)</f>
        <v>0</v>
      </c>
      <c r="CC487" s="2">
        <f>IF(OR(Cases[[#This Row],[Is Reopened]]="X",Cases[[#This Row],[No. of Reopenings]]&gt;0),1,0)</f>
        <v>0</v>
      </c>
      <c r="CD487" s="2">
        <f>IF(Cases[[#This Row],[Confirmation Type]]="Automatic",1,0)</f>
        <v>1</v>
      </c>
      <c r="CE487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88" spans="1:83" x14ac:dyDescent="0.2">
      <c r="A488" s="1" t="s">
        <v>2830</v>
      </c>
      <c r="B488" s="2" t="s">
        <v>2831</v>
      </c>
      <c r="C488" s="2" t="s">
        <v>2832</v>
      </c>
      <c r="D488" s="2" t="s">
        <v>238</v>
      </c>
      <c r="E488" s="3">
        <v>4.8099999999999996</v>
      </c>
      <c r="F488" s="3">
        <v>21.54</v>
      </c>
      <c r="G488" s="2" t="s">
        <v>133</v>
      </c>
      <c r="H488" s="2" t="s">
        <v>892</v>
      </c>
      <c r="I488" s="3" t="s">
        <v>114</v>
      </c>
      <c r="J488" s="3">
        <v>168</v>
      </c>
      <c r="K488" s="2" t="s">
        <v>2833</v>
      </c>
      <c r="L488" s="4">
        <v>46009</v>
      </c>
      <c r="M488" s="4">
        <v>45986</v>
      </c>
      <c r="N488" s="2" t="s">
        <v>2274</v>
      </c>
      <c r="O488" s="2" t="s">
        <v>1805</v>
      </c>
      <c r="P488" s="2" t="s">
        <v>2275</v>
      </c>
      <c r="Q488" s="2" t="s">
        <v>1806</v>
      </c>
      <c r="R488" s="2" t="s">
        <v>2834</v>
      </c>
      <c r="S488" s="4">
        <v>45959</v>
      </c>
      <c r="T488" s="2" t="s">
        <v>2727</v>
      </c>
      <c r="U488" s="2" t="s">
        <v>1805</v>
      </c>
      <c r="V488" s="2" t="s">
        <v>2717</v>
      </c>
      <c r="W488" s="2" t="s">
        <v>1806</v>
      </c>
      <c r="X488" s="2" t="s">
        <v>117</v>
      </c>
      <c r="Y488" s="3" t="s">
        <v>118</v>
      </c>
      <c r="Z488" s="3">
        <v>26.36</v>
      </c>
      <c r="AA488" s="2" t="s">
        <v>90</v>
      </c>
      <c r="AB488" s="2" t="s">
        <v>2835</v>
      </c>
      <c r="AC488" s="2" t="s">
        <v>2836</v>
      </c>
      <c r="AD488" t="str" cm="1">
        <f t="array" ref="AD48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488" s="2" t="s">
        <v>139</v>
      </c>
      <c r="AF488" s="2" t="s">
        <v>92</v>
      </c>
      <c r="AG488" s="2" t="s">
        <v>119</v>
      </c>
      <c r="AH488" s="2" t="s">
        <v>120</v>
      </c>
      <c r="AK488" s="2" t="s">
        <v>2837</v>
      </c>
      <c r="AN488" s="3">
        <v>1</v>
      </c>
      <c r="AO488" s="3">
        <v>1</v>
      </c>
      <c r="AP488" s="3">
        <v>1</v>
      </c>
      <c r="AQ488" s="3">
        <v>1</v>
      </c>
      <c r="AR488" s="3">
        <v>0</v>
      </c>
      <c r="AS488" s="3">
        <v>0</v>
      </c>
      <c r="AT488" s="3">
        <v>1</v>
      </c>
      <c r="AU488" s="3">
        <v>0</v>
      </c>
      <c r="AV488" s="3">
        <v>1</v>
      </c>
      <c r="AW488" s="3">
        <v>0</v>
      </c>
      <c r="AX488" s="3">
        <v>0</v>
      </c>
      <c r="AY488" s="3">
        <v>0</v>
      </c>
      <c r="AZ488" s="3">
        <v>1</v>
      </c>
      <c r="BA488" s="3">
        <v>1</v>
      </c>
      <c r="BB488" s="3">
        <v>0</v>
      </c>
      <c r="BC488" s="3">
        <v>0</v>
      </c>
      <c r="BD488" s="3">
        <v>0</v>
      </c>
      <c r="BE488" s="3">
        <v>0</v>
      </c>
      <c r="BG488" s="2" t="s">
        <v>139</v>
      </c>
      <c r="BH488" s="3">
        <v>2</v>
      </c>
      <c r="BJ488" s="2" t="s">
        <v>96</v>
      </c>
      <c r="BL488" s="2" t="s">
        <v>123</v>
      </c>
      <c r="BM488" s="2" t="s">
        <v>123</v>
      </c>
      <c r="BN488" s="2" t="s">
        <v>124</v>
      </c>
      <c r="BO488" s="2" t="s">
        <v>125</v>
      </c>
      <c r="BP488" s="2" t="s">
        <v>242</v>
      </c>
      <c r="BQ488" s="2" t="s">
        <v>124</v>
      </c>
      <c r="BR488" s="2" t="s">
        <v>126</v>
      </c>
      <c r="BS488" s="2" t="s">
        <v>127</v>
      </c>
      <c r="BT488" s="2" t="s">
        <v>1395</v>
      </c>
      <c r="BU488" s="2" t="s">
        <v>1396</v>
      </c>
      <c r="BV488" s="2" t="s">
        <v>107</v>
      </c>
      <c r="BW488" s="2" t="s">
        <v>108</v>
      </c>
      <c r="BX488" s="2" t="s">
        <v>139</v>
      </c>
      <c r="BY48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88" s="2">
        <f>IF(AND(Cases[[#This Row],[Priority Level]]&gt;=3,Cases[[#This Row],[System Role]]&lt;&gt;"Productive"),1,0)</f>
        <v>0</v>
      </c>
      <c r="CA488" s="2">
        <f>IFERROR(IF(Cases[[#This Row],[Days at Customer]]&gt;MAX(1,Cases[[#This Row],[Days at SAP]]*2),1,0),0)</f>
        <v>1</v>
      </c>
      <c r="CB488" s="2">
        <f>IF(AND(Cases[[#This Row],[Initial Component]]&lt;&gt;"",Cases[[#This Row],[Component]]&lt;&gt;"",Cases[[#This Row],[Initial Component]]&lt;&gt;Cases[[#This Row],[Component]]),1,0)</f>
        <v>1</v>
      </c>
      <c r="CC488" s="2">
        <f>IF(OR(Cases[[#This Row],[Is Reopened]]="X",Cases[[#This Row],[No. of Reopenings]]&gt;0),1,0)</f>
        <v>0</v>
      </c>
      <c r="CD488" s="2">
        <f>IF(Cases[[#This Row],[Confirmation Type]]="Automatic",1,0)</f>
        <v>1</v>
      </c>
      <c r="CE488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89" spans="1:83" x14ac:dyDescent="0.2">
      <c r="A489" s="1" t="s">
        <v>696</v>
      </c>
      <c r="B489" s="2" t="s">
        <v>599</v>
      </c>
      <c r="C489" s="2" t="s">
        <v>203</v>
      </c>
      <c r="D489" s="2" t="s">
        <v>78</v>
      </c>
      <c r="E489" s="3">
        <v>0</v>
      </c>
      <c r="F489" s="3">
        <v>0.77</v>
      </c>
      <c r="G489" s="2" t="s">
        <v>112</v>
      </c>
      <c r="H489" s="2" t="s">
        <v>113</v>
      </c>
      <c r="I489" s="3" t="s">
        <v>114</v>
      </c>
      <c r="J489" s="3">
        <v>47</v>
      </c>
      <c r="K489" s="2" t="s">
        <v>697</v>
      </c>
      <c r="L489" s="4">
        <v>46089</v>
      </c>
      <c r="M489" s="4">
        <v>46085</v>
      </c>
      <c r="N489" s="2" t="s">
        <v>180</v>
      </c>
      <c r="O489" s="2" t="s">
        <v>181</v>
      </c>
      <c r="P489" s="2" t="s">
        <v>526</v>
      </c>
      <c r="Q489" s="2" t="s">
        <v>86</v>
      </c>
      <c r="R489" s="2" t="s">
        <v>205</v>
      </c>
      <c r="S489" s="4">
        <v>46080</v>
      </c>
      <c r="T489" s="2" t="s">
        <v>677</v>
      </c>
      <c r="U489" s="2" t="s">
        <v>181</v>
      </c>
      <c r="V489" s="2" t="s">
        <v>678</v>
      </c>
      <c r="W489" s="2" t="s">
        <v>86</v>
      </c>
      <c r="X489" s="2" t="s">
        <v>117</v>
      </c>
      <c r="Y489" s="3" t="s">
        <v>118</v>
      </c>
      <c r="Z489" s="3">
        <v>0.77</v>
      </c>
      <c r="AA489" s="2" t="s">
        <v>90</v>
      </c>
      <c r="AB489" s="2" t="s">
        <v>205</v>
      </c>
      <c r="AC489" s="2" t="s">
        <v>203</v>
      </c>
      <c r="AD489" t="str" cm="1">
        <f t="array" ref="AD48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489" s="2" t="s">
        <v>139</v>
      </c>
      <c r="AF489" s="2" t="s">
        <v>92</v>
      </c>
      <c r="AG489" s="2" t="s">
        <v>119</v>
      </c>
      <c r="AH489" s="2" t="s">
        <v>120</v>
      </c>
      <c r="AK489" s="2" t="s">
        <v>698</v>
      </c>
      <c r="AN489" s="3">
        <v>1</v>
      </c>
      <c r="AO489" s="3">
        <v>1</v>
      </c>
      <c r="AP489" s="3">
        <v>1</v>
      </c>
      <c r="AQ489" s="3">
        <v>1</v>
      </c>
      <c r="AR489" s="3">
        <v>0</v>
      </c>
      <c r="AS489" s="3">
        <v>0</v>
      </c>
      <c r="AT489" s="3">
        <v>1</v>
      </c>
      <c r="AU489" s="3">
        <v>0</v>
      </c>
      <c r="AV489" s="3">
        <v>0</v>
      </c>
      <c r="AW489" s="3">
        <v>1</v>
      </c>
      <c r="AX489" s="3">
        <v>0</v>
      </c>
      <c r="AY489" s="3">
        <v>0</v>
      </c>
      <c r="AZ489" s="3">
        <v>1</v>
      </c>
      <c r="BA489" s="3">
        <v>0</v>
      </c>
      <c r="BB489" s="3">
        <v>0</v>
      </c>
      <c r="BC489" s="3">
        <v>1</v>
      </c>
      <c r="BD489" s="3">
        <v>0</v>
      </c>
      <c r="BE489" s="3">
        <v>0</v>
      </c>
      <c r="BG489" s="2" t="s">
        <v>139</v>
      </c>
      <c r="BH489" s="3">
        <v>2</v>
      </c>
      <c r="BI489" s="2" t="s">
        <v>122</v>
      </c>
      <c r="BJ489" s="2" t="s">
        <v>96</v>
      </c>
      <c r="BL489" s="2" t="s">
        <v>123</v>
      </c>
      <c r="BM489" s="2" t="s">
        <v>123</v>
      </c>
      <c r="BN489" s="2" t="s">
        <v>124</v>
      </c>
      <c r="BO489" s="2" t="s">
        <v>125</v>
      </c>
      <c r="BP489" s="2" t="s">
        <v>101</v>
      </c>
      <c r="BQ489" s="2" t="s">
        <v>124</v>
      </c>
      <c r="BR489" s="2" t="s">
        <v>126</v>
      </c>
      <c r="BS489" s="2" t="s">
        <v>127</v>
      </c>
      <c r="BT489" s="2" t="s">
        <v>207</v>
      </c>
      <c r="BU489" s="2" t="s">
        <v>208</v>
      </c>
      <c r="BV489" s="2" t="s">
        <v>150</v>
      </c>
      <c r="BW489" s="2" t="s">
        <v>151</v>
      </c>
      <c r="BX489" s="2" t="s">
        <v>139</v>
      </c>
      <c r="BY48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89" s="2">
        <f>IF(AND(Cases[[#This Row],[Priority Level]]&gt;=3,Cases[[#This Row],[System Role]]&lt;&gt;"Productive"),1,0)</f>
        <v>0</v>
      </c>
      <c r="CA489" s="2">
        <f>IFERROR(IF(Cases[[#This Row],[Days at Customer]]&gt;MAX(1,Cases[[#This Row],[Days at SAP]]*2),1,0),0)</f>
        <v>0</v>
      </c>
      <c r="CB489" s="2">
        <f>IF(AND(Cases[[#This Row],[Initial Component]]&lt;&gt;"",Cases[[#This Row],[Component]]&lt;&gt;"",Cases[[#This Row],[Initial Component]]&lt;&gt;Cases[[#This Row],[Component]]),1,0)</f>
        <v>0</v>
      </c>
      <c r="CC489" s="2">
        <f>IF(OR(Cases[[#This Row],[Is Reopened]]="X",Cases[[#This Row],[No. of Reopenings]]&gt;0),1,0)</f>
        <v>0</v>
      </c>
      <c r="CD489" s="2">
        <f>IF(Cases[[#This Row],[Confirmation Type]]="Automatic",1,0)</f>
        <v>0</v>
      </c>
      <c r="CE489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490" spans="1:83" x14ac:dyDescent="0.2">
      <c r="A490" s="1" t="s">
        <v>2842</v>
      </c>
      <c r="B490" s="2" t="s">
        <v>2843</v>
      </c>
      <c r="C490" s="2" t="s">
        <v>891</v>
      </c>
      <c r="D490" s="2" t="s">
        <v>238</v>
      </c>
      <c r="E490" s="3">
        <v>1</v>
      </c>
      <c r="F490" s="3">
        <v>29.58</v>
      </c>
      <c r="G490" s="2" t="s">
        <v>79</v>
      </c>
      <c r="H490" s="2" t="s">
        <v>80</v>
      </c>
      <c r="I490" s="3" t="s">
        <v>114</v>
      </c>
      <c r="J490" s="3">
        <v>169</v>
      </c>
      <c r="K490" s="2" t="s">
        <v>2844</v>
      </c>
      <c r="L490" s="4">
        <v>46009</v>
      </c>
      <c r="M490" s="4">
        <v>45989</v>
      </c>
      <c r="N490" s="2" t="s">
        <v>2274</v>
      </c>
      <c r="O490" s="2" t="s">
        <v>1805</v>
      </c>
      <c r="P490" s="2" t="s">
        <v>2275</v>
      </c>
      <c r="Q490" s="2" t="s">
        <v>1806</v>
      </c>
      <c r="R490" s="2" t="s">
        <v>894</v>
      </c>
      <c r="S490" s="4">
        <v>45958</v>
      </c>
      <c r="T490" s="2" t="s">
        <v>2727</v>
      </c>
      <c r="U490" s="2" t="s">
        <v>1805</v>
      </c>
      <c r="V490" s="2" t="s">
        <v>2717</v>
      </c>
      <c r="W490" s="2" t="s">
        <v>1806</v>
      </c>
      <c r="X490" s="2" t="s">
        <v>117</v>
      </c>
      <c r="Y490" s="3" t="s">
        <v>118</v>
      </c>
      <c r="Z490" s="3">
        <v>30.58</v>
      </c>
      <c r="AA490" s="2" t="s">
        <v>138</v>
      </c>
      <c r="AB490" s="2" t="s">
        <v>894</v>
      </c>
      <c r="AC490" s="2" t="s">
        <v>891</v>
      </c>
      <c r="AD490" t="str" cm="1">
        <f t="array" ref="AD49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490" s="2" t="s">
        <v>139</v>
      </c>
      <c r="AF490" s="2" t="s">
        <v>92</v>
      </c>
      <c r="AG490" s="2" t="s">
        <v>274</v>
      </c>
      <c r="AH490" s="2" t="s">
        <v>275</v>
      </c>
      <c r="AK490" s="2" t="s">
        <v>2845</v>
      </c>
      <c r="AN490" s="3">
        <v>1</v>
      </c>
      <c r="AO490" s="3">
        <v>1</v>
      </c>
      <c r="AP490" s="3">
        <v>1</v>
      </c>
      <c r="AQ490" s="3">
        <v>1</v>
      </c>
      <c r="AR490" s="3">
        <v>1</v>
      </c>
      <c r="AS490" s="3">
        <v>0</v>
      </c>
      <c r="AT490" s="3">
        <v>0</v>
      </c>
      <c r="AU490" s="3">
        <v>0</v>
      </c>
      <c r="AV490" s="3">
        <v>1</v>
      </c>
      <c r="AW490" s="3">
        <v>0</v>
      </c>
      <c r="AX490" s="3">
        <v>1</v>
      </c>
      <c r="AY490" s="3">
        <v>0</v>
      </c>
      <c r="AZ490" s="3">
        <v>0</v>
      </c>
      <c r="BA490" s="3">
        <v>0</v>
      </c>
      <c r="BB490" s="3">
        <v>0</v>
      </c>
      <c r="BC490" s="3">
        <v>1</v>
      </c>
      <c r="BD490" s="3">
        <v>0</v>
      </c>
      <c r="BE490" s="3">
        <v>0</v>
      </c>
      <c r="BG490" s="2" t="s">
        <v>91</v>
      </c>
      <c r="BH490" s="3">
        <v>3</v>
      </c>
      <c r="BJ490" s="2" t="s">
        <v>96</v>
      </c>
      <c r="BL490" s="2" t="s">
        <v>277</v>
      </c>
      <c r="BM490" s="2" t="s">
        <v>278</v>
      </c>
      <c r="BN490" s="2" t="s">
        <v>279</v>
      </c>
      <c r="BO490" s="2" t="s">
        <v>280</v>
      </c>
      <c r="BP490" s="2" t="s">
        <v>242</v>
      </c>
      <c r="BQ490" s="2" t="s">
        <v>277</v>
      </c>
      <c r="BR490" s="2" t="s">
        <v>281</v>
      </c>
      <c r="BS490" s="2" t="s">
        <v>147</v>
      </c>
      <c r="BT490" s="2" t="s">
        <v>148</v>
      </c>
      <c r="BU490" s="2" t="s">
        <v>282</v>
      </c>
      <c r="BV490" s="2" t="s">
        <v>150</v>
      </c>
      <c r="BW490" s="2" t="s">
        <v>151</v>
      </c>
      <c r="BX490" s="2" t="s">
        <v>91</v>
      </c>
      <c r="BY49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90" s="2">
        <f>IF(AND(Cases[[#This Row],[Priority Level]]&gt;=3,Cases[[#This Row],[System Role]]&lt;&gt;"Productive"),1,0)</f>
        <v>0</v>
      </c>
      <c r="CA490" s="2">
        <f>IFERROR(IF(Cases[[#This Row],[Days at Customer]]&gt;MAX(1,Cases[[#This Row],[Days at SAP]]*2),1,0),0)</f>
        <v>1</v>
      </c>
      <c r="CB490" s="2">
        <f>IF(AND(Cases[[#This Row],[Initial Component]]&lt;&gt;"",Cases[[#This Row],[Component]]&lt;&gt;"",Cases[[#This Row],[Initial Component]]&lt;&gt;Cases[[#This Row],[Component]]),1,0)</f>
        <v>0</v>
      </c>
      <c r="CC490" s="2">
        <f>IF(OR(Cases[[#This Row],[Is Reopened]]="X",Cases[[#This Row],[No. of Reopenings]]&gt;0),1,0)</f>
        <v>0</v>
      </c>
      <c r="CD490" s="2">
        <f>IF(Cases[[#This Row],[Confirmation Type]]="Automatic",1,0)</f>
        <v>1</v>
      </c>
      <c r="CE490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91" spans="1:83" x14ac:dyDescent="0.2">
      <c r="A491" s="1" t="s">
        <v>1162</v>
      </c>
      <c r="B491" s="2" t="s">
        <v>1163</v>
      </c>
      <c r="C491" s="2" t="s">
        <v>203</v>
      </c>
      <c r="D491" s="2" t="s">
        <v>238</v>
      </c>
      <c r="E491" s="3">
        <v>0</v>
      </c>
      <c r="F491" s="3">
        <v>23.19</v>
      </c>
      <c r="G491" s="2" t="s">
        <v>112</v>
      </c>
      <c r="H491" s="2" t="s">
        <v>113</v>
      </c>
      <c r="I491" s="3" t="s">
        <v>114</v>
      </c>
      <c r="J491" s="3">
        <v>67</v>
      </c>
      <c r="K491" s="2" t="s">
        <v>1164</v>
      </c>
      <c r="L491" s="4">
        <v>46089</v>
      </c>
      <c r="M491" s="4">
        <v>46085</v>
      </c>
      <c r="N491" s="2" t="s">
        <v>180</v>
      </c>
      <c r="O491" s="2" t="s">
        <v>181</v>
      </c>
      <c r="P491" s="2" t="s">
        <v>526</v>
      </c>
      <c r="Q491" s="2" t="s">
        <v>86</v>
      </c>
      <c r="R491" s="2" t="s">
        <v>205</v>
      </c>
      <c r="S491" s="4">
        <v>46060</v>
      </c>
      <c r="T491" s="2" t="s">
        <v>677</v>
      </c>
      <c r="U491" s="2" t="s">
        <v>181</v>
      </c>
      <c r="V491" s="2" t="s">
        <v>1165</v>
      </c>
      <c r="W491" s="2" t="s">
        <v>86</v>
      </c>
      <c r="X491" s="2" t="s">
        <v>117</v>
      </c>
      <c r="Y491" s="3" t="s">
        <v>118</v>
      </c>
      <c r="Z491" s="3">
        <v>23.19</v>
      </c>
      <c r="AA491" s="2" t="s">
        <v>90</v>
      </c>
      <c r="AB491" s="2" t="s">
        <v>205</v>
      </c>
      <c r="AC491" s="2" t="s">
        <v>203</v>
      </c>
      <c r="AD491" t="str" cm="1">
        <f t="array" ref="AD49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491" s="2" t="s">
        <v>91</v>
      </c>
      <c r="AF491" s="2" t="s">
        <v>92</v>
      </c>
      <c r="AG491" s="2" t="s">
        <v>119</v>
      </c>
      <c r="AH491" s="2" t="s">
        <v>120</v>
      </c>
      <c r="AK491" s="2" t="s">
        <v>1166</v>
      </c>
      <c r="AN491" s="3">
        <v>1</v>
      </c>
      <c r="AO491" s="3">
        <v>1</v>
      </c>
      <c r="AP491" s="3">
        <v>1</v>
      </c>
      <c r="AQ491" s="3">
        <v>1</v>
      </c>
      <c r="AR491" s="3">
        <v>1</v>
      </c>
      <c r="AS491" s="3">
        <v>0</v>
      </c>
      <c r="AT491" s="3">
        <v>0</v>
      </c>
      <c r="AU491" s="3">
        <v>0</v>
      </c>
      <c r="AV491" s="3">
        <v>1</v>
      </c>
      <c r="AW491" s="3">
        <v>0</v>
      </c>
      <c r="AX491" s="3">
        <v>1</v>
      </c>
      <c r="AY491" s="3">
        <v>0</v>
      </c>
      <c r="AZ491" s="3">
        <v>0</v>
      </c>
      <c r="BA491" s="3">
        <v>0</v>
      </c>
      <c r="BB491" s="3">
        <v>0</v>
      </c>
      <c r="BC491" s="3">
        <v>1</v>
      </c>
      <c r="BD491" s="3">
        <v>0</v>
      </c>
      <c r="BE491" s="3">
        <v>0</v>
      </c>
      <c r="BG491" s="2" t="s">
        <v>91</v>
      </c>
      <c r="BH491" s="3">
        <v>3</v>
      </c>
      <c r="BI491" s="2" t="s">
        <v>122</v>
      </c>
      <c r="BJ491" s="2" t="s">
        <v>96</v>
      </c>
      <c r="BL491" s="2" t="s">
        <v>123</v>
      </c>
      <c r="BM491" s="2" t="s">
        <v>123</v>
      </c>
      <c r="BN491" s="2" t="s">
        <v>124</v>
      </c>
      <c r="BO491" s="2" t="s">
        <v>125</v>
      </c>
      <c r="BP491" s="2" t="s">
        <v>242</v>
      </c>
      <c r="BQ491" s="2" t="s">
        <v>124</v>
      </c>
      <c r="BR491" s="2" t="s">
        <v>126</v>
      </c>
      <c r="BS491" s="2" t="s">
        <v>127</v>
      </c>
      <c r="BT491" s="2" t="s">
        <v>207</v>
      </c>
      <c r="BU491" s="2" t="s">
        <v>208</v>
      </c>
      <c r="BV491" s="2" t="s">
        <v>150</v>
      </c>
      <c r="BW491" s="2" t="s">
        <v>151</v>
      </c>
      <c r="BX491" s="2" t="s">
        <v>91</v>
      </c>
      <c r="BY49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91" s="2">
        <f>IF(AND(Cases[[#This Row],[Priority Level]]&gt;=3,Cases[[#This Row],[System Role]]&lt;&gt;"Productive"),1,0)</f>
        <v>0</v>
      </c>
      <c r="CA491" s="2">
        <f>IFERROR(IF(Cases[[#This Row],[Days at Customer]]&gt;MAX(1,Cases[[#This Row],[Days at SAP]]*2),1,0),0)</f>
        <v>1</v>
      </c>
      <c r="CB491" s="2">
        <f>IF(AND(Cases[[#This Row],[Initial Component]]&lt;&gt;"",Cases[[#This Row],[Component]]&lt;&gt;"",Cases[[#This Row],[Initial Component]]&lt;&gt;Cases[[#This Row],[Component]]),1,0)</f>
        <v>0</v>
      </c>
      <c r="CC491" s="2">
        <f>IF(OR(Cases[[#This Row],[Is Reopened]]="X",Cases[[#This Row],[No. of Reopenings]]&gt;0),1,0)</f>
        <v>0</v>
      </c>
      <c r="CD491" s="2">
        <f>IF(Cases[[#This Row],[Confirmation Type]]="Automatic",1,0)</f>
        <v>1</v>
      </c>
      <c r="CE491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92" spans="1:83" x14ac:dyDescent="0.2">
      <c r="A492" s="1" t="s">
        <v>2850</v>
      </c>
      <c r="B492" s="2" t="s">
        <v>2851</v>
      </c>
      <c r="C492" s="2" t="s">
        <v>925</v>
      </c>
      <c r="D492" s="2" t="s">
        <v>238</v>
      </c>
      <c r="E492" s="3">
        <v>32.799999999999997</v>
      </c>
      <c r="F492" s="3">
        <v>60.48</v>
      </c>
      <c r="G492" s="2" t="s">
        <v>190</v>
      </c>
      <c r="H492" s="2" t="s">
        <v>1205</v>
      </c>
      <c r="I492" s="3" t="s">
        <v>114</v>
      </c>
      <c r="J492" s="3">
        <v>169</v>
      </c>
      <c r="K492" s="2" t="s">
        <v>2852</v>
      </c>
      <c r="L492" s="4">
        <v>46054</v>
      </c>
      <c r="M492" s="4">
        <v>46051</v>
      </c>
      <c r="N492" s="2" t="s">
        <v>1334</v>
      </c>
      <c r="O492" s="2" t="s">
        <v>181</v>
      </c>
      <c r="P492" s="2" t="s">
        <v>1335</v>
      </c>
      <c r="Q492" s="2" t="s">
        <v>86</v>
      </c>
      <c r="R492" s="2" t="s">
        <v>927</v>
      </c>
      <c r="S492" s="4">
        <v>45958</v>
      </c>
      <c r="T492" s="2" t="s">
        <v>2727</v>
      </c>
      <c r="U492" s="2" t="s">
        <v>1805</v>
      </c>
      <c r="V492" s="2" t="s">
        <v>2717</v>
      </c>
      <c r="W492" s="2" t="s">
        <v>1806</v>
      </c>
      <c r="X492" s="2" t="s">
        <v>117</v>
      </c>
      <c r="Y492" s="3" t="s">
        <v>118</v>
      </c>
      <c r="Z492" s="3">
        <v>93.28</v>
      </c>
      <c r="AA492" s="2" t="s">
        <v>138</v>
      </c>
      <c r="AB492" s="2" t="s">
        <v>2853</v>
      </c>
      <c r="AC492" s="2" t="s">
        <v>2854</v>
      </c>
      <c r="AD492" t="str" cm="1">
        <f t="array" ref="AD49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EAM</v>
      </c>
      <c r="AE492" s="2" t="s">
        <v>158</v>
      </c>
      <c r="AF492" s="2" t="s">
        <v>900</v>
      </c>
      <c r="AG492" s="2" t="s">
        <v>274</v>
      </c>
      <c r="AH492" s="2" t="s">
        <v>275</v>
      </c>
      <c r="AJ492" s="2" t="s">
        <v>122</v>
      </c>
      <c r="AK492" s="2" t="s">
        <v>2855</v>
      </c>
      <c r="AN492" s="3">
        <v>1</v>
      </c>
      <c r="AO492" s="3">
        <v>1</v>
      </c>
      <c r="AP492" s="3">
        <v>1</v>
      </c>
      <c r="AQ492" s="3">
        <v>1</v>
      </c>
      <c r="AR492" s="3">
        <v>1</v>
      </c>
      <c r="AS492" s="3">
        <v>0</v>
      </c>
      <c r="AT492" s="3">
        <v>0</v>
      </c>
      <c r="AU492" s="3">
        <v>0</v>
      </c>
      <c r="AV492" s="3">
        <v>1</v>
      </c>
      <c r="AW492" s="3">
        <v>0</v>
      </c>
      <c r="AX492" s="3">
        <v>1</v>
      </c>
      <c r="AY492" s="3">
        <v>0</v>
      </c>
      <c r="AZ492" s="3">
        <v>0</v>
      </c>
      <c r="BA492" s="3">
        <v>0</v>
      </c>
      <c r="BB492" s="3">
        <v>0</v>
      </c>
      <c r="BC492" s="3">
        <v>1</v>
      </c>
      <c r="BD492" s="3">
        <v>3</v>
      </c>
      <c r="BE492" s="3">
        <v>0</v>
      </c>
      <c r="BG492" s="2" t="s">
        <v>91</v>
      </c>
      <c r="BH492" s="3">
        <v>3</v>
      </c>
      <c r="BJ492" s="2" t="s">
        <v>96</v>
      </c>
      <c r="BL492" s="2" t="s">
        <v>931</v>
      </c>
      <c r="BM492" s="2" t="s">
        <v>932</v>
      </c>
      <c r="BN492" s="2" t="s">
        <v>279</v>
      </c>
      <c r="BO492" s="2" t="s">
        <v>280</v>
      </c>
      <c r="BP492" s="2" t="s">
        <v>242</v>
      </c>
      <c r="BQ492" s="2" t="s">
        <v>448</v>
      </c>
      <c r="BR492" s="2" t="s">
        <v>449</v>
      </c>
      <c r="BS492" s="2" t="s">
        <v>450</v>
      </c>
      <c r="BT492" s="2" t="s">
        <v>148</v>
      </c>
      <c r="BU492" s="2" t="s">
        <v>933</v>
      </c>
      <c r="BV492" s="2" t="s">
        <v>150</v>
      </c>
      <c r="BW492" s="2" t="s">
        <v>151</v>
      </c>
      <c r="BX492" s="2" t="s">
        <v>91</v>
      </c>
      <c r="BY49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92" s="2">
        <f>IF(AND(Cases[[#This Row],[Priority Level]]&gt;=3,Cases[[#This Row],[System Role]]&lt;&gt;"Productive"),1,0)</f>
        <v>0</v>
      </c>
      <c r="CA492" s="2">
        <f>IFERROR(IF(Cases[[#This Row],[Days at Customer]]&gt;MAX(1,Cases[[#This Row],[Days at SAP]]*2),1,0),0)</f>
        <v>0</v>
      </c>
      <c r="CB492" s="2">
        <f>IF(AND(Cases[[#This Row],[Initial Component]]&lt;&gt;"",Cases[[#This Row],[Component]]&lt;&gt;"",Cases[[#This Row],[Initial Component]]&lt;&gt;Cases[[#This Row],[Component]]),1,0)</f>
        <v>1</v>
      </c>
      <c r="CC492" s="2">
        <f>IF(OR(Cases[[#This Row],[Is Reopened]]="X",Cases[[#This Row],[No. of Reopenings]]&gt;0),1,0)</f>
        <v>1</v>
      </c>
      <c r="CD492" s="2">
        <f>IF(Cases[[#This Row],[Confirmation Type]]="Automatic",1,0)</f>
        <v>1</v>
      </c>
      <c r="CE492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93" spans="1:83" x14ac:dyDescent="0.2">
      <c r="A493" s="1" t="s">
        <v>2856</v>
      </c>
      <c r="B493" s="2" t="s">
        <v>2857</v>
      </c>
      <c r="C493" s="2" t="s">
        <v>1645</v>
      </c>
      <c r="D493" s="2" t="s">
        <v>238</v>
      </c>
      <c r="E493" s="3">
        <v>99.61</v>
      </c>
      <c r="F493" s="3">
        <v>57.73</v>
      </c>
      <c r="G493" s="2" t="s">
        <v>190</v>
      </c>
      <c r="H493" s="2" t="s">
        <v>308</v>
      </c>
      <c r="I493" s="3" t="s">
        <v>114</v>
      </c>
      <c r="J493" s="3">
        <v>169</v>
      </c>
      <c r="K493" s="2" t="s">
        <v>2858</v>
      </c>
      <c r="L493" s="4">
        <v>46117</v>
      </c>
      <c r="M493" s="4">
        <v>46116</v>
      </c>
      <c r="N493" s="2" t="s">
        <v>83</v>
      </c>
      <c r="O493" s="2" t="s">
        <v>84</v>
      </c>
      <c r="P493" s="2" t="s">
        <v>136</v>
      </c>
      <c r="Q493" s="2" t="s">
        <v>86</v>
      </c>
      <c r="R493" s="2" t="s">
        <v>1647</v>
      </c>
      <c r="S493" s="4">
        <v>45958</v>
      </c>
      <c r="T493" s="2" t="s">
        <v>2727</v>
      </c>
      <c r="U493" s="2" t="s">
        <v>1805</v>
      </c>
      <c r="V493" s="2" t="s">
        <v>2717</v>
      </c>
      <c r="W493" s="2" t="s">
        <v>1806</v>
      </c>
      <c r="X493" s="2" t="s">
        <v>117</v>
      </c>
      <c r="Y493" s="3" t="s">
        <v>118</v>
      </c>
      <c r="Z493" s="3">
        <v>157.34</v>
      </c>
      <c r="AA493" s="2" t="s">
        <v>90</v>
      </c>
      <c r="AB493" s="2" t="s">
        <v>1647</v>
      </c>
      <c r="AC493" s="2" t="s">
        <v>1645</v>
      </c>
      <c r="AD493" t="str" cm="1">
        <f t="array" ref="AD49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493" s="2" t="s">
        <v>139</v>
      </c>
      <c r="AF493" s="2" t="s">
        <v>92</v>
      </c>
      <c r="AG493" s="2" t="s">
        <v>119</v>
      </c>
      <c r="AH493" s="2" t="s">
        <v>120</v>
      </c>
      <c r="AJ493" s="2" t="s">
        <v>122</v>
      </c>
      <c r="AK493" s="2" t="s">
        <v>2859</v>
      </c>
      <c r="AN493" s="3">
        <v>1</v>
      </c>
      <c r="AO493" s="3">
        <v>1</v>
      </c>
      <c r="AP493" s="3">
        <v>1</v>
      </c>
      <c r="AQ493" s="3">
        <v>1</v>
      </c>
      <c r="AR493" s="3">
        <v>0</v>
      </c>
      <c r="AS493" s="3">
        <v>0</v>
      </c>
      <c r="AT493" s="3">
        <v>1</v>
      </c>
      <c r="AU493" s="3">
        <v>0</v>
      </c>
      <c r="AV493" s="3">
        <v>1</v>
      </c>
      <c r="AW493" s="3">
        <v>0</v>
      </c>
      <c r="AX493" s="3">
        <v>0</v>
      </c>
      <c r="AY493" s="3">
        <v>0</v>
      </c>
      <c r="AZ493" s="3">
        <v>1</v>
      </c>
      <c r="BA493" s="3">
        <v>1</v>
      </c>
      <c r="BB493" s="3">
        <v>0</v>
      </c>
      <c r="BC493" s="3">
        <v>0</v>
      </c>
      <c r="BD493" s="3">
        <v>5</v>
      </c>
      <c r="BE493" s="3">
        <v>0</v>
      </c>
      <c r="BG493" s="2" t="s">
        <v>139</v>
      </c>
      <c r="BH493" s="3">
        <v>2</v>
      </c>
      <c r="BJ493" s="2" t="s">
        <v>96</v>
      </c>
      <c r="BL493" s="2" t="s">
        <v>123</v>
      </c>
      <c r="BM493" s="2" t="s">
        <v>123</v>
      </c>
      <c r="BN493" s="2" t="s">
        <v>124</v>
      </c>
      <c r="BO493" s="2" t="s">
        <v>125</v>
      </c>
      <c r="BP493" s="2" t="s">
        <v>242</v>
      </c>
      <c r="BQ493" s="2" t="s">
        <v>124</v>
      </c>
      <c r="BR493" s="2" t="s">
        <v>126</v>
      </c>
      <c r="BS493" s="2" t="s">
        <v>127</v>
      </c>
      <c r="BT493" s="2" t="s">
        <v>1395</v>
      </c>
      <c r="BU493" s="2" t="s">
        <v>1396</v>
      </c>
      <c r="BV493" s="2" t="s">
        <v>107</v>
      </c>
      <c r="BW493" s="2" t="s">
        <v>108</v>
      </c>
      <c r="BX493" s="2" t="s">
        <v>139</v>
      </c>
      <c r="BY49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93" s="2">
        <f>IF(AND(Cases[[#This Row],[Priority Level]]&gt;=3,Cases[[#This Row],[System Role]]&lt;&gt;"Productive"),1,0)</f>
        <v>0</v>
      </c>
      <c r="CA493" s="2">
        <f>IFERROR(IF(Cases[[#This Row],[Days at Customer]]&gt;MAX(1,Cases[[#This Row],[Days at SAP]]*2),1,0),0)</f>
        <v>0</v>
      </c>
      <c r="CB493" s="2">
        <f>IF(AND(Cases[[#This Row],[Initial Component]]&lt;&gt;"",Cases[[#This Row],[Component]]&lt;&gt;"",Cases[[#This Row],[Initial Component]]&lt;&gt;Cases[[#This Row],[Component]]),1,0)</f>
        <v>0</v>
      </c>
      <c r="CC493" s="2">
        <f>IF(OR(Cases[[#This Row],[Is Reopened]]="X",Cases[[#This Row],[No. of Reopenings]]&gt;0),1,0)</f>
        <v>1</v>
      </c>
      <c r="CD493" s="2">
        <f>IF(Cases[[#This Row],[Confirmation Type]]="Automatic",1,0)</f>
        <v>1</v>
      </c>
      <c r="CE493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94" spans="1:83" x14ac:dyDescent="0.2">
      <c r="A494" s="1" t="s">
        <v>2860</v>
      </c>
      <c r="B494" s="2" t="s">
        <v>2861</v>
      </c>
      <c r="C494" s="2" t="s">
        <v>154</v>
      </c>
      <c r="D494" s="2" t="s">
        <v>238</v>
      </c>
      <c r="E494" s="3">
        <v>19.61</v>
      </c>
      <c r="F494" s="3">
        <v>23.13</v>
      </c>
      <c r="G494" s="2" t="s">
        <v>79</v>
      </c>
      <c r="H494" s="2" t="s">
        <v>80</v>
      </c>
      <c r="I494" s="3" t="s">
        <v>114</v>
      </c>
      <c r="J494" s="3">
        <v>170</v>
      </c>
      <c r="K494" s="2" t="s">
        <v>2862</v>
      </c>
      <c r="L494" s="4">
        <v>46009</v>
      </c>
      <c r="M494" s="4">
        <v>46000</v>
      </c>
      <c r="N494" s="2" t="s">
        <v>1804</v>
      </c>
      <c r="O494" s="2" t="s">
        <v>1805</v>
      </c>
      <c r="P494" s="2" t="s">
        <v>2037</v>
      </c>
      <c r="Q494" s="2" t="s">
        <v>1806</v>
      </c>
      <c r="R494" s="2" t="s">
        <v>157</v>
      </c>
      <c r="S494" s="4">
        <v>45957</v>
      </c>
      <c r="T494" s="2" t="s">
        <v>2727</v>
      </c>
      <c r="U494" s="2" t="s">
        <v>1805</v>
      </c>
      <c r="V494" s="2" t="s">
        <v>2717</v>
      </c>
      <c r="W494" s="2" t="s">
        <v>1806</v>
      </c>
      <c r="X494" s="2" t="s">
        <v>117</v>
      </c>
      <c r="Y494" s="3" t="s">
        <v>118</v>
      </c>
      <c r="Z494" s="3">
        <v>42.73</v>
      </c>
      <c r="AA494" s="2" t="s">
        <v>90</v>
      </c>
      <c r="AB494" s="2" t="s">
        <v>157</v>
      </c>
      <c r="AC494" s="2" t="s">
        <v>154</v>
      </c>
      <c r="AD494" t="str" cm="1">
        <f t="array" ref="AD49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494" s="2" t="s">
        <v>91</v>
      </c>
      <c r="AF494" s="2" t="s">
        <v>998</v>
      </c>
      <c r="AG494" s="2" t="s">
        <v>159</v>
      </c>
      <c r="AH494" s="2" t="s">
        <v>160</v>
      </c>
      <c r="AK494" s="2" t="s">
        <v>2863</v>
      </c>
      <c r="AN494" s="3">
        <v>1</v>
      </c>
      <c r="AO494" s="3">
        <v>1</v>
      </c>
      <c r="AP494" s="3">
        <v>1</v>
      </c>
      <c r="AQ494" s="3">
        <v>1</v>
      </c>
      <c r="AR494" s="3">
        <v>1</v>
      </c>
      <c r="AS494" s="3">
        <v>0</v>
      </c>
      <c r="AT494" s="3">
        <v>0</v>
      </c>
      <c r="AU494" s="3">
        <v>0</v>
      </c>
      <c r="AV494" s="3">
        <v>1</v>
      </c>
      <c r="AW494" s="3">
        <v>0</v>
      </c>
      <c r="AX494" s="3">
        <v>1</v>
      </c>
      <c r="AY494" s="3">
        <v>0</v>
      </c>
      <c r="AZ494" s="3">
        <v>0</v>
      </c>
      <c r="BA494" s="3">
        <v>0</v>
      </c>
      <c r="BB494" s="3">
        <v>0</v>
      </c>
      <c r="BC494" s="3">
        <v>1</v>
      </c>
      <c r="BD494" s="3">
        <v>0</v>
      </c>
      <c r="BE494" s="3">
        <v>0</v>
      </c>
      <c r="BG494" s="2" t="s">
        <v>91</v>
      </c>
      <c r="BH494" s="3">
        <v>3</v>
      </c>
      <c r="BJ494" s="2" t="s">
        <v>96</v>
      </c>
      <c r="BL494" s="2" t="s">
        <v>162</v>
      </c>
      <c r="BM494" s="2" t="s">
        <v>163</v>
      </c>
      <c r="BN494" s="2" t="s">
        <v>99</v>
      </c>
      <c r="BO494" s="2" t="s">
        <v>100</v>
      </c>
      <c r="BP494" s="2" t="s">
        <v>242</v>
      </c>
      <c r="BQ494" s="2" t="s">
        <v>102</v>
      </c>
      <c r="BR494" s="2" t="s">
        <v>103</v>
      </c>
      <c r="BS494" s="2" t="s">
        <v>127</v>
      </c>
      <c r="BT494" s="2" t="s">
        <v>398</v>
      </c>
      <c r="BU494" s="2" t="s">
        <v>399</v>
      </c>
      <c r="BV494" s="2" t="s">
        <v>150</v>
      </c>
      <c r="BW494" s="2" t="s">
        <v>151</v>
      </c>
      <c r="BX494" s="2" t="s">
        <v>91</v>
      </c>
      <c r="BY49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94" s="2">
        <f>IF(AND(Cases[[#This Row],[Priority Level]]&gt;=3,Cases[[#This Row],[System Role]]&lt;&gt;"Productive"),1,0)</f>
        <v>0</v>
      </c>
      <c r="CA494" s="2">
        <f>IFERROR(IF(Cases[[#This Row],[Days at Customer]]&gt;MAX(1,Cases[[#This Row],[Days at SAP]]*2),1,0),0)</f>
        <v>0</v>
      </c>
      <c r="CB494" s="2">
        <f>IF(AND(Cases[[#This Row],[Initial Component]]&lt;&gt;"",Cases[[#This Row],[Component]]&lt;&gt;"",Cases[[#This Row],[Initial Component]]&lt;&gt;Cases[[#This Row],[Component]]),1,0)</f>
        <v>0</v>
      </c>
      <c r="CC494" s="2">
        <f>IF(OR(Cases[[#This Row],[Is Reopened]]="X",Cases[[#This Row],[No. of Reopenings]]&gt;0),1,0)</f>
        <v>0</v>
      </c>
      <c r="CD494" s="2">
        <f>IF(Cases[[#This Row],[Confirmation Type]]="Automatic",1,0)</f>
        <v>1</v>
      </c>
      <c r="CE494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495" spans="1:83" x14ac:dyDescent="0.2">
      <c r="A495" s="1" t="s">
        <v>2864</v>
      </c>
      <c r="B495" s="2" t="s">
        <v>2865</v>
      </c>
      <c r="C495" s="2" t="s">
        <v>2866</v>
      </c>
      <c r="D495" s="2" t="s">
        <v>78</v>
      </c>
      <c r="E495" s="3">
        <v>7.16</v>
      </c>
      <c r="F495" s="3">
        <v>0.64</v>
      </c>
      <c r="G495" s="2" t="s">
        <v>190</v>
      </c>
      <c r="H495" s="2" t="s">
        <v>839</v>
      </c>
      <c r="I495" s="3" t="s">
        <v>114</v>
      </c>
      <c r="J495" s="3">
        <v>170</v>
      </c>
      <c r="K495" s="2" t="s">
        <v>2867</v>
      </c>
      <c r="L495" s="4">
        <v>46061</v>
      </c>
      <c r="M495" s="4">
        <v>45965</v>
      </c>
      <c r="N495" s="2" t="s">
        <v>2274</v>
      </c>
      <c r="O495" s="2" t="s">
        <v>1805</v>
      </c>
      <c r="P495" s="2" t="s">
        <v>2583</v>
      </c>
      <c r="Q495" s="2" t="s">
        <v>1806</v>
      </c>
      <c r="R495" s="2" t="s">
        <v>2868</v>
      </c>
      <c r="S495" s="4">
        <v>45957</v>
      </c>
      <c r="T495" s="2" t="s">
        <v>2727</v>
      </c>
      <c r="U495" s="2" t="s">
        <v>1805</v>
      </c>
      <c r="V495" s="2" t="s">
        <v>2717</v>
      </c>
      <c r="W495" s="2" t="s">
        <v>1806</v>
      </c>
      <c r="X495" s="2" t="s">
        <v>117</v>
      </c>
      <c r="Y495" s="3" t="s">
        <v>118</v>
      </c>
      <c r="Z495" s="3">
        <v>7.8</v>
      </c>
      <c r="AA495" s="2" t="s">
        <v>138</v>
      </c>
      <c r="AB495" s="2" t="s">
        <v>2869</v>
      </c>
      <c r="AC495" s="2" t="s">
        <v>2870</v>
      </c>
      <c r="AD495" t="str" cm="1">
        <f t="array" ref="AD49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495" s="2" t="s">
        <v>139</v>
      </c>
      <c r="AF495" s="2" t="s">
        <v>92</v>
      </c>
      <c r="AG495" s="2" t="s">
        <v>274</v>
      </c>
      <c r="AH495" s="2" t="s">
        <v>275</v>
      </c>
      <c r="AJ495" s="2" t="s">
        <v>122</v>
      </c>
      <c r="AK495" s="2" t="s">
        <v>2871</v>
      </c>
      <c r="AN495" s="3">
        <v>1</v>
      </c>
      <c r="AO495" s="3">
        <v>1</v>
      </c>
      <c r="AP495" s="3">
        <v>1</v>
      </c>
      <c r="AQ495" s="3">
        <v>1</v>
      </c>
      <c r="AR495" s="3">
        <v>0</v>
      </c>
      <c r="AS495" s="3">
        <v>0</v>
      </c>
      <c r="AT495" s="3">
        <v>1</v>
      </c>
      <c r="AU495" s="3">
        <v>0</v>
      </c>
      <c r="AV495" s="3">
        <v>0</v>
      </c>
      <c r="AW495" s="3">
        <v>1</v>
      </c>
      <c r="AX495" s="3">
        <v>0</v>
      </c>
      <c r="AY495" s="3">
        <v>0</v>
      </c>
      <c r="AZ495" s="3">
        <v>1</v>
      </c>
      <c r="BA495" s="3">
        <v>0</v>
      </c>
      <c r="BB495" s="3">
        <v>0</v>
      </c>
      <c r="BC495" s="3">
        <v>1</v>
      </c>
      <c r="BD495" s="3">
        <v>1</v>
      </c>
      <c r="BE495" s="3">
        <v>0</v>
      </c>
      <c r="BG495" s="2" t="s">
        <v>139</v>
      </c>
      <c r="BH495" s="3">
        <v>2</v>
      </c>
      <c r="BJ495" s="2" t="s">
        <v>96</v>
      </c>
      <c r="BL495" s="2" t="s">
        <v>277</v>
      </c>
      <c r="BM495" s="2" t="s">
        <v>278</v>
      </c>
      <c r="BN495" s="2" t="s">
        <v>279</v>
      </c>
      <c r="BO495" s="2" t="s">
        <v>280</v>
      </c>
      <c r="BP495" s="2" t="s">
        <v>101</v>
      </c>
      <c r="BQ495" s="2" t="s">
        <v>277</v>
      </c>
      <c r="BR495" s="2" t="s">
        <v>281</v>
      </c>
      <c r="BS495" s="2" t="s">
        <v>147</v>
      </c>
      <c r="BT495" s="2" t="s">
        <v>148</v>
      </c>
      <c r="BU495" s="2" t="s">
        <v>282</v>
      </c>
      <c r="BV495" s="2" t="s">
        <v>150</v>
      </c>
      <c r="BW495" s="2" t="s">
        <v>151</v>
      </c>
      <c r="BX495" s="2" t="s">
        <v>182</v>
      </c>
      <c r="BY49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95" s="2">
        <f>IF(AND(Cases[[#This Row],[Priority Level]]&gt;=3,Cases[[#This Row],[System Role]]&lt;&gt;"Productive"),1,0)</f>
        <v>0</v>
      </c>
      <c r="CA495" s="2">
        <f>IFERROR(IF(Cases[[#This Row],[Days at Customer]]&gt;MAX(1,Cases[[#This Row],[Days at SAP]]*2),1,0),0)</f>
        <v>0</v>
      </c>
      <c r="CB495" s="2">
        <f>IF(AND(Cases[[#This Row],[Initial Component]]&lt;&gt;"",Cases[[#This Row],[Component]]&lt;&gt;"",Cases[[#This Row],[Initial Component]]&lt;&gt;Cases[[#This Row],[Component]]),1,0)</f>
        <v>1</v>
      </c>
      <c r="CC495" s="2">
        <f>IF(OR(Cases[[#This Row],[Is Reopened]]="X",Cases[[#This Row],[No. of Reopenings]]&gt;0),1,0)</f>
        <v>1</v>
      </c>
      <c r="CD495" s="2">
        <f>IF(Cases[[#This Row],[Confirmation Type]]="Automatic",1,0)</f>
        <v>0</v>
      </c>
      <c r="CE495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496" spans="1:83" x14ac:dyDescent="0.2">
      <c r="A496" s="1" t="s">
        <v>2872</v>
      </c>
      <c r="B496" s="2" t="s">
        <v>2873</v>
      </c>
      <c r="C496" s="2" t="s">
        <v>455</v>
      </c>
      <c r="D496" s="2" t="s">
        <v>238</v>
      </c>
      <c r="E496" s="3">
        <v>0.02</v>
      </c>
      <c r="F496" s="3">
        <v>21.5</v>
      </c>
      <c r="G496" s="2" t="s">
        <v>133</v>
      </c>
      <c r="H496" s="2" t="s">
        <v>324</v>
      </c>
      <c r="I496" s="3" t="s">
        <v>114</v>
      </c>
      <c r="J496" s="3">
        <v>170</v>
      </c>
      <c r="K496" s="2" t="s">
        <v>2874</v>
      </c>
      <c r="L496" s="4">
        <v>46009</v>
      </c>
      <c r="M496" s="4">
        <v>45978</v>
      </c>
      <c r="N496" s="2" t="s">
        <v>2274</v>
      </c>
      <c r="O496" s="2" t="s">
        <v>1805</v>
      </c>
      <c r="P496" s="2" t="s">
        <v>2404</v>
      </c>
      <c r="Q496" s="2" t="s">
        <v>1806</v>
      </c>
      <c r="R496" s="2" t="s">
        <v>457</v>
      </c>
      <c r="S496" s="4">
        <v>45957</v>
      </c>
      <c r="T496" s="2" t="s">
        <v>2727</v>
      </c>
      <c r="U496" s="2" t="s">
        <v>1805</v>
      </c>
      <c r="V496" s="2" t="s">
        <v>2717</v>
      </c>
      <c r="W496" s="2" t="s">
        <v>1806</v>
      </c>
      <c r="X496" s="2" t="s">
        <v>117</v>
      </c>
      <c r="Y496" s="3" t="s">
        <v>118</v>
      </c>
      <c r="Z496" s="3">
        <v>21.52</v>
      </c>
      <c r="AA496" s="2" t="s">
        <v>90</v>
      </c>
      <c r="AB496" s="2" t="s">
        <v>457</v>
      </c>
      <c r="AC496" s="2" t="s">
        <v>455</v>
      </c>
      <c r="AD496" t="str" cm="1">
        <f t="array" ref="AD49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OTC</v>
      </c>
      <c r="AE496" s="2" t="s">
        <v>91</v>
      </c>
      <c r="AF496" s="2" t="s">
        <v>92</v>
      </c>
      <c r="AG496" s="2" t="s">
        <v>119</v>
      </c>
      <c r="AH496" s="2" t="s">
        <v>120</v>
      </c>
      <c r="AK496" s="2" t="s">
        <v>2875</v>
      </c>
      <c r="AN496" s="3">
        <v>1</v>
      </c>
      <c r="AO496" s="3">
        <v>1</v>
      </c>
      <c r="AP496" s="3">
        <v>1</v>
      </c>
      <c r="AQ496" s="3">
        <v>1</v>
      </c>
      <c r="AR496" s="3">
        <v>1</v>
      </c>
      <c r="AS496" s="3">
        <v>0</v>
      </c>
      <c r="AT496" s="3">
        <v>0</v>
      </c>
      <c r="AU496" s="3">
        <v>0</v>
      </c>
      <c r="AV496" s="3">
        <v>1</v>
      </c>
      <c r="AW496" s="3">
        <v>0</v>
      </c>
      <c r="AX496" s="3">
        <v>1</v>
      </c>
      <c r="AY496" s="3">
        <v>0</v>
      </c>
      <c r="AZ496" s="3">
        <v>0</v>
      </c>
      <c r="BA496" s="3">
        <v>0</v>
      </c>
      <c r="BB496" s="3">
        <v>0</v>
      </c>
      <c r="BC496" s="3">
        <v>1</v>
      </c>
      <c r="BD496" s="3">
        <v>0</v>
      </c>
      <c r="BE496" s="3">
        <v>0</v>
      </c>
      <c r="BG496" s="2" t="s">
        <v>91</v>
      </c>
      <c r="BH496" s="3">
        <v>3</v>
      </c>
      <c r="BJ496" s="2" t="s">
        <v>96</v>
      </c>
      <c r="BL496" s="2" t="s">
        <v>123</v>
      </c>
      <c r="BM496" s="2" t="s">
        <v>123</v>
      </c>
      <c r="BN496" s="2" t="s">
        <v>124</v>
      </c>
      <c r="BO496" s="2" t="s">
        <v>125</v>
      </c>
      <c r="BP496" s="2" t="s">
        <v>242</v>
      </c>
      <c r="BQ496" s="2" t="s">
        <v>124</v>
      </c>
      <c r="BR496" s="2" t="s">
        <v>126</v>
      </c>
      <c r="BS496" s="2" t="s">
        <v>127</v>
      </c>
      <c r="BT496" s="2" t="s">
        <v>207</v>
      </c>
      <c r="BU496" s="2" t="s">
        <v>208</v>
      </c>
      <c r="BV496" s="2" t="s">
        <v>150</v>
      </c>
      <c r="BW496" s="2" t="s">
        <v>151</v>
      </c>
      <c r="BX496" s="2" t="s">
        <v>91</v>
      </c>
      <c r="BY49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96" s="2">
        <f>IF(AND(Cases[[#This Row],[Priority Level]]&gt;=3,Cases[[#This Row],[System Role]]&lt;&gt;"Productive"),1,0)</f>
        <v>0</v>
      </c>
      <c r="CA496" s="2">
        <f>IFERROR(IF(Cases[[#This Row],[Days at Customer]]&gt;MAX(1,Cases[[#This Row],[Days at SAP]]*2),1,0),0)</f>
        <v>1</v>
      </c>
      <c r="CB496" s="2">
        <f>IF(AND(Cases[[#This Row],[Initial Component]]&lt;&gt;"",Cases[[#This Row],[Component]]&lt;&gt;"",Cases[[#This Row],[Initial Component]]&lt;&gt;Cases[[#This Row],[Component]]),1,0)</f>
        <v>0</v>
      </c>
      <c r="CC496" s="2">
        <f>IF(OR(Cases[[#This Row],[Is Reopened]]="X",Cases[[#This Row],[No. of Reopenings]]&gt;0),1,0)</f>
        <v>0</v>
      </c>
      <c r="CD496" s="2">
        <f>IF(Cases[[#This Row],[Confirmation Type]]="Automatic",1,0)</f>
        <v>1</v>
      </c>
      <c r="CE496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97" spans="1:83" x14ac:dyDescent="0.2">
      <c r="A497" s="1" t="s">
        <v>2876</v>
      </c>
      <c r="B497" s="2" t="s">
        <v>2877</v>
      </c>
      <c r="C497" s="2" t="s">
        <v>1903</v>
      </c>
      <c r="D497" s="2" t="s">
        <v>238</v>
      </c>
      <c r="E497" s="3">
        <v>1.3</v>
      </c>
      <c r="F497" s="3">
        <v>44.25</v>
      </c>
      <c r="G497" s="2" t="s">
        <v>79</v>
      </c>
      <c r="H497" s="2" t="s">
        <v>178</v>
      </c>
      <c r="I497" s="3" t="s">
        <v>114</v>
      </c>
      <c r="J497" s="3">
        <v>170</v>
      </c>
      <c r="K497" s="2" t="s">
        <v>2878</v>
      </c>
      <c r="L497" s="4">
        <v>46009</v>
      </c>
      <c r="M497" s="4">
        <v>46003</v>
      </c>
      <c r="N497" s="2" t="s">
        <v>1804</v>
      </c>
      <c r="O497" s="2" t="s">
        <v>1805</v>
      </c>
      <c r="P497" s="2" t="s">
        <v>2037</v>
      </c>
      <c r="Q497" s="2" t="s">
        <v>1806</v>
      </c>
      <c r="R497" s="2" t="s">
        <v>1905</v>
      </c>
      <c r="S497" s="4">
        <v>45957</v>
      </c>
      <c r="T497" s="2" t="s">
        <v>2727</v>
      </c>
      <c r="U497" s="2" t="s">
        <v>1805</v>
      </c>
      <c r="V497" s="2" t="s">
        <v>2717</v>
      </c>
      <c r="W497" s="2" t="s">
        <v>1806</v>
      </c>
      <c r="X497" s="2" t="s">
        <v>117</v>
      </c>
      <c r="Y497" s="3" t="s">
        <v>118</v>
      </c>
      <c r="Z497" s="3">
        <v>45.55</v>
      </c>
      <c r="AA497" s="2" t="s">
        <v>90</v>
      </c>
      <c r="AB497" s="2" t="s">
        <v>1905</v>
      </c>
      <c r="AC497" s="2" t="s">
        <v>1903</v>
      </c>
      <c r="AD497" t="str" cm="1">
        <f t="array" ref="AD49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497" s="2" t="s">
        <v>91</v>
      </c>
      <c r="AF497" s="2" t="s">
        <v>92</v>
      </c>
      <c r="AG497" s="2" t="s">
        <v>119</v>
      </c>
      <c r="AH497" s="2" t="s">
        <v>120</v>
      </c>
      <c r="AJ497" s="2" t="s">
        <v>122</v>
      </c>
      <c r="AK497" s="2" t="s">
        <v>2879</v>
      </c>
      <c r="AN497" s="3">
        <v>1</v>
      </c>
      <c r="AO497" s="3">
        <v>1</v>
      </c>
      <c r="AP497" s="3">
        <v>1</v>
      </c>
      <c r="AQ497" s="3">
        <v>1</v>
      </c>
      <c r="AR497" s="3">
        <v>1</v>
      </c>
      <c r="AS497" s="3">
        <v>0</v>
      </c>
      <c r="AT497" s="3">
        <v>0</v>
      </c>
      <c r="AU497" s="3">
        <v>0</v>
      </c>
      <c r="AV497" s="3">
        <v>1</v>
      </c>
      <c r="AW497" s="3">
        <v>0</v>
      </c>
      <c r="AX497" s="3">
        <v>1</v>
      </c>
      <c r="AY497" s="3">
        <v>0</v>
      </c>
      <c r="AZ497" s="3">
        <v>0</v>
      </c>
      <c r="BA497" s="3">
        <v>0</v>
      </c>
      <c r="BB497" s="3">
        <v>0</v>
      </c>
      <c r="BC497" s="3">
        <v>1</v>
      </c>
      <c r="BD497" s="3">
        <v>1</v>
      </c>
      <c r="BE497" s="3">
        <v>0</v>
      </c>
      <c r="BG497" s="2" t="s">
        <v>91</v>
      </c>
      <c r="BH497" s="3">
        <v>3</v>
      </c>
      <c r="BJ497" s="2" t="s">
        <v>96</v>
      </c>
      <c r="BL497" s="2" t="s">
        <v>123</v>
      </c>
      <c r="BM497" s="2" t="s">
        <v>123</v>
      </c>
      <c r="BN497" s="2" t="s">
        <v>124</v>
      </c>
      <c r="BO497" s="2" t="s">
        <v>125</v>
      </c>
      <c r="BP497" s="2" t="s">
        <v>242</v>
      </c>
      <c r="BQ497" s="2" t="s">
        <v>124</v>
      </c>
      <c r="BR497" s="2" t="s">
        <v>126</v>
      </c>
      <c r="BS497" s="2" t="s">
        <v>127</v>
      </c>
      <c r="BT497" s="2" t="s">
        <v>207</v>
      </c>
      <c r="BU497" s="2" t="s">
        <v>208</v>
      </c>
      <c r="BV497" s="2" t="s">
        <v>150</v>
      </c>
      <c r="BW497" s="2" t="s">
        <v>151</v>
      </c>
      <c r="BX497" s="2" t="s">
        <v>91</v>
      </c>
      <c r="BY49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97" s="2">
        <f>IF(AND(Cases[[#This Row],[Priority Level]]&gt;=3,Cases[[#This Row],[System Role]]&lt;&gt;"Productive"),1,0)</f>
        <v>0</v>
      </c>
      <c r="CA497" s="2">
        <f>IFERROR(IF(Cases[[#This Row],[Days at Customer]]&gt;MAX(1,Cases[[#This Row],[Days at SAP]]*2),1,0),0)</f>
        <v>1</v>
      </c>
      <c r="CB497" s="2">
        <f>IF(AND(Cases[[#This Row],[Initial Component]]&lt;&gt;"",Cases[[#This Row],[Component]]&lt;&gt;"",Cases[[#This Row],[Initial Component]]&lt;&gt;Cases[[#This Row],[Component]]),1,0)</f>
        <v>0</v>
      </c>
      <c r="CC497" s="2">
        <f>IF(OR(Cases[[#This Row],[Is Reopened]]="X",Cases[[#This Row],[No. of Reopenings]]&gt;0),1,0)</f>
        <v>1</v>
      </c>
      <c r="CD497" s="2">
        <f>IF(Cases[[#This Row],[Confirmation Type]]="Automatic",1,0)</f>
        <v>1</v>
      </c>
      <c r="CE497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498" spans="1:83" x14ac:dyDescent="0.2">
      <c r="A498" s="1" t="s">
        <v>1331</v>
      </c>
      <c r="B498" s="2" t="s">
        <v>1332</v>
      </c>
      <c r="C498" s="2" t="s">
        <v>203</v>
      </c>
      <c r="D498" s="2" t="s">
        <v>238</v>
      </c>
      <c r="E498" s="3">
        <v>0</v>
      </c>
      <c r="F498" s="3">
        <v>22.49</v>
      </c>
      <c r="G498" s="2" t="s">
        <v>112</v>
      </c>
      <c r="H498" s="2" t="s">
        <v>113</v>
      </c>
      <c r="I498" s="3" t="s">
        <v>114</v>
      </c>
      <c r="J498" s="3">
        <v>75</v>
      </c>
      <c r="K498" s="2" t="s">
        <v>1333</v>
      </c>
      <c r="L498" s="4">
        <v>46089</v>
      </c>
      <c r="M498" s="4">
        <v>46085</v>
      </c>
      <c r="N498" s="2" t="s">
        <v>180</v>
      </c>
      <c r="O498" s="2" t="s">
        <v>181</v>
      </c>
      <c r="P498" s="2" t="s">
        <v>526</v>
      </c>
      <c r="Q498" s="2" t="s">
        <v>86</v>
      </c>
      <c r="R498" s="2" t="s">
        <v>205</v>
      </c>
      <c r="S498" s="4">
        <v>46052</v>
      </c>
      <c r="T498" s="2" t="s">
        <v>1334</v>
      </c>
      <c r="U498" s="2" t="s">
        <v>181</v>
      </c>
      <c r="V498" s="2" t="s">
        <v>1335</v>
      </c>
      <c r="W498" s="2" t="s">
        <v>86</v>
      </c>
      <c r="X498" s="2" t="s">
        <v>117</v>
      </c>
      <c r="Y498" s="3" t="s">
        <v>118</v>
      </c>
      <c r="Z498" s="3">
        <v>22.49</v>
      </c>
      <c r="AA498" s="2" t="s">
        <v>90</v>
      </c>
      <c r="AB498" s="2" t="s">
        <v>205</v>
      </c>
      <c r="AC498" s="2" t="s">
        <v>203</v>
      </c>
      <c r="AD498" t="str" cm="1">
        <f t="array" ref="AD49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498" s="2" t="s">
        <v>139</v>
      </c>
      <c r="AF498" s="2" t="s">
        <v>92</v>
      </c>
      <c r="AG498" s="2" t="s">
        <v>119</v>
      </c>
      <c r="AH498" s="2" t="s">
        <v>120</v>
      </c>
      <c r="AK498" s="2" t="s">
        <v>1336</v>
      </c>
      <c r="AN498" s="3">
        <v>1</v>
      </c>
      <c r="AO498" s="3">
        <v>1</v>
      </c>
      <c r="AP498" s="3">
        <v>1</v>
      </c>
      <c r="AQ498" s="3">
        <v>1</v>
      </c>
      <c r="AR498" s="3">
        <v>0</v>
      </c>
      <c r="AS498" s="3">
        <v>0</v>
      </c>
      <c r="AT498" s="3">
        <v>1</v>
      </c>
      <c r="AU498" s="3">
        <v>0</v>
      </c>
      <c r="AV498" s="3">
        <v>1</v>
      </c>
      <c r="AW498" s="3">
        <v>0</v>
      </c>
      <c r="AX498" s="3">
        <v>0</v>
      </c>
      <c r="AY498" s="3">
        <v>0</v>
      </c>
      <c r="AZ498" s="3">
        <v>1</v>
      </c>
      <c r="BA498" s="3">
        <v>0</v>
      </c>
      <c r="BB498" s="3">
        <v>0</v>
      </c>
      <c r="BC498" s="3">
        <v>1</v>
      </c>
      <c r="BD498" s="3">
        <v>0</v>
      </c>
      <c r="BE498" s="3">
        <v>0</v>
      </c>
      <c r="BG498" s="2" t="s">
        <v>139</v>
      </c>
      <c r="BH498" s="3">
        <v>2</v>
      </c>
      <c r="BI498" s="2" t="s">
        <v>122</v>
      </c>
      <c r="BJ498" s="2" t="s">
        <v>96</v>
      </c>
      <c r="BL498" s="2" t="s">
        <v>123</v>
      </c>
      <c r="BM498" s="2" t="s">
        <v>123</v>
      </c>
      <c r="BN498" s="2" t="s">
        <v>124</v>
      </c>
      <c r="BO498" s="2" t="s">
        <v>125</v>
      </c>
      <c r="BP498" s="2" t="s">
        <v>242</v>
      </c>
      <c r="BQ498" s="2" t="s">
        <v>124</v>
      </c>
      <c r="BR498" s="2" t="s">
        <v>126</v>
      </c>
      <c r="BS498" s="2" t="s">
        <v>127</v>
      </c>
      <c r="BT498" s="2" t="s">
        <v>207</v>
      </c>
      <c r="BU498" s="2" t="s">
        <v>208</v>
      </c>
      <c r="BV498" s="2" t="s">
        <v>150</v>
      </c>
      <c r="BW498" s="2" t="s">
        <v>151</v>
      </c>
      <c r="BX498" s="2" t="s">
        <v>139</v>
      </c>
      <c r="BY49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498" s="2">
        <f>IF(AND(Cases[[#This Row],[Priority Level]]&gt;=3,Cases[[#This Row],[System Role]]&lt;&gt;"Productive"),1,0)</f>
        <v>0</v>
      </c>
      <c r="CA498" s="2">
        <f>IFERROR(IF(Cases[[#This Row],[Days at Customer]]&gt;MAX(1,Cases[[#This Row],[Days at SAP]]*2),1,0),0)</f>
        <v>1</v>
      </c>
      <c r="CB498" s="2">
        <f>IF(AND(Cases[[#This Row],[Initial Component]]&lt;&gt;"",Cases[[#This Row],[Component]]&lt;&gt;"",Cases[[#This Row],[Initial Component]]&lt;&gt;Cases[[#This Row],[Component]]),1,0)</f>
        <v>0</v>
      </c>
      <c r="CC498" s="2">
        <f>IF(OR(Cases[[#This Row],[Is Reopened]]="X",Cases[[#This Row],[No. of Reopenings]]&gt;0),1,0)</f>
        <v>0</v>
      </c>
      <c r="CD498" s="2">
        <f>IF(Cases[[#This Row],[Confirmation Type]]="Automatic",1,0)</f>
        <v>1</v>
      </c>
      <c r="CE49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499" spans="1:83" x14ac:dyDescent="0.2">
      <c r="A499" s="1" t="s">
        <v>1459</v>
      </c>
      <c r="B499" s="2" t="s">
        <v>1460</v>
      </c>
      <c r="C499" s="2" t="s">
        <v>1461</v>
      </c>
      <c r="D499" s="2" t="s">
        <v>238</v>
      </c>
      <c r="E499" s="3">
        <v>2.6</v>
      </c>
      <c r="F499" s="3">
        <v>41.13</v>
      </c>
      <c r="G499" s="2" t="s">
        <v>79</v>
      </c>
      <c r="H499" s="2" t="s">
        <v>178</v>
      </c>
      <c r="I499" s="3" t="s">
        <v>114</v>
      </c>
      <c r="J499" s="3">
        <v>83</v>
      </c>
      <c r="K499" s="2" t="s">
        <v>1462</v>
      </c>
      <c r="L499" s="4">
        <v>46089</v>
      </c>
      <c r="M499" s="4">
        <v>46088</v>
      </c>
      <c r="N499" s="2" t="s">
        <v>180</v>
      </c>
      <c r="O499" s="2" t="s">
        <v>181</v>
      </c>
      <c r="P499" s="2" t="s">
        <v>526</v>
      </c>
      <c r="Q499" s="2" t="s">
        <v>86</v>
      </c>
      <c r="R499" s="2" t="s">
        <v>1463</v>
      </c>
      <c r="S499" s="4">
        <v>46044</v>
      </c>
      <c r="T499" s="2" t="s">
        <v>1334</v>
      </c>
      <c r="U499" s="2" t="s">
        <v>181</v>
      </c>
      <c r="V499" s="2" t="s">
        <v>83</v>
      </c>
      <c r="W499" s="2" t="s">
        <v>86</v>
      </c>
      <c r="X499" s="2" t="s">
        <v>117</v>
      </c>
      <c r="Y499" s="3" t="s">
        <v>118</v>
      </c>
      <c r="Z499" s="3">
        <v>43.72</v>
      </c>
      <c r="AA499" s="2" t="s">
        <v>90</v>
      </c>
      <c r="AB499" s="2" t="s">
        <v>1463</v>
      </c>
      <c r="AC499" s="2" t="s">
        <v>1461</v>
      </c>
      <c r="AD499" t="str" cm="1">
        <f t="array" ref="AD49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499" s="2" t="s">
        <v>91</v>
      </c>
      <c r="AF499" s="2" t="s">
        <v>92</v>
      </c>
      <c r="AG499" s="2" t="s">
        <v>119</v>
      </c>
      <c r="AH499" s="2" t="s">
        <v>120</v>
      </c>
      <c r="AK499" s="2" t="s">
        <v>1464</v>
      </c>
      <c r="AN499" s="3">
        <v>1</v>
      </c>
      <c r="AO499" s="3">
        <v>1</v>
      </c>
      <c r="AP499" s="3">
        <v>1</v>
      </c>
      <c r="AQ499" s="3">
        <v>1</v>
      </c>
      <c r="AR499" s="3">
        <v>1</v>
      </c>
      <c r="AS499" s="3">
        <v>0</v>
      </c>
      <c r="AT499" s="3">
        <v>0</v>
      </c>
      <c r="AU499" s="3">
        <v>0</v>
      </c>
      <c r="AV499" s="3">
        <v>1</v>
      </c>
      <c r="AW499" s="3">
        <v>0</v>
      </c>
      <c r="AX499" s="3">
        <v>1</v>
      </c>
      <c r="AY499" s="3">
        <v>0</v>
      </c>
      <c r="AZ499" s="3">
        <v>0</v>
      </c>
      <c r="BA499" s="3">
        <v>0</v>
      </c>
      <c r="BB499" s="3">
        <v>0</v>
      </c>
      <c r="BC499" s="3">
        <v>1</v>
      </c>
      <c r="BD499" s="3">
        <v>0</v>
      </c>
      <c r="BE499" s="3">
        <v>0</v>
      </c>
      <c r="BG499" s="2" t="s">
        <v>91</v>
      </c>
      <c r="BH499" s="3">
        <v>3</v>
      </c>
      <c r="BJ499" s="2" t="s">
        <v>96</v>
      </c>
      <c r="BL499" s="2" t="s">
        <v>123</v>
      </c>
      <c r="BM499" s="2" t="s">
        <v>123</v>
      </c>
      <c r="BN499" s="2" t="s">
        <v>124</v>
      </c>
      <c r="BO499" s="2" t="s">
        <v>125</v>
      </c>
      <c r="BP499" s="2" t="s">
        <v>242</v>
      </c>
      <c r="BQ499" s="2" t="s">
        <v>124</v>
      </c>
      <c r="BR499" s="2" t="s">
        <v>126</v>
      </c>
      <c r="BS499" s="2" t="s">
        <v>127</v>
      </c>
      <c r="BT499" s="2" t="s">
        <v>207</v>
      </c>
      <c r="BU499" s="2" t="s">
        <v>208</v>
      </c>
      <c r="BV499" s="2" t="s">
        <v>150</v>
      </c>
      <c r="BW499" s="2" t="s">
        <v>151</v>
      </c>
      <c r="BX499" s="2" t="s">
        <v>91</v>
      </c>
      <c r="BY49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499" s="2">
        <f>IF(AND(Cases[[#This Row],[Priority Level]]&gt;=3,Cases[[#This Row],[System Role]]&lt;&gt;"Productive"),1,0)</f>
        <v>0</v>
      </c>
      <c r="CA499" s="2">
        <f>IFERROR(IF(Cases[[#This Row],[Days at Customer]]&gt;MAX(1,Cases[[#This Row],[Days at SAP]]*2),1,0),0)</f>
        <v>1</v>
      </c>
      <c r="CB499" s="2">
        <f>IF(AND(Cases[[#This Row],[Initial Component]]&lt;&gt;"",Cases[[#This Row],[Component]]&lt;&gt;"",Cases[[#This Row],[Initial Component]]&lt;&gt;Cases[[#This Row],[Component]]),1,0)</f>
        <v>0</v>
      </c>
      <c r="CC499" s="2">
        <f>IF(OR(Cases[[#This Row],[Is Reopened]]="X",Cases[[#This Row],[No. of Reopenings]]&gt;0),1,0)</f>
        <v>0</v>
      </c>
      <c r="CD499" s="2">
        <f>IF(Cases[[#This Row],[Confirmation Type]]="Automatic",1,0)</f>
        <v>1</v>
      </c>
      <c r="CE499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00" spans="1:83" x14ac:dyDescent="0.2">
      <c r="A500" s="1" t="s">
        <v>2889</v>
      </c>
      <c r="B500" s="2" t="s">
        <v>2890</v>
      </c>
      <c r="C500" s="2" t="s">
        <v>2891</v>
      </c>
      <c r="D500" s="2" t="s">
        <v>238</v>
      </c>
      <c r="E500" s="3">
        <v>11.41</v>
      </c>
      <c r="F500" s="3">
        <v>37.270000000000003</v>
      </c>
      <c r="G500" s="2" t="s">
        <v>79</v>
      </c>
      <c r="H500" s="2" t="s">
        <v>80</v>
      </c>
      <c r="I500" s="3" t="s">
        <v>81</v>
      </c>
      <c r="J500" s="3">
        <v>173</v>
      </c>
      <c r="K500" s="2" t="s">
        <v>2892</v>
      </c>
      <c r="L500" s="4">
        <v>46009</v>
      </c>
      <c r="M500" s="4">
        <v>46003</v>
      </c>
      <c r="N500" s="2" t="s">
        <v>1804</v>
      </c>
      <c r="O500" s="2" t="s">
        <v>1805</v>
      </c>
      <c r="P500" s="2" t="s">
        <v>2037</v>
      </c>
      <c r="Q500" s="2" t="s">
        <v>1806</v>
      </c>
      <c r="R500" s="2" t="s">
        <v>2893</v>
      </c>
      <c r="S500" s="4">
        <v>45954</v>
      </c>
      <c r="T500" s="2" t="s">
        <v>2727</v>
      </c>
      <c r="U500" s="2" t="s">
        <v>1805</v>
      </c>
      <c r="V500" s="2" t="s">
        <v>2887</v>
      </c>
      <c r="W500" s="2" t="s">
        <v>1806</v>
      </c>
      <c r="X500" s="2" t="s">
        <v>88</v>
      </c>
      <c r="Y500" s="3" t="s">
        <v>89</v>
      </c>
      <c r="Z500" s="3">
        <v>48.68</v>
      </c>
      <c r="AA500" s="2" t="s">
        <v>90</v>
      </c>
      <c r="AB500" s="2" t="s">
        <v>1235</v>
      </c>
      <c r="AC500" s="2" t="s">
        <v>1236</v>
      </c>
      <c r="AD500" t="str" cm="1">
        <f t="array" ref="AD50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500" s="2" t="s">
        <v>91</v>
      </c>
      <c r="AF500" s="2" t="s">
        <v>92</v>
      </c>
      <c r="AG500" s="2" t="s">
        <v>93</v>
      </c>
      <c r="AH500" s="2" t="s">
        <v>94</v>
      </c>
      <c r="AK500" s="2" t="s">
        <v>2894</v>
      </c>
      <c r="AN500" s="3">
        <v>1</v>
      </c>
      <c r="AO500" s="3">
        <v>1</v>
      </c>
      <c r="AP500" s="3">
        <v>1</v>
      </c>
      <c r="AQ500" s="3">
        <v>1</v>
      </c>
      <c r="AR500" s="3">
        <v>1</v>
      </c>
      <c r="AS500" s="3">
        <v>0</v>
      </c>
      <c r="AT500" s="3">
        <v>0</v>
      </c>
      <c r="AU500" s="3">
        <v>0</v>
      </c>
      <c r="AV500" s="3">
        <v>1</v>
      </c>
      <c r="AW500" s="3">
        <v>0</v>
      </c>
      <c r="AX500" s="3">
        <v>1</v>
      </c>
      <c r="AY500" s="3">
        <v>0</v>
      </c>
      <c r="AZ500" s="3">
        <v>0</v>
      </c>
      <c r="BA500" s="3">
        <v>0</v>
      </c>
      <c r="BB500" s="3">
        <v>0</v>
      </c>
      <c r="BC500" s="3">
        <v>1</v>
      </c>
      <c r="BD500" s="3">
        <v>0</v>
      </c>
      <c r="BE500" s="3">
        <v>0</v>
      </c>
      <c r="BG500" s="2" t="s">
        <v>91</v>
      </c>
      <c r="BH500" s="3">
        <v>3</v>
      </c>
      <c r="BJ500" s="2" t="s">
        <v>96</v>
      </c>
      <c r="BL500" s="2" t="s">
        <v>184</v>
      </c>
      <c r="BM500" s="2" t="s">
        <v>184</v>
      </c>
      <c r="BN500" s="2" t="s">
        <v>124</v>
      </c>
      <c r="BO500" s="2" t="s">
        <v>125</v>
      </c>
      <c r="BP500" s="2" t="s">
        <v>242</v>
      </c>
      <c r="BQ500" s="2" t="s">
        <v>124</v>
      </c>
      <c r="BR500" s="2" t="s">
        <v>126</v>
      </c>
      <c r="BS500" s="2" t="s">
        <v>127</v>
      </c>
      <c r="BT500" s="2" t="s">
        <v>185</v>
      </c>
      <c r="BU500" s="2" t="s">
        <v>186</v>
      </c>
      <c r="BV500" s="2" t="s">
        <v>150</v>
      </c>
      <c r="BW500" s="2" t="s">
        <v>151</v>
      </c>
      <c r="BX500" s="2" t="s">
        <v>91</v>
      </c>
      <c r="BY50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00" s="2">
        <f>IF(AND(Cases[[#This Row],[Priority Level]]&gt;=3,Cases[[#This Row],[System Role]]&lt;&gt;"Productive"),1,0)</f>
        <v>0</v>
      </c>
      <c r="CA500" s="2">
        <f>IFERROR(IF(Cases[[#This Row],[Days at Customer]]&gt;MAX(1,Cases[[#This Row],[Days at SAP]]*2),1,0),0)</f>
        <v>1</v>
      </c>
      <c r="CB500" s="2">
        <f>IF(AND(Cases[[#This Row],[Initial Component]]&lt;&gt;"",Cases[[#This Row],[Component]]&lt;&gt;"",Cases[[#This Row],[Initial Component]]&lt;&gt;Cases[[#This Row],[Component]]),1,0)</f>
        <v>1</v>
      </c>
      <c r="CC500" s="2">
        <f>IF(OR(Cases[[#This Row],[Is Reopened]]="X",Cases[[#This Row],[No. of Reopenings]]&gt;0),1,0)</f>
        <v>0</v>
      </c>
      <c r="CD500" s="2">
        <f>IF(Cases[[#This Row],[Confirmation Type]]="Automatic",1,0)</f>
        <v>1</v>
      </c>
      <c r="CE50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01" spans="1:83" x14ac:dyDescent="0.2">
      <c r="A501" s="1" t="s">
        <v>2895</v>
      </c>
      <c r="B501" s="2" t="s">
        <v>2340</v>
      </c>
      <c r="C501" s="2" t="s">
        <v>604</v>
      </c>
      <c r="D501" s="2" t="s">
        <v>238</v>
      </c>
      <c r="E501" s="3">
        <v>14.88</v>
      </c>
      <c r="F501" s="3">
        <v>34.58</v>
      </c>
      <c r="G501" s="2" t="s">
        <v>588</v>
      </c>
      <c r="H501" s="2" t="s">
        <v>113</v>
      </c>
      <c r="I501" s="3" t="s">
        <v>114</v>
      </c>
      <c r="J501" s="3">
        <v>173</v>
      </c>
      <c r="K501" s="2" t="s">
        <v>2896</v>
      </c>
      <c r="L501" s="4">
        <v>46065</v>
      </c>
      <c r="M501" s="4">
        <v>46004</v>
      </c>
      <c r="N501" s="2" t="s">
        <v>1804</v>
      </c>
      <c r="O501" s="2" t="s">
        <v>1805</v>
      </c>
      <c r="P501" s="2" t="s">
        <v>2037</v>
      </c>
      <c r="Q501" s="2" t="s">
        <v>1806</v>
      </c>
      <c r="R501" s="2" t="s">
        <v>606</v>
      </c>
      <c r="S501" s="4">
        <v>45954</v>
      </c>
      <c r="T501" s="2" t="s">
        <v>2727</v>
      </c>
      <c r="U501" s="2" t="s">
        <v>1805</v>
      </c>
      <c r="V501" s="2" t="s">
        <v>2887</v>
      </c>
      <c r="W501" s="2" t="s">
        <v>1806</v>
      </c>
      <c r="X501" s="2" t="s">
        <v>117</v>
      </c>
      <c r="Y501" s="3" t="s">
        <v>118</v>
      </c>
      <c r="Z501" s="3">
        <v>49.46</v>
      </c>
      <c r="AA501" s="2" t="s">
        <v>90</v>
      </c>
      <c r="AB501" s="2" t="s">
        <v>606</v>
      </c>
      <c r="AC501" s="2" t="s">
        <v>604</v>
      </c>
      <c r="AD501" t="str" cm="1">
        <f t="array" ref="AD50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501" s="2" t="s">
        <v>91</v>
      </c>
      <c r="AF501" s="2" t="s">
        <v>92</v>
      </c>
      <c r="AG501" s="2" t="s">
        <v>119</v>
      </c>
      <c r="AH501" s="2" t="s">
        <v>120</v>
      </c>
      <c r="AK501" s="2" t="s">
        <v>2897</v>
      </c>
      <c r="AN501" s="3">
        <v>1</v>
      </c>
      <c r="AO501" s="3">
        <v>1</v>
      </c>
      <c r="AP501" s="3">
        <v>1</v>
      </c>
      <c r="AQ501" s="3">
        <v>1</v>
      </c>
      <c r="AR501" s="3">
        <v>1</v>
      </c>
      <c r="AS501" s="3">
        <v>0</v>
      </c>
      <c r="AT501" s="3">
        <v>0</v>
      </c>
      <c r="AU501" s="3">
        <v>0</v>
      </c>
      <c r="AV501" s="3">
        <v>1</v>
      </c>
      <c r="AW501" s="3">
        <v>0</v>
      </c>
      <c r="AX501" s="3">
        <v>1</v>
      </c>
      <c r="AY501" s="3">
        <v>0</v>
      </c>
      <c r="AZ501" s="3">
        <v>0</v>
      </c>
      <c r="BA501" s="3">
        <v>0</v>
      </c>
      <c r="BB501" s="3">
        <v>0</v>
      </c>
      <c r="BC501" s="3">
        <v>1</v>
      </c>
      <c r="BD501" s="3">
        <v>0</v>
      </c>
      <c r="BE501" s="3">
        <v>0</v>
      </c>
      <c r="BG501" s="2" t="s">
        <v>91</v>
      </c>
      <c r="BH501" s="3">
        <v>3</v>
      </c>
      <c r="BJ501" s="2" t="s">
        <v>96</v>
      </c>
      <c r="BL501" s="2" t="s">
        <v>123</v>
      </c>
      <c r="BM501" s="2" t="s">
        <v>123</v>
      </c>
      <c r="BN501" s="2" t="s">
        <v>124</v>
      </c>
      <c r="BO501" s="2" t="s">
        <v>125</v>
      </c>
      <c r="BP501" s="2" t="s">
        <v>242</v>
      </c>
      <c r="BQ501" s="2" t="s">
        <v>124</v>
      </c>
      <c r="BR501" s="2" t="s">
        <v>126</v>
      </c>
      <c r="BS501" s="2" t="s">
        <v>127</v>
      </c>
      <c r="BT501" s="2" t="s">
        <v>207</v>
      </c>
      <c r="BU501" s="2" t="s">
        <v>208</v>
      </c>
      <c r="BV501" s="2" t="s">
        <v>150</v>
      </c>
      <c r="BW501" s="2" t="s">
        <v>151</v>
      </c>
      <c r="BX501" s="2" t="s">
        <v>91</v>
      </c>
      <c r="BY50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01" s="2">
        <f>IF(AND(Cases[[#This Row],[Priority Level]]&gt;=3,Cases[[#This Row],[System Role]]&lt;&gt;"Productive"),1,0)</f>
        <v>0</v>
      </c>
      <c r="CA501" s="2">
        <f>IFERROR(IF(Cases[[#This Row],[Days at Customer]]&gt;MAX(1,Cases[[#This Row],[Days at SAP]]*2),1,0),0)</f>
        <v>1</v>
      </c>
      <c r="CB501" s="2">
        <f>IF(AND(Cases[[#This Row],[Initial Component]]&lt;&gt;"",Cases[[#This Row],[Component]]&lt;&gt;"",Cases[[#This Row],[Initial Component]]&lt;&gt;Cases[[#This Row],[Component]]),1,0)</f>
        <v>0</v>
      </c>
      <c r="CC501" s="2">
        <f>IF(OR(Cases[[#This Row],[Is Reopened]]="X",Cases[[#This Row],[No. of Reopenings]]&gt;0),1,0)</f>
        <v>0</v>
      </c>
      <c r="CD501" s="2">
        <f>IF(Cases[[#This Row],[Confirmation Type]]="Automatic",1,0)</f>
        <v>1</v>
      </c>
      <c r="CE501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02" spans="1:83" x14ac:dyDescent="0.2">
      <c r="A502" s="1" t="s">
        <v>2898</v>
      </c>
      <c r="B502" s="2" t="s">
        <v>2899</v>
      </c>
      <c r="C502" s="2" t="s">
        <v>432</v>
      </c>
      <c r="D502" s="2" t="s">
        <v>238</v>
      </c>
      <c r="E502" s="3">
        <v>4.92</v>
      </c>
      <c r="F502" s="3">
        <v>21.85</v>
      </c>
      <c r="G502" s="2" t="s">
        <v>79</v>
      </c>
      <c r="H502" s="2" t="s">
        <v>290</v>
      </c>
      <c r="I502" s="3" t="s">
        <v>114</v>
      </c>
      <c r="J502" s="3">
        <v>173</v>
      </c>
      <c r="K502" s="2" t="s">
        <v>2900</v>
      </c>
      <c r="L502" s="4">
        <v>46009</v>
      </c>
      <c r="M502" s="4">
        <v>45980</v>
      </c>
      <c r="N502" s="2" t="s">
        <v>2274</v>
      </c>
      <c r="O502" s="2" t="s">
        <v>1805</v>
      </c>
      <c r="P502" s="2" t="s">
        <v>2404</v>
      </c>
      <c r="Q502" s="2" t="s">
        <v>1806</v>
      </c>
      <c r="R502" s="2" t="s">
        <v>434</v>
      </c>
      <c r="S502" s="4">
        <v>45954</v>
      </c>
      <c r="T502" s="2" t="s">
        <v>2727</v>
      </c>
      <c r="U502" s="2" t="s">
        <v>1805</v>
      </c>
      <c r="V502" s="2" t="s">
        <v>2887</v>
      </c>
      <c r="W502" s="2" t="s">
        <v>1806</v>
      </c>
      <c r="X502" s="2" t="s">
        <v>117</v>
      </c>
      <c r="Y502" s="3" t="s">
        <v>118</v>
      </c>
      <c r="Z502" s="3">
        <v>26.77</v>
      </c>
      <c r="AA502" s="2" t="s">
        <v>90</v>
      </c>
      <c r="AB502" s="2" t="s">
        <v>434</v>
      </c>
      <c r="AC502" s="2" t="s">
        <v>432</v>
      </c>
      <c r="AD502" t="str" cm="1">
        <f t="array" ref="AD50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502" s="2" t="s">
        <v>139</v>
      </c>
      <c r="AF502" s="2" t="s">
        <v>92</v>
      </c>
      <c r="AG502" s="2" t="s">
        <v>119</v>
      </c>
      <c r="AH502" s="2" t="s">
        <v>120</v>
      </c>
      <c r="AK502" s="2" t="s">
        <v>2901</v>
      </c>
      <c r="AN502" s="3">
        <v>1</v>
      </c>
      <c r="AO502" s="3">
        <v>1</v>
      </c>
      <c r="AP502" s="3">
        <v>1</v>
      </c>
      <c r="AQ502" s="3">
        <v>1</v>
      </c>
      <c r="AR502" s="3">
        <v>0</v>
      </c>
      <c r="AS502" s="3">
        <v>0</v>
      </c>
      <c r="AT502" s="3">
        <v>1</v>
      </c>
      <c r="AU502" s="3">
        <v>0</v>
      </c>
      <c r="AV502" s="3">
        <v>1</v>
      </c>
      <c r="AW502" s="3">
        <v>0</v>
      </c>
      <c r="AX502" s="3">
        <v>0</v>
      </c>
      <c r="AY502" s="3">
        <v>0</v>
      </c>
      <c r="AZ502" s="3">
        <v>1</v>
      </c>
      <c r="BA502" s="3">
        <v>1</v>
      </c>
      <c r="BB502" s="3">
        <v>0</v>
      </c>
      <c r="BC502" s="3">
        <v>0</v>
      </c>
      <c r="BD502" s="3">
        <v>0</v>
      </c>
      <c r="BE502" s="3">
        <v>0</v>
      </c>
      <c r="BG502" s="2" t="s">
        <v>139</v>
      </c>
      <c r="BH502" s="3">
        <v>2</v>
      </c>
      <c r="BJ502" s="2" t="s">
        <v>96</v>
      </c>
      <c r="BL502" s="2" t="s">
        <v>123</v>
      </c>
      <c r="BM502" s="2" t="s">
        <v>123</v>
      </c>
      <c r="BN502" s="2" t="s">
        <v>124</v>
      </c>
      <c r="BO502" s="2" t="s">
        <v>125</v>
      </c>
      <c r="BP502" s="2" t="s">
        <v>242</v>
      </c>
      <c r="BQ502" s="2" t="s">
        <v>124</v>
      </c>
      <c r="BR502" s="2" t="s">
        <v>126</v>
      </c>
      <c r="BS502" s="2" t="s">
        <v>127</v>
      </c>
      <c r="BT502" s="2" t="s">
        <v>199</v>
      </c>
      <c r="BU502" s="2" t="s">
        <v>200</v>
      </c>
      <c r="BV502" s="2" t="s">
        <v>166</v>
      </c>
      <c r="BW502" s="2" t="s">
        <v>167</v>
      </c>
      <c r="BX502" s="2" t="s">
        <v>139</v>
      </c>
      <c r="BY50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02" s="2">
        <f>IF(AND(Cases[[#This Row],[Priority Level]]&gt;=3,Cases[[#This Row],[System Role]]&lt;&gt;"Productive"),1,0)</f>
        <v>0</v>
      </c>
      <c r="CA502" s="2">
        <f>IFERROR(IF(Cases[[#This Row],[Days at Customer]]&gt;MAX(1,Cases[[#This Row],[Days at SAP]]*2),1,0),0)</f>
        <v>1</v>
      </c>
      <c r="CB502" s="2">
        <f>IF(AND(Cases[[#This Row],[Initial Component]]&lt;&gt;"",Cases[[#This Row],[Component]]&lt;&gt;"",Cases[[#This Row],[Initial Component]]&lt;&gt;Cases[[#This Row],[Component]]),1,0)</f>
        <v>0</v>
      </c>
      <c r="CC502" s="2">
        <f>IF(OR(Cases[[#This Row],[Is Reopened]]="X",Cases[[#This Row],[No. of Reopenings]]&gt;0),1,0)</f>
        <v>0</v>
      </c>
      <c r="CD502" s="2">
        <f>IF(Cases[[#This Row],[Confirmation Type]]="Automatic",1,0)</f>
        <v>1</v>
      </c>
      <c r="CE502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03" spans="1:83" x14ac:dyDescent="0.2">
      <c r="A503" s="1" t="s">
        <v>2902</v>
      </c>
      <c r="B503" s="2" t="s">
        <v>2903</v>
      </c>
      <c r="C503" s="2" t="s">
        <v>406</v>
      </c>
      <c r="D503" s="2" t="s">
        <v>78</v>
      </c>
      <c r="E503" s="3">
        <v>14.91</v>
      </c>
      <c r="F503" s="3">
        <v>11.12</v>
      </c>
      <c r="G503" s="2" t="s">
        <v>79</v>
      </c>
      <c r="H503" s="2" t="s">
        <v>80</v>
      </c>
      <c r="I503" s="3" t="s">
        <v>114</v>
      </c>
      <c r="J503" s="3">
        <v>174</v>
      </c>
      <c r="K503" s="2" t="s">
        <v>2904</v>
      </c>
      <c r="L503" s="4">
        <v>46009</v>
      </c>
      <c r="M503" s="4">
        <v>45979</v>
      </c>
      <c r="N503" s="2" t="s">
        <v>2274</v>
      </c>
      <c r="O503" s="2" t="s">
        <v>1805</v>
      </c>
      <c r="P503" s="2" t="s">
        <v>2404</v>
      </c>
      <c r="Q503" s="2" t="s">
        <v>1806</v>
      </c>
      <c r="R503" s="2" t="s">
        <v>408</v>
      </c>
      <c r="S503" s="4">
        <v>45953</v>
      </c>
      <c r="T503" s="2" t="s">
        <v>2727</v>
      </c>
      <c r="U503" s="2" t="s">
        <v>1805</v>
      </c>
      <c r="V503" s="2" t="s">
        <v>2887</v>
      </c>
      <c r="W503" s="2" t="s">
        <v>1806</v>
      </c>
      <c r="X503" s="2" t="s">
        <v>117</v>
      </c>
      <c r="Y503" s="3" t="s">
        <v>118</v>
      </c>
      <c r="Z503" s="3">
        <v>26.03</v>
      </c>
      <c r="AA503" s="2" t="s">
        <v>90</v>
      </c>
      <c r="AB503" s="2" t="s">
        <v>408</v>
      </c>
      <c r="AC503" s="2" t="s">
        <v>406</v>
      </c>
      <c r="AD503" t="str" cm="1">
        <f t="array" ref="AD50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503" s="2" t="s">
        <v>91</v>
      </c>
      <c r="AF503" s="2" t="s">
        <v>92</v>
      </c>
      <c r="AG503" s="2" t="s">
        <v>119</v>
      </c>
      <c r="AH503" s="2" t="s">
        <v>120</v>
      </c>
      <c r="AK503" s="2" t="s">
        <v>2905</v>
      </c>
      <c r="AN503" s="3">
        <v>1</v>
      </c>
      <c r="AO503" s="3">
        <v>1</v>
      </c>
      <c r="AP503" s="3">
        <v>1</v>
      </c>
      <c r="AQ503" s="3">
        <v>1</v>
      </c>
      <c r="AR503" s="3">
        <v>1</v>
      </c>
      <c r="AS503" s="3">
        <v>0</v>
      </c>
      <c r="AT503" s="3">
        <v>0</v>
      </c>
      <c r="AU503" s="3">
        <v>0</v>
      </c>
      <c r="AV503" s="3">
        <v>0</v>
      </c>
      <c r="AW503" s="3">
        <v>1</v>
      </c>
      <c r="AX503" s="3">
        <v>1</v>
      </c>
      <c r="AY503" s="3">
        <v>0</v>
      </c>
      <c r="AZ503" s="3">
        <v>0</v>
      </c>
      <c r="BA503" s="3">
        <v>1</v>
      </c>
      <c r="BB503" s="3">
        <v>0</v>
      </c>
      <c r="BC503" s="3">
        <v>0</v>
      </c>
      <c r="BD503" s="3">
        <v>0</v>
      </c>
      <c r="BE503" s="3">
        <v>0</v>
      </c>
      <c r="BG503" s="2" t="s">
        <v>91</v>
      </c>
      <c r="BH503" s="3">
        <v>3</v>
      </c>
      <c r="BJ503" s="2" t="s">
        <v>96</v>
      </c>
      <c r="BL503" s="2" t="s">
        <v>123</v>
      </c>
      <c r="BM503" s="2" t="s">
        <v>123</v>
      </c>
      <c r="BN503" s="2" t="s">
        <v>124</v>
      </c>
      <c r="BO503" s="2" t="s">
        <v>125</v>
      </c>
      <c r="BP503" s="2" t="s">
        <v>101</v>
      </c>
      <c r="BQ503" s="2" t="s">
        <v>124</v>
      </c>
      <c r="BR503" s="2" t="s">
        <v>126</v>
      </c>
      <c r="BS503" s="2" t="s">
        <v>127</v>
      </c>
      <c r="BT503" s="2" t="s">
        <v>199</v>
      </c>
      <c r="BU503" s="2" t="s">
        <v>200</v>
      </c>
      <c r="BV503" s="2" t="s">
        <v>166</v>
      </c>
      <c r="BW503" s="2" t="s">
        <v>167</v>
      </c>
      <c r="BX503" s="2" t="s">
        <v>91</v>
      </c>
      <c r="BY50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03" s="2">
        <f>IF(AND(Cases[[#This Row],[Priority Level]]&gt;=3,Cases[[#This Row],[System Role]]&lt;&gt;"Productive"),1,0)</f>
        <v>1</v>
      </c>
      <c r="CA503" s="2">
        <f>IFERROR(IF(Cases[[#This Row],[Days at Customer]]&gt;MAX(1,Cases[[#This Row],[Days at SAP]]*2),1,0),0)</f>
        <v>0</v>
      </c>
      <c r="CB503" s="2">
        <f>IF(AND(Cases[[#This Row],[Initial Component]]&lt;&gt;"",Cases[[#This Row],[Component]]&lt;&gt;"",Cases[[#This Row],[Initial Component]]&lt;&gt;Cases[[#This Row],[Component]]),1,0)</f>
        <v>0</v>
      </c>
      <c r="CC503" s="2">
        <f>IF(OR(Cases[[#This Row],[Is Reopened]]="X",Cases[[#This Row],[No. of Reopenings]]&gt;0),1,0)</f>
        <v>0</v>
      </c>
      <c r="CD503" s="2">
        <f>IF(Cases[[#This Row],[Confirmation Type]]="Automatic",1,0)</f>
        <v>0</v>
      </c>
      <c r="CE503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04" spans="1:83" x14ac:dyDescent="0.2">
      <c r="A504" s="1" t="s">
        <v>2906</v>
      </c>
      <c r="B504" s="2" t="s">
        <v>2907</v>
      </c>
      <c r="C504" s="2" t="s">
        <v>2908</v>
      </c>
      <c r="D504" s="2" t="s">
        <v>238</v>
      </c>
      <c r="E504" s="3">
        <v>15.57</v>
      </c>
      <c r="F504" s="3">
        <v>22.77</v>
      </c>
      <c r="G504" s="2" t="s">
        <v>79</v>
      </c>
      <c r="H504" s="2" t="s">
        <v>155</v>
      </c>
      <c r="I504" s="3" t="s">
        <v>114</v>
      </c>
      <c r="J504" s="3">
        <v>174</v>
      </c>
      <c r="K504" s="2" t="s">
        <v>2909</v>
      </c>
      <c r="L504" s="4">
        <v>46009</v>
      </c>
      <c r="M504" s="4">
        <v>45991</v>
      </c>
      <c r="N504" s="2" t="s">
        <v>2274</v>
      </c>
      <c r="O504" s="2" t="s">
        <v>1805</v>
      </c>
      <c r="P504" s="2" t="s">
        <v>2275</v>
      </c>
      <c r="Q504" s="2" t="s">
        <v>1806</v>
      </c>
      <c r="R504" s="2" t="s">
        <v>2910</v>
      </c>
      <c r="S504" s="4">
        <v>45953</v>
      </c>
      <c r="T504" s="2" t="s">
        <v>2727</v>
      </c>
      <c r="U504" s="2" t="s">
        <v>1805</v>
      </c>
      <c r="V504" s="2" t="s">
        <v>2887</v>
      </c>
      <c r="W504" s="2" t="s">
        <v>1806</v>
      </c>
      <c r="X504" s="2" t="s">
        <v>117</v>
      </c>
      <c r="Y504" s="3" t="s">
        <v>118</v>
      </c>
      <c r="Z504" s="3">
        <v>38.340000000000003</v>
      </c>
      <c r="AA504" s="2" t="s">
        <v>90</v>
      </c>
      <c r="AB504" s="2" t="s">
        <v>2911</v>
      </c>
      <c r="AC504" s="2" t="s">
        <v>2912</v>
      </c>
      <c r="AD504" t="str" cm="1">
        <f t="array" ref="AD50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504" s="2" t="s">
        <v>139</v>
      </c>
      <c r="AF504" s="2" t="s">
        <v>92</v>
      </c>
      <c r="AG504" s="2" t="s">
        <v>119</v>
      </c>
      <c r="AH504" s="2" t="s">
        <v>120</v>
      </c>
      <c r="AK504" s="2" t="s">
        <v>2913</v>
      </c>
      <c r="AN504" s="3">
        <v>1</v>
      </c>
      <c r="AO504" s="3">
        <v>1</v>
      </c>
      <c r="AP504" s="3">
        <v>1</v>
      </c>
      <c r="AQ504" s="3">
        <v>1</v>
      </c>
      <c r="AR504" s="3">
        <v>0</v>
      </c>
      <c r="AS504" s="3">
        <v>0</v>
      </c>
      <c r="AT504" s="3">
        <v>1</v>
      </c>
      <c r="AU504" s="3">
        <v>0</v>
      </c>
      <c r="AV504" s="3">
        <v>1</v>
      </c>
      <c r="AW504" s="3">
        <v>0</v>
      </c>
      <c r="AX504" s="3">
        <v>0</v>
      </c>
      <c r="AY504" s="3">
        <v>0</v>
      </c>
      <c r="AZ504" s="3">
        <v>1</v>
      </c>
      <c r="BA504" s="3">
        <v>0</v>
      </c>
      <c r="BB504" s="3">
        <v>0</v>
      </c>
      <c r="BC504" s="3">
        <v>1</v>
      </c>
      <c r="BD504" s="3">
        <v>0</v>
      </c>
      <c r="BE504" s="3">
        <v>0</v>
      </c>
      <c r="BG504" s="2" t="s">
        <v>139</v>
      </c>
      <c r="BH504" s="3">
        <v>2</v>
      </c>
      <c r="BJ504" s="2" t="s">
        <v>96</v>
      </c>
      <c r="BL504" s="2" t="s">
        <v>123</v>
      </c>
      <c r="BM504" s="2" t="s">
        <v>123</v>
      </c>
      <c r="BN504" s="2" t="s">
        <v>124</v>
      </c>
      <c r="BO504" s="2" t="s">
        <v>125</v>
      </c>
      <c r="BP504" s="2" t="s">
        <v>242</v>
      </c>
      <c r="BQ504" s="2" t="s">
        <v>124</v>
      </c>
      <c r="BR504" s="2" t="s">
        <v>126</v>
      </c>
      <c r="BS504" s="2" t="s">
        <v>127</v>
      </c>
      <c r="BT504" s="2" t="s">
        <v>174</v>
      </c>
      <c r="BU504" s="2" t="s">
        <v>175</v>
      </c>
      <c r="BV504" s="2" t="s">
        <v>150</v>
      </c>
      <c r="BW504" s="2" t="s">
        <v>151</v>
      </c>
      <c r="BX504" s="2" t="s">
        <v>139</v>
      </c>
      <c r="BY50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04" s="2">
        <f>IF(AND(Cases[[#This Row],[Priority Level]]&gt;=3,Cases[[#This Row],[System Role]]&lt;&gt;"Productive"),1,0)</f>
        <v>0</v>
      </c>
      <c r="CA504" s="2">
        <f>IFERROR(IF(Cases[[#This Row],[Days at Customer]]&gt;MAX(1,Cases[[#This Row],[Days at SAP]]*2),1,0),0)</f>
        <v>0</v>
      </c>
      <c r="CB504" s="2">
        <f>IF(AND(Cases[[#This Row],[Initial Component]]&lt;&gt;"",Cases[[#This Row],[Component]]&lt;&gt;"",Cases[[#This Row],[Initial Component]]&lt;&gt;Cases[[#This Row],[Component]]),1,0)</f>
        <v>1</v>
      </c>
      <c r="CC504" s="2">
        <f>IF(OR(Cases[[#This Row],[Is Reopened]]="X",Cases[[#This Row],[No. of Reopenings]]&gt;0),1,0)</f>
        <v>0</v>
      </c>
      <c r="CD504" s="2">
        <f>IF(Cases[[#This Row],[Confirmation Type]]="Automatic",1,0)</f>
        <v>1</v>
      </c>
      <c r="CE504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05" spans="1:83" x14ac:dyDescent="0.2">
      <c r="A505" s="1" t="s">
        <v>1580</v>
      </c>
      <c r="B505" s="2" t="s">
        <v>1581</v>
      </c>
      <c r="C505" s="2" t="s">
        <v>265</v>
      </c>
      <c r="D505" s="2" t="s">
        <v>238</v>
      </c>
      <c r="E505" s="3">
        <v>4.82</v>
      </c>
      <c r="F505" s="3">
        <v>44.63</v>
      </c>
      <c r="G505" s="2" t="s">
        <v>79</v>
      </c>
      <c r="H505" s="2" t="s">
        <v>80</v>
      </c>
      <c r="I505" s="3" t="s">
        <v>114</v>
      </c>
      <c r="J505" s="3">
        <v>91</v>
      </c>
      <c r="K505" s="2" t="s">
        <v>1582</v>
      </c>
      <c r="L505" s="4">
        <v>46089</v>
      </c>
      <c r="M505" s="4">
        <v>46085</v>
      </c>
      <c r="N505" s="2" t="s">
        <v>180</v>
      </c>
      <c r="O505" s="2" t="s">
        <v>181</v>
      </c>
      <c r="P505" s="2" t="s">
        <v>526</v>
      </c>
      <c r="Q505" s="2" t="s">
        <v>86</v>
      </c>
      <c r="R505" s="2" t="s">
        <v>267</v>
      </c>
      <c r="S505" s="4">
        <v>46036</v>
      </c>
      <c r="T505" s="2" t="s">
        <v>1334</v>
      </c>
      <c r="U505" s="2" t="s">
        <v>181</v>
      </c>
      <c r="V505" s="2" t="s">
        <v>180</v>
      </c>
      <c r="W505" s="2" t="s">
        <v>86</v>
      </c>
      <c r="X505" s="2" t="s">
        <v>117</v>
      </c>
      <c r="Y505" s="3" t="s">
        <v>118</v>
      </c>
      <c r="Z505" s="3">
        <v>49.45</v>
      </c>
      <c r="AA505" s="2" t="s">
        <v>90</v>
      </c>
      <c r="AB505" s="2" t="s">
        <v>267</v>
      </c>
      <c r="AC505" s="2" t="s">
        <v>265</v>
      </c>
      <c r="AD505" t="str" cm="1">
        <f t="array" ref="AD50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505" s="2" t="s">
        <v>91</v>
      </c>
      <c r="AF505" s="2" t="s">
        <v>92</v>
      </c>
      <c r="AG505" s="2" t="s">
        <v>119</v>
      </c>
      <c r="AH505" s="2" t="s">
        <v>120</v>
      </c>
      <c r="AK505" s="2" t="s">
        <v>1583</v>
      </c>
      <c r="AN505" s="3">
        <v>1</v>
      </c>
      <c r="AO505" s="3">
        <v>1</v>
      </c>
      <c r="AP505" s="3">
        <v>1</v>
      </c>
      <c r="AQ505" s="3">
        <v>1</v>
      </c>
      <c r="AR505" s="3">
        <v>1</v>
      </c>
      <c r="AS505" s="3">
        <v>0</v>
      </c>
      <c r="AT505" s="3">
        <v>0</v>
      </c>
      <c r="AU505" s="3">
        <v>0</v>
      </c>
      <c r="AV505" s="3">
        <v>1</v>
      </c>
      <c r="AW505" s="3">
        <v>0</v>
      </c>
      <c r="AX505" s="3">
        <v>1</v>
      </c>
      <c r="AY505" s="3">
        <v>0</v>
      </c>
      <c r="AZ505" s="3">
        <v>0</v>
      </c>
      <c r="BA505" s="3">
        <v>0</v>
      </c>
      <c r="BB505" s="3">
        <v>0</v>
      </c>
      <c r="BC505" s="3">
        <v>1</v>
      </c>
      <c r="BD505" s="3">
        <v>0</v>
      </c>
      <c r="BE505" s="3">
        <v>0</v>
      </c>
      <c r="BG505" s="2" t="s">
        <v>91</v>
      </c>
      <c r="BH505" s="3">
        <v>3</v>
      </c>
      <c r="BJ505" s="2" t="s">
        <v>96</v>
      </c>
      <c r="BL505" s="2" t="s">
        <v>123</v>
      </c>
      <c r="BM505" s="2" t="s">
        <v>123</v>
      </c>
      <c r="BN505" s="2" t="s">
        <v>124</v>
      </c>
      <c r="BO505" s="2" t="s">
        <v>125</v>
      </c>
      <c r="BP505" s="2" t="s">
        <v>242</v>
      </c>
      <c r="BQ505" s="2" t="s">
        <v>124</v>
      </c>
      <c r="BR505" s="2" t="s">
        <v>126</v>
      </c>
      <c r="BS505" s="2" t="s">
        <v>127</v>
      </c>
      <c r="BT505" s="2" t="s">
        <v>207</v>
      </c>
      <c r="BU505" s="2" t="s">
        <v>208</v>
      </c>
      <c r="BV505" s="2" t="s">
        <v>150</v>
      </c>
      <c r="BW505" s="2" t="s">
        <v>151</v>
      </c>
      <c r="BX505" s="2" t="s">
        <v>91</v>
      </c>
      <c r="BY50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05" s="2">
        <f>IF(AND(Cases[[#This Row],[Priority Level]]&gt;=3,Cases[[#This Row],[System Role]]&lt;&gt;"Productive"),1,0)</f>
        <v>0</v>
      </c>
      <c r="CA505" s="2">
        <f>IFERROR(IF(Cases[[#This Row],[Days at Customer]]&gt;MAX(1,Cases[[#This Row],[Days at SAP]]*2),1,0),0)</f>
        <v>1</v>
      </c>
      <c r="CB505" s="2">
        <f>IF(AND(Cases[[#This Row],[Initial Component]]&lt;&gt;"",Cases[[#This Row],[Component]]&lt;&gt;"",Cases[[#This Row],[Initial Component]]&lt;&gt;Cases[[#This Row],[Component]]),1,0)</f>
        <v>0</v>
      </c>
      <c r="CC505" s="2">
        <f>IF(OR(Cases[[#This Row],[Is Reopened]]="X",Cases[[#This Row],[No. of Reopenings]]&gt;0),1,0)</f>
        <v>0</v>
      </c>
      <c r="CD505" s="2">
        <f>IF(Cases[[#This Row],[Confirmation Type]]="Automatic",1,0)</f>
        <v>1</v>
      </c>
      <c r="CE505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06" spans="1:83" x14ac:dyDescent="0.2">
      <c r="A506" s="1" t="s">
        <v>2919</v>
      </c>
      <c r="B506" s="2" t="s">
        <v>2920</v>
      </c>
      <c r="C506" s="2" t="s">
        <v>2921</v>
      </c>
      <c r="D506" s="2" t="s">
        <v>238</v>
      </c>
      <c r="E506" s="3">
        <v>5.51</v>
      </c>
      <c r="F506" s="3">
        <v>22.16</v>
      </c>
      <c r="G506" s="2" t="s">
        <v>79</v>
      </c>
      <c r="H506" s="2" t="s">
        <v>178</v>
      </c>
      <c r="I506" s="3" t="s">
        <v>81</v>
      </c>
      <c r="J506" s="3">
        <v>175</v>
      </c>
      <c r="K506" s="2" t="s">
        <v>2922</v>
      </c>
      <c r="L506" s="4">
        <v>46009</v>
      </c>
      <c r="M506" s="4">
        <v>45979</v>
      </c>
      <c r="N506" s="2" t="s">
        <v>2274</v>
      </c>
      <c r="O506" s="2" t="s">
        <v>1805</v>
      </c>
      <c r="P506" s="2" t="s">
        <v>2404</v>
      </c>
      <c r="Q506" s="2" t="s">
        <v>1806</v>
      </c>
      <c r="R506" s="2" t="s">
        <v>2923</v>
      </c>
      <c r="S506" s="4">
        <v>45952</v>
      </c>
      <c r="T506" s="2" t="s">
        <v>2727</v>
      </c>
      <c r="U506" s="2" t="s">
        <v>1805</v>
      </c>
      <c r="V506" s="2" t="s">
        <v>2887</v>
      </c>
      <c r="W506" s="2" t="s">
        <v>1806</v>
      </c>
      <c r="X506" s="2" t="s">
        <v>88</v>
      </c>
      <c r="Y506" s="3" t="s">
        <v>89</v>
      </c>
      <c r="Z506" s="3">
        <v>27.66</v>
      </c>
      <c r="AA506" s="2" t="s">
        <v>90</v>
      </c>
      <c r="AB506" s="2" t="s">
        <v>2923</v>
      </c>
      <c r="AC506" s="2" t="s">
        <v>2921</v>
      </c>
      <c r="AD506" t="str" cm="1">
        <f t="array" ref="AD50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506" s="2" t="s">
        <v>91</v>
      </c>
      <c r="AF506" s="2" t="s">
        <v>92</v>
      </c>
      <c r="AG506" s="2" t="s">
        <v>93</v>
      </c>
      <c r="AH506" s="2" t="s">
        <v>94</v>
      </c>
      <c r="AJ506" s="2" t="s">
        <v>122</v>
      </c>
      <c r="AK506" s="2" t="s">
        <v>2924</v>
      </c>
      <c r="AN506" s="3">
        <v>1</v>
      </c>
      <c r="AO506" s="3">
        <v>1</v>
      </c>
      <c r="AP506" s="3">
        <v>1</v>
      </c>
      <c r="AQ506" s="3">
        <v>1</v>
      </c>
      <c r="AR506" s="3">
        <v>1</v>
      </c>
      <c r="AS506" s="3">
        <v>0</v>
      </c>
      <c r="AT506" s="3">
        <v>0</v>
      </c>
      <c r="AU506" s="3">
        <v>0</v>
      </c>
      <c r="AV506" s="3">
        <v>1</v>
      </c>
      <c r="AW506" s="3">
        <v>0</v>
      </c>
      <c r="AX506" s="3">
        <v>1</v>
      </c>
      <c r="AY506" s="3">
        <v>0</v>
      </c>
      <c r="AZ506" s="3">
        <v>0</v>
      </c>
      <c r="BA506" s="3">
        <v>1</v>
      </c>
      <c r="BB506" s="3">
        <v>0</v>
      </c>
      <c r="BC506" s="3">
        <v>0</v>
      </c>
      <c r="BD506" s="3">
        <v>1</v>
      </c>
      <c r="BE506" s="3">
        <v>0</v>
      </c>
      <c r="BG506" s="2" t="s">
        <v>91</v>
      </c>
      <c r="BH506" s="3">
        <v>3</v>
      </c>
      <c r="BJ506" s="2" t="s">
        <v>96</v>
      </c>
      <c r="BL506" s="2" t="s">
        <v>184</v>
      </c>
      <c r="BM506" s="2" t="s">
        <v>184</v>
      </c>
      <c r="BN506" s="2" t="s">
        <v>124</v>
      </c>
      <c r="BO506" s="2" t="s">
        <v>125</v>
      </c>
      <c r="BP506" s="2" t="s">
        <v>242</v>
      </c>
      <c r="BQ506" s="2" t="s">
        <v>124</v>
      </c>
      <c r="BR506" s="2" t="s">
        <v>126</v>
      </c>
      <c r="BS506" s="2" t="s">
        <v>104</v>
      </c>
      <c r="BT506" s="2" t="s">
        <v>185</v>
      </c>
      <c r="BU506" s="2" t="s">
        <v>2925</v>
      </c>
      <c r="BV506" s="2" t="s">
        <v>2926</v>
      </c>
      <c r="BW506" s="2" t="s">
        <v>2927</v>
      </c>
      <c r="BX506" s="2" t="s">
        <v>91</v>
      </c>
      <c r="BY50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06" s="2">
        <f>IF(AND(Cases[[#This Row],[Priority Level]]&gt;=3,Cases[[#This Row],[System Role]]&lt;&gt;"Productive"),1,0)</f>
        <v>1</v>
      </c>
      <c r="CA506" s="2">
        <f>IFERROR(IF(Cases[[#This Row],[Days at Customer]]&gt;MAX(1,Cases[[#This Row],[Days at SAP]]*2),1,0),0)</f>
        <v>1</v>
      </c>
      <c r="CB506" s="2">
        <f>IF(AND(Cases[[#This Row],[Initial Component]]&lt;&gt;"",Cases[[#This Row],[Component]]&lt;&gt;"",Cases[[#This Row],[Initial Component]]&lt;&gt;Cases[[#This Row],[Component]]),1,0)</f>
        <v>0</v>
      </c>
      <c r="CC506" s="2">
        <f>IF(OR(Cases[[#This Row],[Is Reopened]]="X",Cases[[#This Row],[No. of Reopenings]]&gt;0),1,0)</f>
        <v>1</v>
      </c>
      <c r="CD506" s="2">
        <f>IF(Cases[[#This Row],[Confirmation Type]]="Automatic",1,0)</f>
        <v>1</v>
      </c>
      <c r="CE506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507" spans="1:83" x14ac:dyDescent="0.2">
      <c r="A507" s="1" t="s">
        <v>2287</v>
      </c>
      <c r="B507" s="2" t="s">
        <v>2288</v>
      </c>
      <c r="C507" s="2" t="s">
        <v>203</v>
      </c>
      <c r="D507" s="2" t="s">
        <v>238</v>
      </c>
      <c r="E507" s="3">
        <v>0</v>
      </c>
      <c r="F507" s="3">
        <v>35.049999999999997</v>
      </c>
      <c r="G507" s="2" t="s">
        <v>112</v>
      </c>
      <c r="H507" s="2" t="s">
        <v>113</v>
      </c>
      <c r="I507" s="3" t="s">
        <v>114</v>
      </c>
      <c r="J507" s="3">
        <v>138</v>
      </c>
      <c r="K507" s="2" t="s">
        <v>2289</v>
      </c>
      <c r="L507" s="4">
        <v>46089</v>
      </c>
      <c r="M507" s="4">
        <v>46081</v>
      </c>
      <c r="N507" s="2" t="s">
        <v>677</v>
      </c>
      <c r="O507" s="2" t="s">
        <v>181</v>
      </c>
      <c r="P507" s="2" t="s">
        <v>678</v>
      </c>
      <c r="Q507" s="2" t="s">
        <v>86</v>
      </c>
      <c r="R507" s="2" t="s">
        <v>205</v>
      </c>
      <c r="S507" s="4">
        <v>45989</v>
      </c>
      <c r="T507" s="2" t="s">
        <v>2274</v>
      </c>
      <c r="U507" s="2" t="s">
        <v>1805</v>
      </c>
      <c r="V507" s="2" t="s">
        <v>2275</v>
      </c>
      <c r="W507" s="2" t="s">
        <v>1806</v>
      </c>
      <c r="X507" s="2" t="s">
        <v>117</v>
      </c>
      <c r="Y507" s="3" t="s">
        <v>118</v>
      </c>
      <c r="Z507" s="3">
        <v>35.049999999999997</v>
      </c>
      <c r="AA507" s="2" t="s">
        <v>90</v>
      </c>
      <c r="AB507" s="2" t="s">
        <v>205</v>
      </c>
      <c r="AC507" s="2" t="s">
        <v>203</v>
      </c>
      <c r="AD507" t="str" cm="1">
        <f t="array" ref="AD50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507" s="2" t="s">
        <v>139</v>
      </c>
      <c r="AF507" s="2" t="s">
        <v>92</v>
      </c>
      <c r="AG507" s="2" t="s">
        <v>119</v>
      </c>
      <c r="AH507" s="2" t="s">
        <v>120</v>
      </c>
      <c r="AK507" s="2" t="s">
        <v>2290</v>
      </c>
      <c r="AN507" s="3">
        <v>1</v>
      </c>
      <c r="AO507" s="3">
        <v>1</v>
      </c>
      <c r="AP507" s="3">
        <v>1</v>
      </c>
      <c r="AQ507" s="3">
        <v>1</v>
      </c>
      <c r="AR507" s="3">
        <v>1</v>
      </c>
      <c r="AS507" s="3">
        <v>0</v>
      </c>
      <c r="AT507" s="3">
        <v>0</v>
      </c>
      <c r="AU507" s="3">
        <v>0</v>
      </c>
      <c r="AV507" s="3">
        <v>1</v>
      </c>
      <c r="AW507" s="3">
        <v>0</v>
      </c>
      <c r="AX507" s="3">
        <v>1</v>
      </c>
      <c r="AY507" s="3">
        <v>0</v>
      </c>
      <c r="AZ507" s="3">
        <v>0</v>
      </c>
      <c r="BA507" s="3">
        <v>0</v>
      </c>
      <c r="BB507" s="3">
        <v>0</v>
      </c>
      <c r="BC507" s="3">
        <v>1</v>
      </c>
      <c r="BD507" s="3">
        <v>0</v>
      </c>
      <c r="BE507" s="3">
        <v>0</v>
      </c>
      <c r="BG507" s="2" t="s">
        <v>91</v>
      </c>
      <c r="BH507" s="3">
        <v>3</v>
      </c>
      <c r="BI507" s="2" t="s">
        <v>122</v>
      </c>
      <c r="BJ507" s="2" t="s">
        <v>96</v>
      </c>
      <c r="BL507" s="2" t="s">
        <v>123</v>
      </c>
      <c r="BM507" s="2" t="s">
        <v>123</v>
      </c>
      <c r="BN507" s="2" t="s">
        <v>124</v>
      </c>
      <c r="BO507" s="2" t="s">
        <v>125</v>
      </c>
      <c r="BP507" s="2" t="s">
        <v>242</v>
      </c>
      <c r="BQ507" s="2" t="s">
        <v>124</v>
      </c>
      <c r="BR507" s="2" t="s">
        <v>126</v>
      </c>
      <c r="BS507" s="2" t="s">
        <v>127</v>
      </c>
      <c r="BT507" s="2" t="s">
        <v>207</v>
      </c>
      <c r="BU507" s="2" t="s">
        <v>208</v>
      </c>
      <c r="BV507" s="2" t="s">
        <v>150</v>
      </c>
      <c r="BW507" s="2" t="s">
        <v>151</v>
      </c>
      <c r="BX507" s="2" t="s">
        <v>91</v>
      </c>
      <c r="BY50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07" s="2">
        <f>IF(AND(Cases[[#This Row],[Priority Level]]&gt;=3,Cases[[#This Row],[System Role]]&lt;&gt;"Productive"),1,0)</f>
        <v>0</v>
      </c>
      <c r="CA507" s="2">
        <f>IFERROR(IF(Cases[[#This Row],[Days at Customer]]&gt;MAX(1,Cases[[#This Row],[Days at SAP]]*2),1,0),0)</f>
        <v>1</v>
      </c>
      <c r="CB507" s="2">
        <f>IF(AND(Cases[[#This Row],[Initial Component]]&lt;&gt;"",Cases[[#This Row],[Component]]&lt;&gt;"",Cases[[#This Row],[Initial Component]]&lt;&gt;Cases[[#This Row],[Component]]),1,0)</f>
        <v>0</v>
      </c>
      <c r="CC507" s="2">
        <f>IF(OR(Cases[[#This Row],[Is Reopened]]="X",Cases[[#This Row],[No. of Reopenings]]&gt;0),1,0)</f>
        <v>0</v>
      </c>
      <c r="CD507" s="2">
        <f>IF(Cases[[#This Row],[Confirmation Type]]="Automatic",1,0)</f>
        <v>1</v>
      </c>
      <c r="CE507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08" spans="1:83" x14ac:dyDescent="0.2">
      <c r="A508" s="1" t="s">
        <v>2933</v>
      </c>
      <c r="B508" s="2" t="s">
        <v>2934</v>
      </c>
      <c r="C508" s="2" t="s">
        <v>1534</v>
      </c>
      <c r="D508" s="2" t="s">
        <v>78</v>
      </c>
      <c r="E508" s="3">
        <v>7.9</v>
      </c>
      <c r="F508" s="3">
        <v>17.079999999999998</v>
      </c>
      <c r="G508" s="2" t="s">
        <v>113</v>
      </c>
      <c r="H508" s="2" t="s">
        <v>113</v>
      </c>
      <c r="I508" s="3" t="s">
        <v>114</v>
      </c>
      <c r="J508" s="3">
        <v>179</v>
      </c>
      <c r="K508" s="2" t="s">
        <v>2935</v>
      </c>
      <c r="L508" s="4">
        <v>46064</v>
      </c>
      <c r="M508" s="4">
        <v>45973</v>
      </c>
      <c r="N508" s="2" t="s">
        <v>2274</v>
      </c>
      <c r="O508" s="2" t="s">
        <v>1805</v>
      </c>
      <c r="P508" s="2" t="s">
        <v>2467</v>
      </c>
      <c r="Q508" s="2" t="s">
        <v>1806</v>
      </c>
      <c r="R508" s="2" t="s">
        <v>1536</v>
      </c>
      <c r="S508" s="4">
        <v>45948</v>
      </c>
      <c r="T508" s="2" t="s">
        <v>2727</v>
      </c>
      <c r="U508" s="2" t="s">
        <v>1805</v>
      </c>
      <c r="V508" s="2" t="s">
        <v>2936</v>
      </c>
      <c r="W508" s="2" t="s">
        <v>1806</v>
      </c>
      <c r="X508" s="2" t="s">
        <v>117</v>
      </c>
      <c r="Y508" s="3" t="s">
        <v>118</v>
      </c>
      <c r="Z508" s="3">
        <v>24.98</v>
      </c>
      <c r="AA508" s="2" t="s">
        <v>138</v>
      </c>
      <c r="AB508" s="2" t="s">
        <v>443</v>
      </c>
      <c r="AC508" s="2" t="s">
        <v>444</v>
      </c>
      <c r="AD508" t="str" cm="1">
        <f t="array" ref="AD50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508" s="2" t="s">
        <v>91</v>
      </c>
      <c r="AF508" s="2" t="s">
        <v>92</v>
      </c>
      <c r="AG508" s="2" t="s">
        <v>274</v>
      </c>
      <c r="AH508" s="2" t="s">
        <v>275</v>
      </c>
      <c r="AK508" s="2" t="s">
        <v>2937</v>
      </c>
      <c r="AN508" s="3">
        <v>1</v>
      </c>
      <c r="AO508" s="3">
        <v>1</v>
      </c>
      <c r="AP508" s="3">
        <v>1</v>
      </c>
      <c r="AQ508" s="3">
        <v>1</v>
      </c>
      <c r="AR508" s="3">
        <v>1</v>
      </c>
      <c r="AS508" s="3">
        <v>0</v>
      </c>
      <c r="AT508" s="3">
        <v>0</v>
      </c>
      <c r="AU508" s="3">
        <v>0</v>
      </c>
      <c r="AV508" s="3">
        <v>0</v>
      </c>
      <c r="AW508" s="3">
        <v>1</v>
      </c>
      <c r="AX508" s="3">
        <v>1</v>
      </c>
      <c r="AY508" s="3">
        <v>0</v>
      </c>
      <c r="AZ508" s="3">
        <v>0</v>
      </c>
      <c r="BA508" s="3">
        <v>1</v>
      </c>
      <c r="BB508" s="3">
        <v>0</v>
      </c>
      <c r="BC508" s="3">
        <v>0</v>
      </c>
      <c r="BD508" s="3">
        <v>0</v>
      </c>
      <c r="BE508" s="3">
        <v>0</v>
      </c>
      <c r="BG508" s="2" t="s">
        <v>91</v>
      </c>
      <c r="BH508" s="3">
        <v>3</v>
      </c>
      <c r="BJ508" s="2" t="s">
        <v>96</v>
      </c>
      <c r="BL508" s="2" t="s">
        <v>446</v>
      </c>
      <c r="BM508" s="2" t="s">
        <v>447</v>
      </c>
      <c r="BN508" s="2" t="s">
        <v>279</v>
      </c>
      <c r="BO508" s="2" t="s">
        <v>280</v>
      </c>
      <c r="BP508" s="2" t="s">
        <v>101</v>
      </c>
      <c r="BQ508" s="2" t="s">
        <v>448</v>
      </c>
      <c r="BR508" s="2" t="s">
        <v>449</v>
      </c>
      <c r="BS508" s="2" t="s">
        <v>450</v>
      </c>
      <c r="BT508" s="2" t="s">
        <v>1030</v>
      </c>
      <c r="BU508" s="2" t="s">
        <v>1031</v>
      </c>
      <c r="BV508" s="2" t="s">
        <v>166</v>
      </c>
      <c r="BW508" s="2" t="s">
        <v>167</v>
      </c>
      <c r="BX508" s="2" t="s">
        <v>91</v>
      </c>
      <c r="BY50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08" s="2">
        <f>IF(AND(Cases[[#This Row],[Priority Level]]&gt;=3,Cases[[#This Row],[System Role]]&lt;&gt;"Productive"),1,0)</f>
        <v>1</v>
      </c>
      <c r="CA508" s="2">
        <f>IFERROR(IF(Cases[[#This Row],[Days at Customer]]&gt;MAX(1,Cases[[#This Row],[Days at SAP]]*2),1,0),0)</f>
        <v>1</v>
      </c>
      <c r="CB508" s="2">
        <f>IF(AND(Cases[[#This Row],[Initial Component]]&lt;&gt;"",Cases[[#This Row],[Component]]&lt;&gt;"",Cases[[#This Row],[Initial Component]]&lt;&gt;Cases[[#This Row],[Component]]),1,0)</f>
        <v>1</v>
      </c>
      <c r="CC508" s="2">
        <f>IF(OR(Cases[[#This Row],[Is Reopened]]="X",Cases[[#This Row],[No. of Reopenings]]&gt;0),1,0)</f>
        <v>0</v>
      </c>
      <c r="CD508" s="2">
        <f>IF(Cases[[#This Row],[Confirmation Type]]="Automatic",1,0)</f>
        <v>0</v>
      </c>
      <c r="CE508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509" spans="1:83" x14ac:dyDescent="0.2">
      <c r="A509" s="1" t="s">
        <v>2938</v>
      </c>
      <c r="B509" s="2" t="s">
        <v>2939</v>
      </c>
      <c r="C509" s="2" t="s">
        <v>2821</v>
      </c>
      <c r="D509" s="2" t="s">
        <v>238</v>
      </c>
      <c r="E509" s="3">
        <v>0.57999999999999996</v>
      </c>
      <c r="F509" s="3">
        <v>22.98</v>
      </c>
      <c r="G509" s="2" t="s">
        <v>79</v>
      </c>
      <c r="H509" s="2" t="s">
        <v>80</v>
      </c>
      <c r="I509" s="3" t="s">
        <v>81</v>
      </c>
      <c r="J509" s="3">
        <v>179</v>
      </c>
      <c r="K509" s="2" t="s">
        <v>2940</v>
      </c>
      <c r="L509" s="4">
        <v>46009</v>
      </c>
      <c r="M509" s="4">
        <v>45972</v>
      </c>
      <c r="N509" s="2" t="s">
        <v>2274</v>
      </c>
      <c r="O509" s="2" t="s">
        <v>1805</v>
      </c>
      <c r="P509" s="2" t="s">
        <v>2467</v>
      </c>
      <c r="Q509" s="2" t="s">
        <v>1806</v>
      </c>
      <c r="R509" s="2" t="s">
        <v>2823</v>
      </c>
      <c r="S509" s="4">
        <v>45948</v>
      </c>
      <c r="T509" s="2" t="s">
        <v>2727</v>
      </c>
      <c r="U509" s="2" t="s">
        <v>1805</v>
      </c>
      <c r="V509" s="2" t="s">
        <v>2936</v>
      </c>
      <c r="W509" s="2" t="s">
        <v>1806</v>
      </c>
      <c r="X509" s="2" t="s">
        <v>88</v>
      </c>
      <c r="Y509" s="3" t="s">
        <v>89</v>
      </c>
      <c r="Z509" s="3">
        <v>23.56</v>
      </c>
      <c r="AA509" s="2" t="s">
        <v>90</v>
      </c>
      <c r="AB509" s="2" t="s">
        <v>2941</v>
      </c>
      <c r="AC509" s="2" t="s">
        <v>2942</v>
      </c>
      <c r="AD509" t="str" cm="1">
        <f t="array" ref="AD50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509" s="2" t="s">
        <v>91</v>
      </c>
      <c r="AF509" s="2" t="s">
        <v>92</v>
      </c>
      <c r="AG509" s="2" t="s">
        <v>93</v>
      </c>
      <c r="AH509" s="2" t="s">
        <v>94</v>
      </c>
      <c r="AJ509" s="2" t="s">
        <v>122</v>
      </c>
      <c r="AK509" s="2" t="s">
        <v>2943</v>
      </c>
      <c r="AN509" s="3">
        <v>1</v>
      </c>
      <c r="AO509" s="3">
        <v>1</v>
      </c>
      <c r="AP509" s="3">
        <v>1</v>
      </c>
      <c r="AQ509" s="3">
        <v>1</v>
      </c>
      <c r="AR509" s="3">
        <v>0</v>
      </c>
      <c r="AS509" s="3">
        <v>0</v>
      </c>
      <c r="AT509" s="3">
        <v>0</v>
      </c>
      <c r="AU509" s="3">
        <v>1</v>
      </c>
      <c r="AV509" s="3">
        <v>1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1</v>
      </c>
      <c r="BD509" s="3">
        <v>3</v>
      </c>
      <c r="BE509" s="3">
        <v>1</v>
      </c>
      <c r="BG509" s="2" t="s">
        <v>182</v>
      </c>
      <c r="BH509" s="3">
        <v>4</v>
      </c>
      <c r="BJ509" s="2" t="s">
        <v>96</v>
      </c>
      <c r="BL509" s="2" t="s">
        <v>184</v>
      </c>
      <c r="BM509" s="2" t="s">
        <v>184</v>
      </c>
      <c r="BN509" s="2" t="s">
        <v>124</v>
      </c>
      <c r="BO509" s="2" t="s">
        <v>125</v>
      </c>
      <c r="BP509" s="2" t="s">
        <v>242</v>
      </c>
      <c r="BQ509" s="2" t="s">
        <v>124</v>
      </c>
      <c r="BR509" s="2" t="s">
        <v>126</v>
      </c>
      <c r="BS509" s="2" t="s">
        <v>127</v>
      </c>
      <c r="BT509" s="2" t="s">
        <v>1415</v>
      </c>
      <c r="BU509" s="2" t="s">
        <v>1416</v>
      </c>
      <c r="BV509" s="2" t="s">
        <v>150</v>
      </c>
      <c r="BW509" s="2" t="s">
        <v>151</v>
      </c>
      <c r="BX509" s="2" t="s">
        <v>182</v>
      </c>
      <c r="BY50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09" s="2">
        <f>IF(AND(Cases[[#This Row],[Priority Level]]&gt;=3,Cases[[#This Row],[System Role]]&lt;&gt;"Productive"),1,0)</f>
        <v>0</v>
      </c>
      <c r="CA509" s="2">
        <f>IFERROR(IF(Cases[[#This Row],[Days at Customer]]&gt;MAX(1,Cases[[#This Row],[Days at SAP]]*2),1,0),0)</f>
        <v>1</v>
      </c>
      <c r="CB509" s="2">
        <f>IF(AND(Cases[[#This Row],[Initial Component]]&lt;&gt;"",Cases[[#This Row],[Component]]&lt;&gt;"",Cases[[#This Row],[Initial Component]]&lt;&gt;Cases[[#This Row],[Component]]),1,0)</f>
        <v>1</v>
      </c>
      <c r="CC509" s="2">
        <f>IF(OR(Cases[[#This Row],[Is Reopened]]="X",Cases[[#This Row],[No. of Reopenings]]&gt;0),1,0)</f>
        <v>1</v>
      </c>
      <c r="CD509" s="2">
        <f>IF(Cases[[#This Row],[Confirmation Type]]="Automatic",1,0)</f>
        <v>1</v>
      </c>
      <c r="CE509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510" spans="1:83" x14ac:dyDescent="0.2">
      <c r="A510" s="1" t="s">
        <v>2944</v>
      </c>
      <c r="B510" s="2" t="s">
        <v>2945</v>
      </c>
      <c r="C510" s="2" t="s">
        <v>1853</v>
      </c>
      <c r="D510" s="2" t="s">
        <v>238</v>
      </c>
      <c r="E510" s="3">
        <v>3.24</v>
      </c>
      <c r="F510" s="3">
        <v>29.23</v>
      </c>
      <c r="G510" s="2" t="s">
        <v>133</v>
      </c>
      <c r="H510" s="2" t="s">
        <v>324</v>
      </c>
      <c r="I510" s="3" t="s">
        <v>114</v>
      </c>
      <c r="J510" s="3">
        <v>180</v>
      </c>
      <c r="K510" s="2" t="s">
        <v>2946</v>
      </c>
      <c r="L510" s="4">
        <v>46009</v>
      </c>
      <c r="M510" s="4">
        <v>45979</v>
      </c>
      <c r="N510" s="2" t="s">
        <v>2274</v>
      </c>
      <c r="O510" s="2" t="s">
        <v>1805</v>
      </c>
      <c r="P510" s="2" t="s">
        <v>2404</v>
      </c>
      <c r="Q510" s="2" t="s">
        <v>1806</v>
      </c>
      <c r="R510" s="2" t="s">
        <v>1852</v>
      </c>
      <c r="S510" s="4">
        <v>45947</v>
      </c>
      <c r="T510" s="2" t="s">
        <v>2727</v>
      </c>
      <c r="U510" s="2" t="s">
        <v>1805</v>
      </c>
      <c r="V510" s="2" t="s">
        <v>2936</v>
      </c>
      <c r="W510" s="2" t="s">
        <v>1806</v>
      </c>
      <c r="X510" s="2" t="s">
        <v>117</v>
      </c>
      <c r="Y510" s="3" t="s">
        <v>118</v>
      </c>
      <c r="Z510" s="3">
        <v>32.47</v>
      </c>
      <c r="AA510" s="2" t="s">
        <v>90</v>
      </c>
      <c r="AB510" s="2" t="s">
        <v>1852</v>
      </c>
      <c r="AC510" s="2" t="s">
        <v>1853</v>
      </c>
      <c r="AD510" t="str" cm="1">
        <f t="array" ref="AD51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510" s="2" t="s">
        <v>91</v>
      </c>
      <c r="AF510" s="2" t="s">
        <v>998</v>
      </c>
      <c r="AG510" s="2" t="s">
        <v>119</v>
      </c>
      <c r="AH510" s="2" t="s">
        <v>120</v>
      </c>
      <c r="AK510" s="2" t="s">
        <v>2947</v>
      </c>
      <c r="AN510" s="3">
        <v>1</v>
      </c>
      <c r="AO510" s="3">
        <v>1</v>
      </c>
      <c r="AP510" s="3">
        <v>1</v>
      </c>
      <c r="AQ510" s="3">
        <v>1</v>
      </c>
      <c r="AR510" s="3">
        <v>1</v>
      </c>
      <c r="AS510" s="3">
        <v>0</v>
      </c>
      <c r="AT510" s="3">
        <v>0</v>
      </c>
      <c r="AU510" s="3">
        <v>0</v>
      </c>
      <c r="AV510" s="3">
        <v>1</v>
      </c>
      <c r="AW510" s="3">
        <v>0</v>
      </c>
      <c r="AX510" s="3">
        <v>1</v>
      </c>
      <c r="AY510" s="3">
        <v>0</v>
      </c>
      <c r="AZ510" s="3">
        <v>0</v>
      </c>
      <c r="BA510" s="3">
        <v>0</v>
      </c>
      <c r="BB510" s="3">
        <v>0</v>
      </c>
      <c r="BC510" s="3">
        <v>1</v>
      </c>
      <c r="BD510" s="3">
        <v>0</v>
      </c>
      <c r="BE510" s="3">
        <v>0</v>
      </c>
      <c r="BG510" s="2" t="s">
        <v>91</v>
      </c>
      <c r="BH510" s="3">
        <v>3</v>
      </c>
      <c r="BJ510" s="2" t="s">
        <v>96</v>
      </c>
      <c r="BL510" s="2" t="s">
        <v>123</v>
      </c>
      <c r="BM510" s="2" t="s">
        <v>123</v>
      </c>
      <c r="BN510" s="2" t="s">
        <v>124</v>
      </c>
      <c r="BO510" s="2" t="s">
        <v>125</v>
      </c>
      <c r="BP510" s="2" t="s">
        <v>242</v>
      </c>
      <c r="BQ510" s="2" t="s">
        <v>124</v>
      </c>
      <c r="BR510" s="2" t="s">
        <v>126</v>
      </c>
      <c r="BS510" s="2" t="s">
        <v>127</v>
      </c>
      <c r="BT510" s="2" t="s">
        <v>174</v>
      </c>
      <c r="BU510" s="2" t="s">
        <v>175</v>
      </c>
      <c r="BV510" s="2" t="s">
        <v>150</v>
      </c>
      <c r="BW510" s="2" t="s">
        <v>151</v>
      </c>
      <c r="BX510" s="2" t="s">
        <v>91</v>
      </c>
      <c r="BY51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10" s="2">
        <f>IF(AND(Cases[[#This Row],[Priority Level]]&gt;=3,Cases[[#This Row],[System Role]]&lt;&gt;"Productive"),1,0)</f>
        <v>0</v>
      </c>
      <c r="CA510" s="2">
        <f>IFERROR(IF(Cases[[#This Row],[Days at Customer]]&gt;MAX(1,Cases[[#This Row],[Days at SAP]]*2),1,0),0)</f>
        <v>1</v>
      </c>
      <c r="CB510" s="2">
        <f>IF(AND(Cases[[#This Row],[Initial Component]]&lt;&gt;"",Cases[[#This Row],[Component]]&lt;&gt;"",Cases[[#This Row],[Initial Component]]&lt;&gt;Cases[[#This Row],[Component]]),1,0)</f>
        <v>0</v>
      </c>
      <c r="CC510" s="2">
        <f>IF(OR(Cases[[#This Row],[Is Reopened]]="X",Cases[[#This Row],[No. of Reopenings]]&gt;0),1,0)</f>
        <v>0</v>
      </c>
      <c r="CD510" s="2">
        <f>IF(Cases[[#This Row],[Confirmation Type]]="Automatic",1,0)</f>
        <v>1</v>
      </c>
      <c r="CE510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11" spans="1:83" x14ac:dyDescent="0.2">
      <c r="A511" s="1" t="s">
        <v>2948</v>
      </c>
      <c r="B511" s="2" t="s">
        <v>2949</v>
      </c>
      <c r="C511" s="2" t="s">
        <v>2950</v>
      </c>
      <c r="D511" s="2" t="s">
        <v>238</v>
      </c>
      <c r="E511" s="3">
        <v>3.17</v>
      </c>
      <c r="F511" s="3">
        <v>28.66</v>
      </c>
      <c r="G511" s="2" t="s">
        <v>79</v>
      </c>
      <c r="H511" s="2" t="s">
        <v>80</v>
      </c>
      <c r="I511" s="3" t="s">
        <v>81</v>
      </c>
      <c r="J511" s="3">
        <v>180</v>
      </c>
      <c r="K511" s="2" t="s">
        <v>2951</v>
      </c>
      <c r="L511" s="4">
        <v>46009</v>
      </c>
      <c r="M511" s="4">
        <v>45979</v>
      </c>
      <c r="N511" s="2" t="s">
        <v>2274</v>
      </c>
      <c r="O511" s="2" t="s">
        <v>1805</v>
      </c>
      <c r="P511" s="2" t="s">
        <v>2404</v>
      </c>
      <c r="Q511" s="2" t="s">
        <v>1806</v>
      </c>
      <c r="R511" s="2" t="s">
        <v>2952</v>
      </c>
      <c r="S511" s="4">
        <v>45947</v>
      </c>
      <c r="T511" s="2" t="s">
        <v>2727</v>
      </c>
      <c r="U511" s="2" t="s">
        <v>1805</v>
      </c>
      <c r="V511" s="2" t="s">
        <v>2936</v>
      </c>
      <c r="W511" s="2" t="s">
        <v>1806</v>
      </c>
      <c r="X511" s="2" t="s">
        <v>88</v>
      </c>
      <c r="Y511" s="3" t="s">
        <v>89</v>
      </c>
      <c r="Z511" s="3">
        <v>31.83</v>
      </c>
      <c r="AA511" s="2" t="s">
        <v>90</v>
      </c>
      <c r="AB511" s="2" t="s">
        <v>2952</v>
      </c>
      <c r="AC511" s="2" t="s">
        <v>2950</v>
      </c>
      <c r="AD511" t="str" cm="1">
        <f t="array" ref="AD51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OTC</v>
      </c>
      <c r="AE511" s="2" t="s">
        <v>91</v>
      </c>
      <c r="AF511" s="2" t="s">
        <v>92</v>
      </c>
      <c r="AG511" s="2" t="s">
        <v>93</v>
      </c>
      <c r="AH511" s="2" t="s">
        <v>94</v>
      </c>
      <c r="AK511" s="2" t="s">
        <v>2953</v>
      </c>
      <c r="AN511" s="3">
        <v>1</v>
      </c>
      <c r="AO511" s="3">
        <v>1</v>
      </c>
      <c r="AP511" s="3">
        <v>1</v>
      </c>
      <c r="AQ511" s="3">
        <v>1</v>
      </c>
      <c r="AR511" s="3">
        <v>1</v>
      </c>
      <c r="AS511" s="3">
        <v>0</v>
      </c>
      <c r="AT511" s="3">
        <v>0</v>
      </c>
      <c r="AU511" s="3">
        <v>0</v>
      </c>
      <c r="AV511" s="3">
        <v>1</v>
      </c>
      <c r="AW511" s="3">
        <v>0</v>
      </c>
      <c r="AX511" s="3">
        <v>1</v>
      </c>
      <c r="AY511" s="3">
        <v>0</v>
      </c>
      <c r="AZ511" s="3">
        <v>0</v>
      </c>
      <c r="BA511" s="3">
        <v>0</v>
      </c>
      <c r="BB511" s="3">
        <v>0</v>
      </c>
      <c r="BC511" s="3">
        <v>1</v>
      </c>
      <c r="BD511" s="3">
        <v>0</v>
      </c>
      <c r="BE511" s="3">
        <v>0</v>
      </c>
      <c r="BG511" s="2" t="s">
        <v>91</v>
      </c>
      <c r="BH511" s="3">
        <v>3</v>
      </c>
      <c r="BJ511" s="2" t="s">
        <v>96</v>
      </c>
      <c r="BL511" s="2" t="s">
        <v>184</v>
      </c>
      <c r="BM511" s="2" t="s">
        <v>184</v>
      </c>
      <c r="BN511" s="2" t="s">
        <v>124</v>
      </c>
      <c r="BO511" s="2" t="s">
        <v>125</v>
      </c>
      <c r="BP511" s="2" t="s">
        <v>242</v>
      </c>
      <c r="BQ511" s="2" t="s">
        <v>124</v>
      </c>
      <c r="BR511" s="2" t="s">
        <v>126</v>
      </c>
      <c r="BS511" s="2" t="s">
        <v>127</v>
      </c>
      <c r="BT511" s="2" t="s">
        <v>1415</v>
      </c>
      <c r="BU511" s="2" t="s">
        <v>1416</v>
      </c>
      <c r="BV511" s="2" t="s">
        <v>150</v>
      </c>
      <c r="BW511" s="2" t="s">
        <v>151</v>
      </c>
      <c r="BX511" s="2" t="s">
        <v>91</v>
      </c>
      <c r="BY51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11" s="2">
        <f>IF(AND(Cases[[#This Row],[Priority Level]]&gt;=3,Cases[[#This Row],[System Role]]&lt;&gt;"Productive"),1,0)</f>
        <v>0</v>
      </c>
      <c r="CA511" s="2">
        <f>IFERROR(IF(Cases[[#This Row],[Days at Customer]]&gt;MAX(1,Cases[[#This Row],[Days at SAP]]*2),1,0),0)</f>
        <v>1</v>
      </c>
      <c r="CB511" s="2">
        <f>IF(AND(Cases[[#This Row],[Initial Component]]&lt;&gt;"",Cases[[#This Row],[Component]]&lt;&gt;"",Cases[[#This Row],[Initial Component]]&lt;&gt;Cases[[#This Row],[Component]]),1,0)</f>
        <v>0</v>
      </c>
      <c r="CC511" s="2">
        <f>IF(OR(Cases[[#This Row],[Is Reopened]]="X",Cases[[#This Row],[No. of Reopenings]]&gt;0),1,0)</f>
        <v>0</v>
      </c>
      <c r="CD511" s="2">
        <f>IF(Cases[[#This Row],[Confirmation Type]]="Automatic",1,0)</f>
        <v>1</v>
      </c>
      <c r="CE511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12" spans="1:83" x14ac:dyDescent="0.2">
      <c r="A512" s="1" t="s">
        <v>2954</v>
      </c>
      <c r="B512" s="2" t="s">
        <v>2955</v>
      </c>
      <c r="C512" s="2" t="s">
        <v>132</v>
      </c>
      <c r="D512" s="2" t="s">
        <v>238</v>
      </c>
      <c r="E512" s="3">
        <v>0.55000000000000004</v>
      </c>
      <c r="F512" s="3">
        <v>21.89</v>
      </c>
      <c r="G512" s="2" t="s">
        <v>190</v>
      </c>
      <c r="H512" s="2" t="s">
        <v>308</v>
      </c>
      <c r="I512" s="3" t="s">
        <v>114</v>
      </c>
      <c r="J512" s="3">
        <v>180</v>
      </c>
      <c r="K512" s="2" t="s">
        <v>2956</v>
      </c>
      <c r="L512" s="4">
        <v>46061</v>
      </c>
      <c r="M512" s="4">
        <v>45969</v>
      </c>
      <c r="N512" s="2" t="s">
        <v>2274</v>
      </c>
      <c r="O512" s="2" t="s">
        <v>1805</v>
      </c>
      <c r="P512" s="2" t="s">
        <v>2583</v>
      </c>
      <c r="Q512" s="2" t="s">
        <v>1806</v>
      </c>
      <c r="R512" s="2" t="s">
        <v>137</v>
      </c>
      <c r="S512" s="4">
        <v>45947</v>
      </c>
      <c r="T512" s="2" t="s">
        <v>2727</v>
      </c>
      <c r="U512" s="2" t="s">
        <v>1805</v>
      </c>
      <c r="V512" s="2" t="s">
        <v>2936</v>
      </c>
      <c r="W512" s="2" t="s">
        <v>1806</v>
      </c>
      <c r="X512" s="2" t="s">
        <v>117</v>
      </c>
      <c r="Y512" s="3" t="s">
        <v>118</v>
      </c>
      <c r="Z512" s="3">
        <v>22.44</v>
      </c>
      <c r="AA512" s="2" t="s">
        <v>138</v>
      </c>
      <c r="AB512" s="2" t="s">
        <v>137</v>
      </c>
      <c r="AC512" s="2" t="s">
        <v>132</v>
      </c>
      <c r="AD512" t="str" cm="1">
        <f t="array" ref="AD51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512" s="2" t="s">
        <v>158</v>
      </c>
      <c r="AF512" s="2" t="s">
        <v>92</v>
      </c>
      <c r="AG512" s="2" t="s">
        <v>140</v>
      </c>
      <c r="AH512" s="2" t="s">
        <v>141</v>
      </c>
      <c r="AK512" s="2" t="s">
        <v>2957</v>
      </c>
      <c r="AN512" s="3">
        <v>1</v>
      </c>
      <c r="AO512" s="3">
        <v>1</v>
      </c>
      <c r="AP512" s="3">
        <v>1</v>
      </c>
      <c r="AQ512" s="3">
        <v>1</v>
      </c>
      <c r="AR512" s="3">
        <v>0</v>
      </c>
      <c r="AS512" s="3">
        <v>1</v>
      </c>
      <c r="AT512" s="3">
        <v>0</v>
      </c>
      <c r="AU512" s="3">
        <v>0</v>
      </c>
      <c r="AV512" s="3">
        <v>1</v>
      </c>
      <c r="AW512" s="3">
        <v>0</v>
      </c>
      <c r="AX512" s="3">
        <v>0</v>
      </c>
      <c r="AY512" s="3">
        <v>1</v>
      </c>
      <c r="AZ512" s="3">
        <v>0</v>
      </c>
      <c r="BA512" s="3">
        <v>0</v>
      </c>
      <c r="BB512" s="3">
        <v>0</v>
      </c>
      <c r="BC512" s="3">
        <v>1</v>
      </c>
      <c r="BD512" s="3">
        <v>0</v>
      </c>
      <c r="BE512" s="3">
        <v>0</v>
      </c>
      <c r="BG512" s="2" t="s">
        <v>158</v>
      </c>
      <c r="BH512" s="3">
        <v>1</v>
      </c>
      <c r="BJ512" s="2" t="s">
        <v>96</v>
      </c>
      <c r="BL512" s="2" t="s">
        <v>143</v>
      </c>
      <c r="BM512" s="2" t="s">
        <v>144</v>
      </c>
      <c r="BN512" s="2" t="s">
        <v>99</v>
      </c>
      <c r="BO512" s="2" t="s">
        <v>100</v>
      </c>
      <c r="BP512" s="2" t="s">
        <v>242</v>
      </c>
      <c r="BQ512" s="2" t="s">
        <v>145</v>
      </c>
      <c r="BR512" s="2" t="s">
        <v>146</v>
      </c>
      <c r="BS512" s="2" t="s">
        <v>147</v>
      </c>
      <c r="BT512" s="2" t="s">
        <v>148</v>
      </c>
      <c r="BU512" s="2" t="s">
        <v>149</v>
      </c>
      <c r="BV512" s="2" t="s">
        <v>150</v>
      </c>
      <c r="BW512" s="2" t="s">
        <v>151</v>
      </c>
      <c r="BX512" s="2" t="s">
        <v>158</v>
      </c>
      <c r="BY51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12" s="2">
        <f>IF(AND(Cases[[#This Row],[Priority Level]]&gt;=3,Cases[[#This Row],[System Role]]&lt;&gt;"Productive"),1,0)</f>
        <v>0</v>
      </c>
      <c r="CA512" s="2">
        <f>IFERROR(IF(Cases[[#This Row],[Days at Customer]]&gt;MAX(1,Cases[[#This Row],[Days at SAP]]*2),1,0),0)</f>
        <v>1</v>
      </c>
      <c r="CB512" s="2">
        <f>IF(AND(Cases[[#This Row],[Initial Component]]&lt;&gt;"",Cases[[#This Row],[Component]]&lt;&gt;"",Cases[[#This Row],[Initial Component]]&lt;&gt;Cases[[#This Row],[Component]]),1,0)</f>
        <v>0</v>
      </c>
      <c r="CC512" s="2">
        <f>IF(OR(Cases[[#This Row],[Is Reopened]]="X",Cases[[#This Row],[No. of Reopenings]]&gt;0),1,0)</f>
        <v>0</v>
      </c>
      <c r="CD512" s="2">
        <f>IF(Cases[[#This Row],[Confirmation Type]]="Automatic",1,0)</f>
        <v>1</v>
      </c>
      <c r="CE512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13" spans="1:83" x14ac:dyDescent="0.2">
      <c r="A513" s="1" t="s">
        <v>2958</v>
      </c>
      <c r="B513" s="2" t="s">
        <v>2959</v>
      </c>
      <c r="C513" s="2" t="s">
        <v>2236</v>
      </c>
      <c r="D513" s="2" t="s">
        <v>238</v>
      </c>
      <c r="E513" s="3">
        <v>2.9</v>
      </c>
      <c r="F513" s="3">
        <v>59.57</v>
      </c>
      <c r="G513" s="2" t="s">
        <v>79</v>
      </c>
      <c r="H513" s="2" t="s">
        <v>732</v>
      </c>
      <c r="I513" s="3" t="s">
        <v>114</v>
      </c>
      <c r="J513" s="3">
        <v>180</v>
      </c>
      <c r="K513" s="2" t="s">
        <v>2960</v>
      </c>
      <c r="L513" s="4">
        <v>46012</v>
      </c>
      <c r="M513" s="4">
        <v>46010</v>
      </c>
      <c r="N513" s="2" t="s">
        <v>1804</v>
      </c>
      <c r="O513" s="2" t="s">
        <v>1805</v>
      </c>
      <c r="P513" s="2" t="s">
        <v>1930</v>
      </c>
      <c r="Q513" s="2" t="s">
        <v>1806</v>
      </c>
      <c r="R513" s="2" t="s">
        <v>2238</v>
      </c>
      <c r="S513" s="4">
        <v>45947</v>
      </c>
      <c r="T513" s="2" t="s">
        <v>2727</v>
      </c>
      <c r="U513" s="2" t="s">
        <v>1805</v>
      </c>
      <c r="V513" s="2" t="s">
        <v>2936</v>
      </c>
      <c r="W513" s="2" t="s">
        <v>1806</v>
      </c>
      <c r="X513" s="2" t="s">
        <v>117</v>
      </c>
      <c r="Y513" s="3" t="s">
        <v>118</v>
      </c>
      <c r="Z513" s="3">
        <v>62.46</v>
      </c>
      <c r="AA513" s="2" t="s">
        <v>90</v>
      </c>
      <c r="AB513" s="2" t="s">
        <v>2824</v>
      </c>
      <c r="AC513" s="2" t="s">
        <v>2961</v>
      </c>
      <c r="AD513" t="str" cm="1">
        <f t="array" ref="AD51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513" s="2" t="s">
        <v>139</v>
      </c>
      <c r="AF513" s="2" t="s">
        <v>92</v>
      </c>
      <c r="AG513" s="2" t="s">
        <v>119</v>
      </c>
      <c r="AH513" s="2" t="s">
        <v>120</v>
      </c>
      <c r="AK513" s="2" t="s">
        <v>2962</v>
      </c>
      <c r="AN513" s="3">
        <v>1</v>
      </c>
      <c r="AO513" s="3">
        <v>1</v>
      </c>
      <c r="AP513" s="3">
        <v>1</v>
      </c>
      <c r="AQ513" s="3">
        <v>1</v>
      </c>
      <c r="AR513" s="3">
        <v>0</v>
      </c>
      <c r="AS513" s="3">
        <v>0</v>
      </c>
      <c r="AT513" s="3">
        <v>1</v>
      </c>
      <c r="AU513" s="3">
        <v>0</v>
      </c>
      <c r="AV513" s="3">
        <v>1</v>
      </c>
      <c r="AW513" s="3">
        <v>0</v>
      </c>
      <c r="AX513" s="3">
        <v>0</v>
      </c>
      <c r="AY513" s="3">
        <v>0</v>
      </c>
      <c r="AZ513" s="3">
        <v>1</v>
      </c>
      <c r="BA513" s="3">
        <v>0</v>
      </c>
      <c r="BB513" s="3">
        <v>0</v>
      </c>
      <c r="BC513" s="3">
        <v>1</v>
      </c>
      <c r="BD513" s="3">
        <v>0</v>
      </c>
      <c r="BE513" s="3">
        <v>0</v>
      </c>
      <c r="BG513" s="2" t="s">
        <v>139</v>
      </c>
      <c r="BH513" s="3">
        <v>2</v>
      </c>
      <c r="BJ513" s="2" t="s">
        <v>96</v>
      </c>
      <c r="BL513" s="2" t="s">
        <v>123</v>
      </c>
      <c r="BM513" s="2" t="s">
        <v>123</v>
      </c>
      <c r="BN513" s="2" t="s">
        <v>124</v>
      </c>
      <c r="BO513" s="2" t="s">
        <v>125</v>
      </c>
      <c r="BP513" s="2" t="s">
        <v>242</v>
      </c>
      <c r="BQ513" s="2" t="s">
        <v>124</v>
      </c>
      <c r="BR513" s="2" t="s">
        <v>126</v>
      </c>
      <c r="BS513" s="2" t="s">
        <v>127</v>
      </c>
      <c r="BT513" s="2" t="s">
        <v>420</v>
      </c>
      <c r="BU513" s="2" t="s">
        <v>421</v>
      </c>
      <c r="BV513" s="2" t="s">
        <v>150</v>
      </c>
      <c r="BW513" s="2" t="s">
        <v>151</v>
      </c>
      <c r="BX513" s="2" t="s">
        <v>91</v>
      </c>
      <c r="BY51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13" s="2">
        <f>IF(AND(Cases[[#This Row],[Priority Level]]&gt;=3,Cases[[#This Row],[System Role]]&lt;&gt;"Productive"),1,0)</f>
        <v>0</v>
      </c>
      <c r="CA513" s="2">
        <f>IFERROR(IF(Cases[[#This Row],[Days at Customer]]&gt;MAX(1,Cases[[#This Row],[Days at SAP]]*2),1,0),0)</f>
        <v>1</v>
      </c>
      <c r="CB513" s="2">
        <f>IF(AND(Cases[[#This Row],[Initial Component]]&lt;&gt;"",Cases[[#This Row],[Component]]&lt;&gt;"",Cases[[#This Row],[Initial Component]]&lt;&gt;Cases[[#This Row],[Component]]),1,0)</f>
        <v>1</v>
      </c>
      <c r="CC513" s="2">
        <f>IF(OR(Cases[[#This Row],[Is Reopened]]="X",Cases[[#This Row],[No. of Reopenings]]&gt;0),1,0)</f>
        <v>0</v>
      </c>
      <c r="CD513" s="2">
        <f>IF(Cases[[#This Row],[Confirmation Type]]="Automatic",1,0)</f>
        <v>1</v>
      </c>
      <c r="CE513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14" spans="1:83" x14ac:dyDescent="0.2">
      <c r="A514" s="1" t="s">
        <v>3774</v>
      </c>
      <c r="B514" s="2" t="s">
        <v>3775</v>
      </c>
      <c r="C514" s="2" t="s">
        <v>3776</v>
      </c>
      <c r="D514" s="2" t="s">
        <v>238</v>
      </c>
      <c r="E514" s="3">
        <v>12.75</v>
      </c>
      <c r="F514" s="3">
        <v>150.16</v>
      </c>
      <c r="G514" s="2" t="s">
        <v>79</v>
      </c>
      <c r="H514" s="2" t="s">
        <v>80</v>
      </c>
      <c r="I514" s="3" t="s">
        <v>114</v>
      </c>
      <c r="J514" s="3">
        <v>254</v>
      </c>
      <c r="K514" s="2" t="s">
        <v>3777</v>
      </c>
      <c r="L514" s="4">
        <v>46089</v>
      </c>
      <c r="M514" s="4">
        <v>46083</v>
      </c>
      <c r="N514" s="2" t="s">
        <v>180</v>
      </c>
      <c r="O514" s="2" t="s">
        <v>181</v>
      </c>
      <c r="P514" s="2" t="s">
        <v>526</v>
      </c>
      <c r="Q514" s="2" t="s">
        <v>86</v>
      </c>
      <c r="R514" s="2" t="s">
        <v>3778</v>
      </c>
      <c r="S514" s="4">
        <v>45873</v>
      </c>
      <c r="T514" s="2" t="s">
        <v>3663</v>
      </c>
      <c r="U514" s="2" t="s">
        <v>3265</v>
      </c>
      <c r="V514" s="2" t="s">
        <v>3772</v>
      </c>
      <c r="W514" s="2" t="s">
        <v>1806</v>
      </c>
      <c r="X514" s="2" t="s">
        <v>117</v>
      </c>
      <c r="Y514" s="3" t="s">
        <v>118</v>
      </c>
      <c r="Z514" s="3">
        <v>162.91</v>
      </c>
      <c r="AA514" s="2" t="s">
        <v>90</v>
      </c>
      <c r="AB514" s="2" t="s">
        <v>205</v>
      </c>
      <c r="AC514" s="2" t="s">
        <v>203</v>
      </c>
      <c r="AD514" t="str" cm="1">
        <f t="array" ref="AD51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514" s="2" t="s">
        <v>91</v>
      </c>
      <c r="AF514" s="2" t="s">
        <v>92</v>
      </c>
      <c r="AG514" s="2" t="s">
        <v>119</v>
      </c>
      <c r="AH514" s="2" t="s">
        <v>120</v>
      </c>
      <c r="AJ514" s="2" t="s">
        <v>122</v>
      </c>
      <c r="AK514" s="2" t="s">
        <v>3779</v>
      </c>
      <c r="AN514" s="3">
        <v>1</v>
      </c>
      <c r="AO514" s="3">
        <v>0</v>
      </c>
      <c r="AP514" s="3">
        <v>1</v>
      </c>
      <c r="AQ514" s="3">
        <v>1</v>
      </c>
      <c r="AR514" s="3">
        <v>0</v>
      </c>
      <c r="AS514" s="3">
        <v>0</v>
      </c>
      <c r="AT514" s="3">
        <v>1</v>
      </c>
      <c r="AU514" s="3">
        <v>0</v>
      </c>
      <c r="AV514" s="3">
        <v>1</v>
      </c>
      <c r="AW514" s="3">
        <v>0</v>
      </c>
      <c r="AX514" s="3">
        <v>0</v>
      </c>
      <c r="AY514" s="3">
        <v>0</v>
      </c>
      <c r="AZ514" s="3">
        <v>1</v>
      </c>
      <c r="BA514" s="3">
        <v>0</v>
      </c>
      <c r="BB514" s="3">
        <v>0</v>
      </c>
      <c r="BC514" s="3">
        <v>1</v>
      </c>
      <c r="BD514" s="3">
        <v>2</v>
      </c>
      <c r="BE514" s="3">
        <v>0</v>
      </c>
      <c r="BG514" s="2" t="s">
        <v>139</v>
      </c>
      <c r="BH514" s="3">
        <v>2</v>
      </c>
      <c r="BI514" s="2" t="s">
        <v>122</v>
      </c>
      <c r="BJ514" s="2" t="s">
        <v>96</v>
      </c>
      <c r="BL514" s="2" t="s">
        <v>123</v>
      </c>
      <c r="BM514" s="2" t="s">
        <v>123</v>
      </c>
      <c r="BN514" s="2" t="s">
        <v>124</v>
      </c>
      <c r="BO514" s="2" t="s">
        <v>125</v>
      </c>
      <c r="BP514" s="2" t="s">
        <v>242</v>
      </c>
      <c r="BQ514" s="2" t="s">
        <v>124</v>
      </c>
      <c r="BR514" s="2" t="s">
        <v>126</v>
      </c>
      <c r="BS514" s="2" t="s">
        <v>127</v>
      </c>
      <c r="BT514" s="2" t="s">
        <v>207</v>
      </c>
      <c r="BU514" s="2" t="s">
        <v>208</v>
      </c>
      <c r="BV514" s="2" t="s">
        <v>150</v>
      </c>
      <c r="BW514" s="2" t="s">
        <v>151</v>
      </c>
      <c r="BX514" s="2" t="s">
        <v>91</v>
      </c>
      <c r="BY51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14" s="2">
        <f>IF(AND(Cases[[#This Row],[Priority Level]]&gt;=3,Cases[[#This Row],[System Role]]&lt;&gt;"Productive"),1,0)</f>
        <v>0</v>
      </c>
      <c r="CA514" s="2">
        <f>IFERROR(IF(Cases[[#This Row],[Days at Customer]]&gt;MAX(1,Cases[[#This Row],[Days at SAP]]*2),1,0),0)</f>
        <v>1</v>
      </c>
      <c r="CB514" s="2">
        <f>IF(AND(Cases[[#This Row],[Initial Component]]&lt;&gt;"",Cases[[#This Row],[Component]]&lt;&gt;"",Cases[[#This Row],[Initial Component]]&lt;&gt;Cases[[#This Row],[Component]]),1,0)</f>
        <v>1</v>
      </c>
      <c r="CC514" s="2">
        <f>IF(OR(Cases[[#This Row],[Is Reopened]]="X",Cases[[#This Row],[No. of Reopenings]]&gt;0),1,0)</f>
        <v>1</v>
      </c>
      <c r="CD514" s="2">
        <f>IF(Cases[[#This Row],[Confirmation Type]]="Automatic",1,0)</f>
        <v>1</v>
      </c>
      <c r="CE514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515" spans="1:83" x14ac:dyDescent="0.2">
      <c r="A515" s="1" t="s">
        <v>1216</v>
      </c>
      <c r="B515" s="2" t="s">
        <v>1217</v>
      </c>
      <c r="C515" s="2" t="s">
        <v>1218</v>
      </c>
      <c r="D515" s="2" t="s">
        <v>78</v>
      </c>
      <c r="E515" s="3">
        <v>6.76</v>
      </c>
      <c r="F515" s="3">
        <v>27.06</v>
      </c>
      <c r="G515" s="2" t="s">
        <v>190</v>
      </c>
      <c r="H515" s="2" t="s">
        <v>308</v>
      </c>
      <c r="I515" s="3" t="s">
        <v>114</v>
      </c>
      <c r="J515" s="3">
        <v>69</v>
      </c>
      <c r="K515" s="2" t="s">
        <v>1219</v>
      </c>
      <c r="L515" s="4">
        <v>46096</v>
      </c>
      <c r="M515" s="4">
        <v>46092</v>
      </c>
      <c r="N515" s="2" t="s">
        <v>180</v>
      </c>
      <c r="O515" s="2" t="s">
        <v>181</v>
      </c>
      <c r="P515" s="2" t="s">
        <v>350</v>
      </c>
      <c r="Q515" s="2" t="s">
        <v>86</v>
      </c>
      <c r="R515" s="2" t="s">
        <v>1220</v>
      </c>
      <c r="S515" s="4">
        <v>46058</v>
      </c>
      <c r="T515" s="2" t="s">
        <v>677</v>
      </c>
      <c r="U515" s="2" t="s">
        <v>181</v>
      </c>
      <c r="V515" s="2" t="s">
        <v>1165</v>
      </c>
      <c r="W515" s="2" t="s">
        <v>86</v>
      </c>
      <c r="X515" s="2" t="s">
        <v>117</v>
      </c>
      <c r="Y515" s="3" t="s">
        <v>118</v>
      </c>
      <c r="Z515" s="3">
        <v>33.82</v>
      </c>
      <c r="AA515" s="2" t="s">
        <v>138</v>
      </c>
      <c r="AB515" s="2" t="s">
        <v>1220</v>
      </c>
      <c r="AC515" s="2" t="s">
        <v>1218</v>
      </c>
      <c r="AD515" t="str" cm="1">
        <f t="array" ref="AD51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515" s="2" t="s">
        <v>91</v>
      </c>
      <c r="AF515" s="2" t="s">
        <v>92</v>
      </c>
      <c r="AG515" s="2" t="s">
        <v>976</v>
      </c>
      <c r="AH515" s="2" t="s">
        <v>977</v>
      </c>
      <c r="AJ515" s="2" t="s">
        <v>122</v>
      </c>
      <c r="AK515" s="2" t="s">
        <v>1221</v>
      </c>
      <c r="AN515" s="3">
        <v>1</v>
      </c>
      <c r="AO515" s="3">
        <v>1</v>
      </c>
      <c r="AP515" s="3">
        <v>1</v>
      </c>
      <c r="AQ515" s="3">
        <v>1</v>
      </c>
      <c r="AR515" s="3">
        <v>0</v>
      </c>
      <c r="AS515" s="3">
        <v>1</v>
      </c>
      <c r="AT515" s="3">
        <v>0</v>
      </c>
      <c r="AU515" s="3">
        <v>0</v>
      </c>
      <c r="AV515" s="3">
        <v>0</v>
      </c>
      <c r="AW515" s="3">
        <v>1</v>
      </c>
      <c r="AX515" s="3">
        <v>0</v>
      </c>
      <c r="AY515" s="3">
        <v>1</v>
      </c>
      <c r="AZ515" s="3">
        <v>0</v>
      </c>
      <c r="BA515" s="3">
        <v>0</v>
      </c>
      <c r="BB515" s="3">
        <v>0</v>
      </c>
      <c r="BC515" s="3">
        <v>1</v>
      </c>
      <c r="BD515" s="3">
        <v>1</v>
      </c>
      <c r="BE515" s="3">
        <v>0</v>
      </c>
      <c r="BG515" s="2" t="s">
        <v>158</v>
      </c>
      <c r="BH515" s="3">
        <v>1</v>
      </c>
      <c r="BJ515" s="2" t="s">
        <v>96</v>
      </c>
      <c r="BL515" s="2" t="s">
        <v>979</v>
      </c>
      <c r="BM515" s="2" t="s">
        <v>980</v>
      </c>
      <c r="BN515" s="2" t="s">
        <v>981</v>
      </c>
      <c r="BO515" s="2" t="s">
        <v>982</v>
      </c>
      <c r="BP515" s="2" t="s">
        <v>101</v>
      </c>
      <c r="BQ515" s="2" t="s">
        <v>983</v>
      </c>
      <c r="BR515" s="2" t="s">
        <v>984</v>
      </c>
      <c r="BS515" s="2" t="s">
        <v>450</v>
      </c>
      <c r="BT515" s="2" t="s">
        <v>148</v>
      </c>
      <c r="BU515" s="2" t="s">
        <v>1222</v>
      </c>
      <c r="BV515" s="2" t="s">
        <v>150</v>
      </c>
      <c r="BW515" s="2" t="s">
        <v>151</v>
      </c>
      <c r="BX515" s="2" t="s">
        <v>91</v>
      </c>
      <c r="BY51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15" s="2">
        <f>IF(AND(Cases[[#This Row],[Priority Level]]&gt;=3,Cases[[#This Row],[System Role]]&lt;&gt;"Productive"),1,0)</f>
        <v>0</v>
      </c>
      <c r="CA515" s="2">
        <f>IFERROR(IF(Cases[[#This Row],[Days at Customer]]&gt;MAX(1,Cases[[#This Row],[Days at SAP]]*2),1,0),0)</f>
        <v>1</v>
      </c>
      <c r="CB515" s="2">
        <f>IF(AND(Cases[[#This Row],[Initial Component]]&lt;&gt;"",Cases[[#This Row],[Component]]&lt;&gt;"",Cases[[#This Row],[Initial Component]]&lt;&gt;Cases[[#This Row],[Component]]),1,0)</f>
        <v>0</v>
      </c>
      <c r="CC515" s="2">
        <f>IF(OR(Cases[[#This Row],[Is Reopened]]="X",Cases[[#This Row],[No. of Reopenings]]&gt;0),1,0)</f>
        <v>1</v>
      </c>
      <c r="CD515" s="2">
        <f>IF(Cases[[#This Row],[Confirmation Type]]="Automatic",1,0)</f>
        <v>0</v>
      </c>
      <c r="CE515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16" spans="1:83" x14ac:dyDescent="0.2">
      <c r="A516" s="1" t="s">
        <v>2974</v>
      </c>
      <c r="B516" s="2" t="s">
        <v>2975</v>
      </c>
      <c r="C516" s="2" t="s">
        <v>2137</v>
      </c>
      <c r="D516" s="2" t="s">
        <v>238</v>
      </c>
      <c r="E516" s="3">
        <v>0.45</v>
      </c>
      <c r="F516" s="3">
        <v>22.3</v>
      </c>
      <c r="G516" s="2" t="s">
        <v>79</v>
      </c>
      <c r="H516" s="2" t="s">
        <v>178</v>
      </c>
      <c r="I516" s="3" t="s">
        <v>81</v>
      </c>
      <c r="J516" s="3">
        <v>181</v>
      </c>
      <c r="K516" s="2" t="s">
        <v>2976</v>
      </c>
      <c r="L516" s="4">
        <v>45970</v>
      </c>
      <c r="M516" s="4">
        <v>45969</v>
      </c>
      <c r="N516" s="2" t="s">
        <v>2274</v>
      </c>
      <c r="O516" s="2" t="s">
        <v>1805</v>
      </c>
      <c r="P516" s="2" t="s">
        <v>2583</v>
      </c>
      <c r="Q516" s="2" t="s">
        <v>1806</v>
      </c>
      <c r="R516" s="2" t="s">
        <v>2139</v>
      </c>
      <c r="S516" s="4">
        <v>45946</v>
      </c>
      <c r="T516" s="2" t="s">
        <v>2727</v>
      </c>
      <c r="U516" s="2" t="s">
        <v>1805</v>
      </c>
      <c r="V516" s="2" t="s">
        <v>2936</v>
      </c>
      <c r="W516" s="2" t="s">
        <v>1806</v>
      </c>
      <c r="X516" s="2" t="s">
        <v>88</v>
      </c>
      <c r="Y516" s="3" t="s">
        <v>89</v>
      </c>
      <c r="Z516" s="3">
        <v>22.74</v>
      </c>
      <c r="AA516" s="2" t="s">
        <v>90</v>
      </c>
      <c r="AB516" s="2" t="s">
        <v>2139</v>
      </c>
      <c r="AC516" s="2" t="s">
        <v>2137</v>
      </c>
      <c r="AD516" t="str" cm="1">
        <f t="array" ref="AD51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516" s="2" t="s">
        <v>139</v>
      </c>
      <c r="AF516" s="2" t="s">
        <v>92</v>
      </c>
      <c r="AG516" s="2" t="s">
        <v>93</v>
      </c>
      <c r="AH516" s="2" t="s">
        <v>94</v>
      </c>
      <c r="AK516" s="2" t="s">
        <v>2977</v>
      </c>
      <c r="AN516" s="3">
        <v>1</v>
      </c>
      <c r="AO516" s="3">
        <v>1</v>
      </c>
      <c r="AP516" s="3">
        <v>1</v>
      </c>
      <c r="AQ516" s="3">
        <v>1</v>
      </c>
      <c r="AR516" s="3">
        <v>0</v>
      </c>
      <c r="AS516" s="3">
        <v>0</v>
      </c>
      <c r="AT516" s="3">
        <v>1</v>
      </c>
      <c r="AU516" s="3">
        <v>0</v>
      </c>
      <c r="AV516" s="3">
        <v>1</v>
      </c>
      <c r="AW516" s="3">
        <v>0</v>
      </c>
      <c r="AX516" s="3">
        <v>0</v>
      </c>
      <c r="AY516" s="3">
        <v>0</v>
      </c>
      <c r="AZ516" s="3">
        <v>1</v>
      </c>
      <c r="BA516" s="3">
        <v>0</v>
      </c>
      <c r="BB516" s="3">
        <v>0</v>
      </c>
      <c r="BC516" s="3">
        <v>1</v>
      </c>
      <c r="BD516" s="3">
        <v>0</v>
      </c>
      <c r="BE516" s="3">
        <v>0</v>
      </c>
      <c r="BG516" s="2" t="s">
        <v>139</v>
      </c>
      <c r="BH516" s="3">
        <v>2</v>
      </c>
      <c r="BJ516" s="2" t="s">
        <v>96</v>
      </c>
      <c r="BL516" s="2" t="s">
        <v>184</v>
      </c>
      <c r="BM516" s="2" t="s">
        <v>184</v>
      </c>
      <c r="BN516" s="2" t="s">
        <v>124</v>
      </c>
      <c r="BO516" s="2" t="s">
        <v>125</v>
      </c>
      <c r="BP516" s="2" t="s">
        <v>242</v>
      </c>
      <c r="BQ516" s="2" t="s">
        <v>124</v>
      </c>
      <c r="BR516" s="2" t="s">
        <v>126</v>
      </c>
      <c r="BS516" s="2" t="s">
        <v>127</v>
      </c>
      <c r="BT516" s="2" t="s">
        <v>1415</v>
      </c>
      <c r="BU516" s="2" t="s">
        <v>1416</v>
      </c>
      <c r="BV516" s="2" t="s">
        <v>150</v>
      </c>
      <c r="BW516" s="2" t="s">
        <v>151</v>
      </c>
      <c r="BX516" s="2" t="s">
        <v>139</v>
      </c>
      <c r="BY51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16" s="2">
        <f>IF(AND(Cases[[#This Row],[Priority Level]]&gt;=3,Cases[[#This Row],[System Role]]&lt;&gt;"Productive"),1,0)</f>
        <v>0</v>
      </c>
      <c r="CA516" s="2">
        <f>IFERROR(IF(Cases[[#This Row],[Days at Customer]]&gt;MAX(1,Cases[[#This Row],[Days at SAP]]*2),1,0),0)</f>
        <v>1</v>
      </c>
      <c r="CB516" s="2">
        <f>IF(AND(Cases[[#This Row],[Initial Component]]&lt;&gt;"",Cases[[#This Row],[Component]]&lt;&gt;"",Cases[[#This Row],[Initial Component]]&lt;&gt;Cases[[#This Row],[Component]]),1,0)</f>
        <v>0</v>
      </c>
      <c r="CC516" s="2">
        <f>IF(OR(Cases[[#This Row],[Is Reopened]]="X",Cases[[#This Row],[No. of Reopenings]]&gt;0),1,0)</f>
        <v>0</v>
      </c>
      <c r="CD516" s="2">
        <f>IF(Cases[[#This Row],[Confirmation Type]]="Automatic",1,0)</f>
        <v>1</v>
      </c>
      <c r="CE51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17" spans="1:83" x14ac:dyDescent="0.2">
      <c r="A517" s="1" t="s">
        <v>2978</v>
      </c>
      <c r="B517" s="2" t="s">
        <v>2979</v>
      </c>
      <c r="C517" s="2" t="s">
        <v>77</v>
      </c>
      <c r="D517" s="2" t="s">
        <v>78</v>
      </c>
      <c r="E517" s="3">
        <v>10.34</v>
      </c>
      <c r="F517" s="3">
        <v>22.64</v>
      </c>
      <c r="G517" s="2" t="s">
        <v>79</v>
      </c>
      <c r="H517" s="2" t="s">
        <v>80</v>
      </c>
      <c r="I517" s="3" t="s">
        <v>81</v>
      </c>
      <c r="J517" s="3">
        <v>181</v>
      </c>
      <c r="K517" s="2" t="s">
        <v>2980</v>
      </c>
      <c r="L517" s="4">
        <v>46009</v>
      </c>
      <c r="M517" s="4">
        <v>45979</v>
      </c>
      <c r="N517" s="2" t="s">
        <v>2274</v>
      </c>
      <c r="O517" s="2" t="s">
        <v>1805</v>
      </c>
      <c r="P517" s="2" t="s">
        <v>2404</v>
      </c>
      <c r="Q517" s="2" t="s">
        <v>1806</v>
      </c>
      <c r="R517" s="2" t="s">
        <v>87</v>
      </c>
      <c r="S517" s="4">
        <v>45946</v>
      </c>
      <c r="T517" s="2" t="s">
        <v>2727</v>
      </c>
      <c r="U517" s="2" t="s">
        <v>1805</v>
      </c>
      <c r="V517" s="2" t="s">
        <v>2936</v>
      </c>
      <c r="W517" s="2" t="s">
        <v>1806</v>
      </c>
      <c r="X517" s="2" t="s">
        <v>88</v>
      </c>
      <c r="Y517" s="3" t="s">
        <v>89</v>
      </c>
      <c r="Z517" s="3">
        <v>32.99</v>
      </c>
      <c r="AA517" s="2" t="s">
        <v>90</v>
      </c>
      <c r="AB517" s="2" t="s">
        <v>87</v>
      </c>
      <c r="AC517" s="2" t="s">
        <v>77</v>
      </c>
      <c r="AD517" t="str" cm="1">
        <f t="array" ref="AD51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517" s="2" t="s">
        <v>91</v>
      </c>
      <c r="AF517" s="2" t="s">
        <v>92</v>
      </c>
      <c r="AG517" s="2" t="s">
        <v>93</v>
      </c>
      <c r="AH517" s="2" t="s">
        <v>94</v>
      </c>
      <c r="AJ517" s="2" t="s">
        <v>122</v>
      </c>
      <c r="AK517" s="2" t="s">
        <v>2981</v>
      </c>
      <c r="AN517" s="3">
        <v>1</v>
      </c>
      <c r="AO517" s="3">
        <v>1</v>
      </c>
      <c r="AP517" s="3">
        <v>1</v>
      </c>
      <c r="AQ517" s="3">
        <v>1</v>
      </c>
      <c r="AR517" s="3">
        <v>1</v>
      </c>
      <c r="AS517" s="3">
        <v>0</v>
      </c>
      <c r="AT517" s="3">
        <v>0</v>
      </c>
      <c r="AU517" s="3">
        <v>0</v>
      </c>
      <c r="AV517" s="3">
        <v>0</v>
      </c>
      <c r="AW517" s="3">
        <v>1</v>
      </c>
      <c r="AX517" s="3">
        <v>1</v>
      </c>
      <c r="AY517" s="3">
        <v>0</v>
      </c>
      <c r="AZ517" s="3">
        <v>0</v>
      </c>
      <c r="BA517" s="3">
        <v>1</v>
      </c>
      <c r="BB517" s="3">
        <v>0</v>
      </c>
      <c r="BC517" s="3">
        <v>0</v>
      </c>
      <c r="BD517" s="3">
        <v>1</v>
      </c>
      <c r="BE517" s="3">
        <v>0</v>
      </c>
      <c r="BG517" s="2" t="s">
        <v>91</v>
      </c>
      <c r="BH517" s="3">
        <v>3</v>
      </c>
      <c r="BJ517" s="2" t="s">
        <v>96</v>
      </c>
      <c r="BL517" s="2" t="s">
        <v>184</v>
      </c>
      <c r="BM517" s="2" t="s">
        <v>184</v>
      </c>
      <c r="BN517" s="2" t="s">
        <v>124</v>
      </c>
      <c r="BO517" s="2" t="s">
        <v>125</v>
      </c>
      <c r="BP517" s="2" t="s">
        <v>101</v>
      </c>
      <c r="BQ517" s="2" t="s">
        <v>124</v>
      </c>
      <c r="BR517" s="2" t="s">
        <v>126</v>
      </c>
      <c r="BS517" s="2" t="s">
        <v>104</v>
      </c>
      <c r="BT517" s="2" t="s">
        <v>343</v>
      </c>
      <c r="BU517" s="2" t="s">
        <v>344</v>
      </c>
      <c r="BV517" s="2" t="s">
        <v>166</v>
      </c>
      <c r="BW517" s="2" t="s">
        <v>167</v>
      </c>
      <c r="BX517" s="2" t="s">
        <v>91</v>
      </c>
      <c r="BY51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17" s="2">
        <f>IF(AND(Cases[[#This Row],[Priority Level]]&gt;=3,Cases[[#This Row],[System Role]]&lt;&gt;"Productive"),1,0)</f>
        <v>1</v>
      </c>
      <c r="CA517" s="2">
        <f>IFERROR(IF(Cases[[#This Row],[Days at Customer]]&gt;MAX(1,Cases[[#This Row],[Days at SAP]]*2),1,0),0)</f>
        <v>1</v>
      </c>
      <c r="CB517" s="2">
        <f>IF(AND(Cases[[#This Row],[Initial Component]]&lt;&gt;"",Cases[[#This Row],[Component]]&lt;&gt;"",Cases[[#This Row],[Initial Component]]&lt;&gt;Cases[[#This Row],[Component]]),1,0)</f>
        <v>0</v>
      </c>
      <c r="CC517" s="2">
        <f>IF(OR(Cases[[#This Row],[Is Reopened]]="X",Cases[[#This Row],[No. of Reopenings]]&gt;0),1,0)</f>
        <v>1</v>
      </c>
      <c r="CD517" s="2">
        <f>IF(Cases[[#This Row],[Confirmation Type]]="Automatic",1,0)</f>
        <v>0</v>
      </c>
      <c r="CE517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518" spans="1:83" x14ac:dyDescent="0.2">
      <c r="A518" s="1" t="s">
        <v>2310</v>
      </c>
      <c r="B518" s="2" t="s">
        <v>2311</v>
      </c>
      <c r="C518" s="2" t="s">
        <v>111</v>
      </c>
      <c r="D518" s="2" t="s">
        <v>238</v>
      </c>
      <c r="E518" s="3">
        <v>0</v>
      </c>
      <c r="F518" s="3">
        <v>40.409999999999997</v>
      </c>
      <c r="G518" s="2" t="s">
        <v>112</v>
      </c>
      <c r="H518" s="2" t="s">
        <v>113</v>
      </c>
      <c r="I518" s="3" t="s">
        <v>114</v>
      </c>
      <c r="J518" s="3">
        <v>139</v>
      </c>
      <c r="K518" s="2" t="s">
        <v>2312</v>
      </c>
      <c r="L518" s="4">
        <v>46096</v>
      </c>
      <c r="M518" s="4">
        <v>46093</v>
      </c>
      <c r="N518" s="2" t="s">
        <v>180</v>
      </c>
      <c r="O518" s="2" t="s">
        <v>181</v>
      </c>
      <c r="P518" s="2" t="s">
        <v>350</v>
      </c>
      <c r="Q518" s="2" t="s">
        <v>86</v>
      </c>
      <c r="R518" s="2" t="s">
        <v>116</v>
      </c>
      <c r="S518" s="4">
        <v>45988</v>
      </c>
      <c r="T518" s="2" t="s">
        <v>2274</v>
      </c>
      <c r="U518" s="2" t="s">
        <v>1805</v>
      </c>
      <c r="V518" s="2" t="s">
        <v>2275</v>
      </c>
      <c r="W518" s="2" t="s">
        <v>1806</v>
      </c>
      <c r="X518" s="2" t="s">
        <v>117</v>
      </c>
      <c r="Y518" s="3" t="s">
        <v>118</v>
      </c>
      <c r="Z518" s="3">
        <v>40.409999999999997</v>
      </c>
      <c r="AA518" s="2" t="s">
        <v>90</v>
      </c>
      <c r="AB518" s="2" t="s">
        <v>205</v>
      </c>
      <c r="AC518" s="2" t="s">
        <v>203</v>
      </c>
      <c r="AD518" t="str" cm="1">
        <f t="array" ref="AD51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518" s="2" t="s">
        <v>91</v>
      </c>
      <c r="AF518" s="2" t="s">
        <v>92</v>
      </c>
      <c r="AG518" s="2" t="s">
        <v>119</v>
      </c>
      <c r="AH518" s="2" t="s">
        <v>120</v>
      </c>
      <c r="AK518" s="2" t="s">
        <v>2313</v>
      </c>
      <c r="AN518" s="3">
        <v>1</v>
      </c>
      <c r="AO518" s="3">
        <v>1</v>
      </c>
      <c r="AP518" s="3">
        <v>1</v>
      </c>
      <c r="AQ518" s="3">
        <v>1</v>
      </c>
      <c r="AR518" s="3">
        <v>1</v>
      </c>
      <c r="AS518" s="3">
        <v>0</v>
      </c>
      <c r="AT518" s="3">
        <v>0</v>
      </c>
      <c r="AU518" s="3">
        <v>0</v>
      </c>
      <c r="AV518" s="3">
        <v>1</v>
      </c>
      <c r="AW518" s="3">
        <v>0</v>
      </c>
      <c r="AX518" s="3">
        <v>1</v>
      </c>
      <c r="AY518" s="3">
        <v>0</v>
      </c>
      <c r="AZ518" s="3">
        <v>0</v>
      </c>
      <c r="BA518" s="3">
        <v>0</v>
      </c>
      <c r="BB518" s="3">
        <v>0</v>
      </c>
      <c r="BC518" s="3">
        <v>1</v>
      </c>
      <c r="BD518" s="3">
        <v>0</v>
      </c>
      <c r="BE518" s="3">
        <v>0</v>
      </c>
      <c r="BG518" s="2" t="s">
        <v>91</v>
      </c>
      <c r="BH518" s="3">
        <v>3</v>
      </c>
      <c r="BI518" s="2" t="s">
        <v>122</v>
      </c>
      <c r="BJ518" s="2" t="s">
        <v>96</v>
      </c>
      <c r="BL518" s="2" t="s">
        <v>123</v>
      </c>
      <c r="BM518" s="2" t="s">
        <v>123</v>
      </c>
      <c r="BN518" s="2" t="s">
        <v>124</v>
      </c>
      <c r="BO518" s="2" t="s">
        <v>125</v>
      </c>
      <c r="BP518" s="2" t="s">
        <v>242</v>
      </c>
      <c r="BQ518" s="2" t="s">
        <v>124</v>
      </c>
      <c r="BR518" s="2" t="s">
        <v>126</v>
      </c>
      <c r="BS518" s="2" t="s">
        <v>127</v>
      </c>
      <c r="BT518" s="2" t="s">
        <v>207</v>
      </c>
      <c r="BU518" s="2" t="s">
        <v>208</v>
      </c>
      <c r="BV518" s="2" t="s">
        <v>150</v>
      </c>
      <c r="BW518" s="2" t="s">
        <v>151</v>
      </c>
      <c r="BX518" s="2" t="s">
        <v>91</v>
      </c>
      <c r="BY51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18" s="2">
        <f>IF(AND(Cases[[#This Row],[Priority Level]]&gt;=3,Cases[[#This Row],[System Role]]&lt;&gt;"Productive"),1,0)</f>
        <v>0</v>
      </c>
      <c r="CA518" s="2">
        <f>IFERROR(IF(Cases[[#This Row],[Days at Customer]]&gt;MAX(1,Cases[[#This Row],[Days at SAP]]*2),1,0),0)</f>
        <v>1</v>
      </c>
      <c r="CB518" s="2">
        <f>IF(AND(Cases[[#This Row],[Initial Component]]&lt;&gt;"",Cases[[#This Row],[Component]]&lt;&gt;"",Cases[[#This Row],[Initial Component]]&lt;&gt;Cases[[#This Row],[Component]]),1,0)</f>
        <v>1</v>
      </c>
      <c r="CC518" s="2">
        <f>IF(OR(Cases[[#This Row],[Is Reopened]]="X",Cases[[#This Row],[No. of Reopenings]]&gt;0),1,0)</f>
        <v>0</v>
      </c>
      <c r="CD518" s="2">
        <f>IF(Cases[[#This Row],[Confirmation Type]]="Automatic",1,0)</f>
        <v>1</v>
      </c>
      <c r="CE518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19" spans="1:83" x14ac:dyDescent="0.2">
      <c r="A519" s="1" t="s">
        <v>2986</v>
      </c>
      <c r="B519" s="2" t="s">
        <v>2987</v>
      </c>
      <c r="C519" s="2" t="s">
        <v>347</v>
      </c>
      <c r="D519" s="2" t="s">
        <v>238</v>
      </c>
      <c r="E519" s="3">
        <v>0.45</v>
      </c>
      <c r="F519" s="3">
        <v>22.19</v>
      </c>
      <c r="G519" s="2" t="s">
        <v>79</v>
      </c>
      <c r="H519" s="2" t="s">
        <v>80</v>
      </c>
      <c r="I519" s="3" t="s">
        <v>114</v>
      </c>
      <c r="J519" s="3">
        <v>181</v>
      </c>
      <c r="K519" s="2" t="s">
        <v>2988</v>
      </c>
      <c r="L519" s="4">
        <v>46061</v>
      </c>
      <c r="M519" s="4">
        <v>45968</v>
      </c>
      <c r="N519" s="2" t="s">
        <v>2274</v>
      </c>
      <c r="O519" s="2" t="s">
        <v>1805</v>
      </c>
      <c r="P519" s="2" t="s">
        <v>2583</v>
      </c>
      <c r="Q519" s="2" t="s">
        <v>1806</v>
      </c>
      <c r="R519" s="2" t="s">
        <v>349</v>
      </c>
      <c r="S519" s="4">
        <v>45946</v>
      </c>
      <c r="T519" s="2" t="s">
        <v>2727</v>
      </c>
      <c r="U519" s="2" t="s">
        <v>1805</v>
      </c>
      <c r="V519" s="2" t="s">
        <v>2936</v>
      </c>
      <c r="W519" s="2" t="s">
        <v>1806</v>
      </c>
      <c r="X519" s="2" t="s">
        <v>117</v>
      </c>
      <c r="Y519" s="3" t="s">
        <v>118</v>
      </c>
      <c r="Z519" s="3">
        <v>22.64</v>
      </c>
      <c r="AA519" s="2" t="s">
        <v>90</v>
      </c>
      <c r="AB519" s="2" t="s">
        <v>2989</v>
      </c>
      <c r="AC519" s="2" t="s">
        <v>2990</v>
      </c>
      <c r="AD519" t="str" cm="1">
        <f t="array" ref="AD51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519" s="2" t="s">
        <v>182</v>
      </c>
      <c r="AF519" s="2" t="s">
        <v>92</v>
      </c>
      <c r="AG519" s="2" t="s">
        <v>159</v>
      </c>
      <c r="AH519" s="2" t="s">
        <v>160</v>
      </c>
      <c r="AK519" s="2" t="s">
        <v>2991</v>
      </c>
      <c r="AN519" s="3">
        <v>1</v>
      </c>
      <c r="AO519" s="3">
        <v>1</v>
      </c>
      <c r="AP519" s="3">
        <v>1</v>
      </c>
      <c r="AQ519" s="3">
        <v>1</v>
      </c>
      <c r="AR519" s="3">
        <v>0</v>
      </c>
      <c r="AS519" s="3">
        <v>0</v>
      </c>
      <c r="AT519" s="3">
        <v>0</v>
      </c>
      <c r="AU519" s="3">
        <v>1</v>
      </c>
      <c r="AV519" s="3">
        <v>1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  <c r="BC519" s="3">
        <v>1</v>
      </c>
      <c r="BD519" s="3">
        <v>0</v>
      </c>
      <c r="BE519" s="3">
        <v>1</v>
      </c>
      <c r="BG519" s="2" t="s">
        <v>182</v>
      </c>
      <c r="BH519" s="3">
        <v>4</v>
      </c>
      <c r="BJ519" s="2" t="s">
        <v>96</v>
      </c>
      <c r="BL519" s="2" t="s">
        <v>97</v>
      </c>
      <c r="BM519" s="2" t="s">
        <v>98</v>
      </c>
      <c r="BN519" s="2" t="s">
        <v>99</v>
      </c>
      <c r="BO519" s="2" t="s">
        <v>100</v>
      </c>
      <c r="BP519" s="2" t="s">
        <v>242</v>
      </c>
      <c r="BQ519" s="2" t="s">
        <v>102</v>
      </c>
      <c r="BR519" s="2" t="s">
        <v>103</v>
      </c>
      <c r="BS519" s="2" t="s">
        <v>127</v>
      </c>
      <c r="BT519" s="2" t="s">
        <v>1427</v>
      </c>
      <c r="BU519" s="2" t="s">
        <v>1428</v>
      </c>
      <c r="BV519" s="2" t="s">
        <v>150</v>
      </c>
      <c r="BW519" s="2" t="s">
        <v>151</v>
      </c>
      <c r="BX519" s="2" t="s">
        <v>182</v>
      </c>
      <c r="BY51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19" s="2">
        <f>IF(AND(Cases[[#This Row],[Priority Level]]&gt;=3,Cases[[#This Row],[System Role]]&lt;&gt;"Productive"),1,0)</f>
        <v>0</v>
      </c>
      <c r="CA519" s="2">
        <f>IFERROR(IF(Cases[[#This Row],[Days at Customer]]&gt;MAX(1,Cases[[#This Row],[Days at SAP]]*2),1,0),0)</f>
        <v>1</v>
      </c>
      <c r="CB519" s="2">
        <f>IF(AND(Cases[[#This Row],[Initial Component]]&lt;&gt;"",Cases[[#This Row],[Component]]&lt;&gt;"",Cases[[#This Row],[Initial Component]]&lt;&gt;Cases[[#This Row],[Component]]),1,0)</f>
        <v>1</v>
      </c>
      <c r="CC519" s="2">
        <f>IF(OR(Cases[[#This Row],[Is Reopened]]="X",Cases[[#This Row],[No. of Reopenings]]&gt;0),1,0)</f>
        <v>0</v>
      </c>
      <c r="CD519" s="2">
        <f>IF(Cases[[#This Row],[Confirmation Type]]="Automatic",1,0)</f>
        <v>1</v>
      </c>
      <c r="CE519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20" spans="1:83" x14ac:dyDescent="0.2">
      <c r="A520" s="1" t="s">
        <v>2992</v>
      </c>
      <c r="B520" s="2" t="s">
        <v>2993</v>
      </c>
      <c r="C520" s="2" t="s">
        <v>406</v>
      </c>
      <c r="D520" s="2" t="s">
        <v>78</v>
      </c>
      <c r="E520" s="3">
        <v>1.21</v>
      </c>
      <c r="F520" s="3">
        <v>3.61</v>
      </c>
      <c r="G520" s="2" t="s">
        <v>79</v>
      </c>
      <c r="H520" s="2" t="s">
        <v>80</v>
      </c>
      <c r="I520" s="3" t="s">
        <v>114</v>
      </c>
      <c r="J520" s="3">
        <v>181</v>
      </c>
      <c r="K520" s="2" t="s">
        <v>2994</v>
      </c>
      <c r="L520" s="4">
        <v>46047</v>
      </c>
      <c r="M520" s="4">
        <v>45951</v>
      </c>
      <c r="N520" s="2" t="s">
        <v>2727</v>
      </c>
      <c r="O520" s="2" t="s">
        <v>1805</v>
      </c>
      <c r="P520" s="2" t="s">
        <v>2887</v>
      </c>
      <c r="Q520" s="2" t="s">
        <v>1806</v>
      </c>
      <c r="R520" s="2" t="s">
        <v>408</v>
      </c>
      <c r="S520" s="4">
        <v>45946</v>
      </c>
      <c r="T520" s="2" t="s">
        <v>2727</v>
      </c>
      <c r="U520" s="2" t="s">
        <v>1805</v>
      </c>
      <c r="V520" s="2" t="s">
        <v>2936</v>
      </c>
      <c r="W520" s="2" t="s">
        <v>1806</v>
      </c>
      <c r="X520" s="2" t="s">
        <v>117</v>
      </c>
      <c r="Y520" s="3" t="s">
        <v>118</v>
      </c>
      <c r="Z520" s="3">
        <v>4.82</v>
      </c>
      <c r="AA520" s="2" t="s">
        <v>90</v>
      </c>
      <c r="AB520" s="2" t="s">
        <v>408</v>
      </c>
      <c r="AC520" s="2" t="s">
        <v>406</v>
      </c>
      <c r="AD520" t="str" cm="1">
        <f t="array" ref="AD52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520" s="2" t="s">
        <v>91</v>
      </c>
      <c r="AF520" s="2" t="s">
        <v>92</v>
      </c>
      <c r="AG520" s="2" t="s">
        <v>119</v>
      </c>
      <c r="AH520" s="2" t="s">
        <v>120</v>
      </c>
      <c r="AJ520" s="2" t="s">
        <v>122</v>
      </c>
      <c r="AK520" s="2" t="s">
        <v>2995</v>
      </c>
      <c r="AN520" s="3">
        <v>1</v>
      </c>
      <c r="AO520" s="3">
        <v>1</v>
      </c>
      <c r="AP520" s="3">
        <v>1</v>
      </c>
      <c r="AQ520" s="3">
        <v>1</v>
      </c>
      <c r="AR520" s="3">
        <v>1</v>
      </c>
      <c r="AS520" s="3">
        <v>0</v>
      </c>
      <c r="AT520" s="3">
        <v>0</v>
      </c>
      <c r="AU520" s="3">
        <v>0</v>
      </c>
      <c r="AV520" s="3">
        <v>0</v>
      </c>
      <c r="AW520" s="3">
        <v>1</v>
      </c>
      <c r="AX520" s="3">
        <v>1</v>
      </c>
      <c r="AY520" s="3">
        <v>0</v>
      </c>
      <c r="AZ520" s="3">
        <v>0</v>
      </c>
      <c r="BA520" s="3">
        <v>1</v>
      </c>
      <c r="BB520" s="3">
        <v>0</v>
      </c>
      <c r="BC520" s="3">
        <v>0</v>
      </c>
      <c r="BD520" s="3">
        <v>6</v>
      </c>
      <c r="BE520" s="3">
        <v>0</v>
      </c>
      <c r="BG520" s="2" t="s">
        <v>91</v>
      </c>
      <c r="BH520" s="3">
        <v>3</v>
      </c>
      <c r="BJ520" s="2" t="s">
        <v>96</v>
      </c>
      <c r="BL520" s="2" t="s">
        <v>123</v>
      </c>
      <c r="BM520" s="2" t="s">
        <v>123</v>
      </c>
      <c r="BN520" s="2" t="s">
        <v>124</v>
      </c>
      <c r="BO520" s="2" t="s">
        <v>125</v>
      </c>
      <c r="BP520" s="2" t="s">
        <v>101</v>
      </c>
      <c r="BQ520" s="2" t="s">
        <v>124</v>
      </c>
      <c r="BR520" s="2" t="s">
        <v>126</v>
      </c>
      <c r="BS520" s="2" t="s">
        <v>127</v>
      </c>
      <c r="BT520" s="2" t="s">
        <v>199</v>
      </c>
      <c r="BU520" s="2" t="s">
        <v>200</v>
      </c>
      <c r="BV520" s="2" t="s">
        <v>166</v>
      </c>
      <c r="BW520" s="2" t="s">
        <v>167</v>
      </c>
      <c r="BX520" s="2" t="s">
        <v>91</v>
      </c>
      <c r="BY52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20" s="2">
        <f>IF(AND(Cases[[#This Row],[Priority Level]]&gt;=3,Cases[[#This Row],[System Role]]&lt;&gt;"Productive"),1,0)</f>
        <v>1</v>
      </c>
      <c r="CA520" s="2">
        <f>IFERROR(IF(Cases[[#This Row],[Days at Customer]]&gt;MAX(1,Cases[[#This Row],[Days at SAP]]*2),1,0),0)</f>
        <v>1</v>
      </c>
      <c r="CB520" s="2">
        <f>IF(AND(Cases[[#This Row],[Initial Component]]&lt;&gt;"",Cases[[#This Row],[Component]]&lt;&gt;"",Cases[[#This Row],[Initial Component]]&lt;&gt;Cases[[#This Row],[Component]]),1,0)</f>
        <v>0</v>
      </c>
      <c r="CC520" s="2">
        <f>IF(OR(Cases[[#This Row],[Is Reopened]]="X",Cases[[#This Row],[No. of Reopenings]]&gt;0),1,0)</f>
        <v>1</v>
      </c>
      <c r="CD520" s="2">
        <f>IF(Cases[[#This Row],[Confirmation Type]]="Automatic",1,0)</f>
        <v>0</v>
      </c>
      <c r="CE520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521" spans="1:83" x14ac:dyDescent="0.2">
      <c r="A521" s="1" t="s">
        <v>2996</v>
      </c>
      <c r="B521" s="2" t="s">
        <v>2997</v>
      </c>
      <c r="C521" s="2" t="s">
        <v>2195</v>
      </c>
      <c r="D521" s="2" t="s">
        <v>238</v>
      </c>
      <c r="E521" s="3">
        <v>11.77</v>
      </c>
      <c r="F521" s="3">
        <v>21.71</v>
      </c>
      <c r="G521" s="2" t="s">
        <v>79</v>
      </c>
      <c r="H521" s="2" t="s">
        <v>732</v>
      </c>
      <c r="I521" s="3" t="s">
        <v>114</v>
      </c>
      <c r="J521" s="3">
        <v>181</v>
      </c>
      <c r="K521" s="2" t="s">
        <v>2998</v>
      </c>
      <c r="L521" s="4">
        <v>46009</v>
      </c>
      <c r="M521" s="4">
        <v>45980</v>
      </c>
      <c r="N521" s="2" t="s">
        <v>2274</v>
      </c>
      <c r="O521" s="2" t="s">
        <v>1805</v>
      </c>
      <c r="P521" s="2" t="s">
        <v>2404</v>
      </c>
      <c r="Q521" s="2" t="s">
        <v>1806</v>
      </c>
      <c r="R521" s="2" t="s">
        <v>913</v>
      </c>
      <c r="S521" s="4">
        <v>45946</v>
      </c>
      <c r="T521" s="2" t="s">
        <v>2727</v>
      </c>
      <c r="U521" s="2" t="s">
        <v>1805</v>
      </c>
      <c r="V521" s="2" t="s">
        <v>2936</v>
      </c>
      <c r="W521" s="2" t="s">
        <v>1806</v>
      </c>
      <c r="X521" s="2" t="s">
        <v>117</v>
      </c>
      <c r="Y521" s="3" t="s">
        <v>118</v>
      </c>
      <c r="Z521" s="3">
        <v>33.479999999999997</v>
      </c>
      <c r="AA521" s="2" t="s">
        <v>90</v>
      </c>
      <c r="AB521" s="2" t="s">
        <v>434</v>
      </c>
      <c r="AC521" s="2" t="s">
        <v>432</v>
      </c>
      <c r="AD521" t="str" cm="1">
        <f t="array" ref="AD52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521" s="2" t="s">
        <v>139</v>
      </c>
      <c r="AF521" s="2" t="s">
        <v>92</v>
      </c>
      <c r="AG521" s="2" t="s">
        <v>119</v>
      </c>
      <c r="AH521" s="2" t="s">
        <v>120</v>
      </c>
      <c r="AK521" s="2" t="s">
        <v>2999</v>
      </c>
      <c r="AN521" s="3">
        <v>1</v>
      </c>
      <c r="AO521" s="3">
        <v>1</v>
      </c>
      <c r="AP521" s="3">
        <v>1</v>
      </c>
      <c r="AQ521" s="3">
        <v>1</v>
      </c>
      <c r="AR521" s="3">
        <v>0</v>
      </c>
      <c r="AS521" s="3">
        <v>0</v>
      </c>
      <c r="AT521" s="3">
        <v>1</v>
      </c>
      <c r="AU521" s="3">
        <v>0</v>
      </c>
      <c r="AV521" s="3">
        <v>1</v>
      </c>
      <c r="AW521" s="3">
        <v>0</v>
      </c>
      <c r="AX521" s="3">
        <v>0</v>
      </c>
      <c r="AY521" s="3">
        <v>0</v>
      </c>
      <c r="AZ521" s="3">
        <v>1</v>
      </c>
      <c r="BA521" s="3">
        <v>0</v>
      </c>
      <c r="BB521" s="3">
        <v>0</v>
      </c>
      <c r="BC521" s="3">
        <v>1</v>
      </c>
      <c r="BD521" s="3">
        <v>0</v>
      </c>
      <c r="BE521" s="3">
        <v>0</v>
      </c>
      <c r="BG521" s="2" t="s">
        <v>139</v>
      </c>
      <c r="BH521" s="3">
        <v>2</v>
      </c>
      <c r="BJ521" s="2" t="s">
        <v>96</v>
      </c>
      <c r="BL521" s="2" t="s">
        <v>123</v>
      </c>
      <c r="BM521" s="2" t="s">
        <v>123</v>
      </c>
      <c r="BN521" s="2" t="s">
        <v>124</v>
      </c>
      <c r="BO521" s="2" t="s">
        <v>125</v>
      </c>
      <c r="BP521" s="2" t="s">
        <v>242</v>
      </c>
      <c r="BQ521" s="2" t="s">
        <v>124</v>
      </c>
      <c r="BR521" s="2" t="s">
        <v>126</v>
      </c>
      <c r="BS521" s="2" t="s">
        <v>127</v>
      </c>
      <c r="BT521" s="2" t="s">
        <v>207</v>
      </c>
      <c r="BU521" s="2" t="s">
        <v>208</v>
      </c>
      <c r="BV521" s="2" t="s">
        <v>150</v>
      </c>
      <c r="BW521" s="2" t="s">
        <v>151</v>
      </c>
      <c r="BX521" s="2" t="s">
        <v>139</v>
      </c>
      <c r="BY52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21" s="2">
        <f>IF(AND(Cases[[#This Row],[Priority Level]]&gt;=3,Cases[[#This Row],[System Role]]&lt;&gt;"Productive"),1,0)</f>
        <v>0</v>
      </c>
      <c r="CA521" s="2">
        <f>IFERROR(IF(Cases[[#This Row],[Days at Customer]]&gt;MAX(1,Cases[[#This Row],[Days at SAP]]*2),1,0),0)</f>
        <v>0</v>
      </c>
      <c r="CB521" s="2">
        <f>IF(AND(Cases[[#This Row],[Initial Component]]&lt;&gt;"",Cases[[#This Row],[Component]]&lt;&gt;"",Cases[[#This Row],[Initial Component]]&lt;&gt;Cases[[#This Row],[Component]]),1,0)</f>
        <v>1</v>
      </c>
      <c r="CC521" s="2">
        <f>IF(OR(Cases[[#This Row],[Is Reopened]]="X",Cases[[#This Row],[No. of Reopenings]]&gt;0),1,0)</f>
        <v>0</v>
      </c>
      <c r="CD521" s="2">
        <f>IF(Cases[[#This Row],[Confirmation Type]]="Automatic",1,0)</f>
        <v>1</v>
      </c>
      <c r="CE521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22" spans="1:83" x14ac:dyDescent="0.2">
      <c r="A522" s="1" t="s">
        <v>3000</v>
      </c>
      <c r="B522" s="2" t="s">
        <v>3001</v>
      </c>
      <c r="C522" s="2" t="s">
        <v>2455</v>
      </c>
      <c r="D522" s="2" t="s">
        <v>238</v>
      </c>
      <c r="E522" s="3">
        <v>11.32</v>
      </c>
      <c r="F522" s="3">
        <v>42.76</v>
      </c>
      <c r="G522" s="2" t="s">
        <v>79</v>
      </c>
      <c r="H522" s="2" t="s">
        <v>80</v>
      </c>
      <c r="I522" s="3" t="s">
        <v>114</v>
      </c>
      <c r="J522" s="3">
        <v>181</v>
      </c>
      <c r="K522" s="2" t="s">
        <v>3002</v>
      </c>
      <c r="L522" s="4">
        <v>46009</v>
      </c>
      <c r="M522" s="4">
        <v>46001</v>
      </c>
      <c r="N522" s="2" t="s">
        <v>1804</v>
      </c>
      <c r="O522" s="2" t="s">
        <v>1805</v>
      </c>
      <c r="P522" s="2" t="s">
        <v>2037</v>
      </c>
      <c r="Q522" s="2" t="s">
        <v>1806</v>
      </c>
      <c r="R522" s="2" t="s">
        <v>1040</v>
      </c>
      <c r="S522" s="4">
        <v>45946</v>
      </c>
      <c r="T522" s="2" t="s">
        <v>2727</v>
      </c>
      <c r="U522" s="2" t="s">
        <v>1805</v>
      </c>
      <c r="V522" s="2" t="s">
        <v>2936</v>
      </c>
      <c r="W522" s="2" t="s">
        <v>1806</v>
      </c>
      <c r="X522" s="2" t="s">
        <v>117</v>
      </c>
      <c r="Y522" s="3" t="s">
        <v>118</v>
      </c>
      <c r="Z522" s="3">
        <v>54.07</v>
      </c>
      <c r="AA522" s="2" t="s">
        <v>90</v>
      </c>
      <c r="AB522" s="2" t="s">
        <v>1040</v>
      </c>
      <c r="AC522" s="2" t="s">
        <v>2455</v>
      </c>
      <c r="AD522" t="str" cm="1">
        <f t="array" ref="AD52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522" s="2" t="s">
        <v>139</v>
      </c>
      <c r="AF522" s="2" t="s">
        <v>92</v>
      </c>
      <c r="AG522" s="2" t="s">
        <v>119</v>
      </c>
      <c r="AH522" s="2" t="s">
        <v>120</v>
      </c>
      <c r="AK522" s="2" t="s">
        <v>3003</v>
      </c>
      <c r="AN522" s="3">
        <v>1</v>
      </c>
      <c r="AO522" s="3">
        <v>1</v>
      </c>
      <c r="AP522" s="3">
        <v>1</v>
      </c>
      <c r="AQ522" s="3">
        <v>1</v>
      </c>
      <c r="AR522" s="3">
        <v>0</v>
      </c>
      <c r="AS522" s="3">
        <v>0</v>
      </c>
      <c r="AT522" s="3">
        <v>1</v>
      </c>
      <c r="AU522" s="3">
        <v>0</v>
      </c>
      <c r="AV522" s="3">
        <v>1</v>
      </c>
      <c r="AW522" s="3">
        <v>0</v>
      </c>
      <c r="AX522" s="3">
        <v>0</v>
      </c>
      <c r="AY522" s="3">
        <v>0</v>
      </c>
      <c r="AZ522" s="3">
        <v>1</v>
      </c>
      <c r="BA522" s="3">
        <v>0</v>
      </c>
      <c r="BB522" s="3">
        <v>0</v>
      </c>
      <c r="BC522" s="3">
        <v>1</v>
      </c>
      <c r="BD522" s="3">
        <v>0</v>
      </c>
      <c r="BE522" s="3">
        <v>0</v>
      </c>
      <c r="BG522" s="2" t="s">
        <v>139</v>
      </c>
      <c r="BH522" s="3">
        <v>2</v>
      </c>
      <c r="BJ522" s="2" t="s">
        <v>96</v>
      </c>
      <c r="BL522" s="2" t="s">
        <v>123</v>
      </c>
      <c r="BM522" s="2" t="s">
        <v>123</v>
      </c>
      <c r="BN522" s="2" t="s">
        <v>124</v>
      </c>
      <c r="BO522" s="2" t="s">
        <v>125</v>
      </c>
      <c r="BP522" s="2" t="s">
        <v>242</v>
      </c>
      <c r="BQ522" s="2" t="s">
        <v>124</v>
      </c>
      <c r="BR522" s="2" t="s">
        <v>126</v>
      </c>
      <c r="BS522" s="2" t="s">
        <v>127</v>
      </c>
      <c r="BT522" s="2" t="s">
        <v>207</v>
      </c>
      <c r="BU522" s="2" t="s">
        <v>208</v>
      </c>
      <c r="BV522" s="2" t="s">
        <v>150</v>
      </c>
      <c r="BW522" s="2" t="s">
        <v>151</v>
      </c>
      <c r="BX522" s="2" t="s">
        <v>139</v>
      </c>
      <c r="BY52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22" s="2">
        <f>IF(AND(Cases[[#This Row],[Priority Level]]&gt;=3,Cases[[#This Row],[System Role]]&lt;&gt;"Productive"),1,0)</f>
        <v>0</v>
      </c>
      <c r="CA522" s="2">
        <f>IFERROR(IF(Cases[[#This Row],[Days at Customer]]&gt;MAX(1,Cases[[#This Row],[Days at SAP]]*2),1,0),0)</f>
        <v>1</v>
      </c>
      <c r="CB522" s="2">
        <f>IF(AND(Cases[[#This Row],[Initial Component]]&lt;&gt;"",Cases[[#This Row],[Component]]&lt;&gt;"",Cases[[#This Row],[Initial Component]]&lt;&gt;Cases[[#This Row],[Component]]),1,0)</f>
        <v>0</v>
      </c>
      <c r="CC522" s="2">
        <f>IF(OR(Cases[[#This Row],[Is Reopened]]="X",Cases[[#This Row],[No. of Reopenings]]&gt;0),1,0)</f>
        <v>0</v>
      </c>
      <c r="CD522" s="2">
        <f>IF(Cases[[#This Row],[Confirmation Type]]="Automatic",1,0)</f>
        <v>1</v>
      </c>
      <c r="CE522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23" spans="1:83" x14ac:dyDescent="0.2">
      <c r="A523" s="1" t="s">
        <v>3004</v>
      </c>
      <c r="B523" s="2" t="s">
        <v>3005</v>
      </c>
      <c r="C523" s="2" t="s">
        <v>3006</v>
      </c>
      <c r="D523" s="2" t="s">
        <v>238</v>
      </c>
      <c r="E523" s="3">
        <v>1.92</v>
      </c>
      <c r="F523" s="3">
        <v>24.41</v>
      </c>
      <c r="G523" s="2" t="s">
        <v>79</v>
      </c>
      <c r="H523" s="2" t="s">
        <v>80</v>
      </c>
      <c r="I523" s="3" t="s">
        <v>114</v>
      </c>
      <c r="J523" s="3">
        <v>181</v>
      </c>
      <c r="K523" s="2" t="s">
        <v>3007</v>
      </c>
      <c r="L523" s="4">
        <v>46064</v>
      </c>
      <c r="M523" s="4">
        <v>45973</v>
      </c>
      <c r="N523" s="2" t="s">
        <v>2274</v>
      </c>
      <c r="O523" s="2" t="s">
        <v>1805</v>
      </c>
      <c r="P523" s="2" t="s">
        <v>2467</v>
      </c>
      <c r="Q523" s="2" t="s">
        <v>1806</v>
      </c>
      <c r="R523" s="2" t="s">
        <v>3008</v>
      </c>
      <c r="S523" s="4">
        <v>45946</v>
      </c>
      <c r="T523" s="2" t="s">
        <v>2727</v>
      </c>
      <c r="U523" s="2" t="s">
        <v>1805</v>
      </c>
      <c r="V523" s="2" t="s">
        <v>2936</v>
      </c>
      <c r="W523" s="2" t="s">
        <v>1806</v>
      </c>
      <c r="X523" s="2" t="s">
        <v>117</v>
      </c>
      <c r="Y523" s="3" t="s">
        <v>118</v>
      </c>
      <c r="Z523" s="3">
        <v>26.34</v>
      </c>
      <c r="AA523" s="2" t="s">
        <v>138</v>
      </c>
      <c r="AB523" s="2" t="s">
        <v>3008</v>
      </c>
      <c r="AC523" s="2" t="s">
        <v>3006</v>
      </c>
      <c r="AD523" t="str" cm="1">
        <f t="array" ref="AD52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523" s="2" t="s">
        <v>139</v>
      </c>
      <c r="AF523" s="2" t="s">
        <v>92</v>
      </c>
      <c r="AG523" s="2" t="s">
        <v>274</v>
      </c>
      <c r="AH523" s="2" t="s">
        <v>275</v>
      </c>
      <c r="AK523" s="2" t="s">
        <v>3009</v>
      </c>
      <c r="AN523" s="3">
        <v>1</v>
      </c>
      <c r="AO523" s="3">
        <v>1</v>
      </c>
      <c r="AP523" s="3">
        <v>1</v>
      </c>
      <c r="AQ523" s="3">
        <v>1</v>
      </c>
      <c r="AR523" s="3">
        <v>0</v>
      </c>
      <c r="AS523" s="3">
        <v>0</v>
      </c>
      <c r="AT523" s="3">
        <v>1</v>
      </c>
      <c r="AU523" s="3">
        <v>0</v>
      </c>
      <c r="AV523" s="3">
        <v>1</v>
      </c>
      <c r="AW523" s="3">
        <v>0</v>
      </c>
      <c r="AX523" s="3">
        <v>0</v>
      </c>
      <c r="AY523" s="3">
        <v>0</v>
      </c>
      <c r="AZ523" s="3">
        <v>1</v>
      </c>
      <c r="BA523" s="3">
        <v>1</v>
      </c>
      <c r="BB523" s="3">
        <v>0</v>
      </c>
      <c r="BC523" s="3">
        <v>0</v>
      </c>
      <c r="BD523" s="3">
        <v>0</v>
      </c>
      <c r="BE523" s="3">
        <v>0</v>
      </c>
      <c r="BG523" s="2" t="s">
        <v>139</v>
      </c>
      <c r="BH523" s="3">
        <v>2</v>
      </c>
      <c r="BJ523" s="2" t="s">
        <v>96</v>
      </c>
      <c r="BL523" s="2" t="s">
        <v>446</v>
      </c>
      <c r="BM523" s="2" t="s">
        <v>447</v>
      </c>
      <c r="BN523" s="2" t="s">
        <v>279</v>
      </c>
      <c r="BO523" s="2" t="s">
        <v>280</v>
      </c>
      <c r="BP523" s="2" t="s">
        <v>242</v>
      </c>
      <c r="BQ523" s="2" t="s">
        <v>448</v>
      </c>
      <c r="BR523" s="2" t="s">
        <v>449</v>
      </c>
      <c r="BS523" s="2" t="s">
        <v>450</v>
      </c>
      <c r="BT523" s="2" t="s">
        <v>1030</v>
      </c>
      <c r="BU523" s="2" t="s">
        <v>1031</v>
      </c>
      <c r="BV523" s="2" t="s">
        <v>166</v>
      </c>
      <c r="BW523" s="2" t="s">
        <v>167</v>
      </c>
      <c r="BX523" s="2" t="s">
        <v>139</v>
      </c>
      <c r="BY52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23" s="2">
        <f>IF(AND(Cases[[#This Row],[Priority Level]]&gt;=3,Cases[[#This Row],[System Role]]&lt;&gt;"Productive"),1,0)</f>
        <v>0</v>
      </c>
      <c r="CA523" s="2">
        <f>IFERROR(IF(Cases[[#This Row],[Days at Customer]]&gt;MAX(1,Cases[[#This Row],[Days at SAP]]*2),1,0),0)</f>
        <v>1</v>
      </c>
      <c r="CB523" s="2">
        <f>IF(AND(Cases[[#This Row],[Initial Component]]&lt;&gt;"",Cases[[#This Row],[Component]]&lt;&gt;"",Cases[[#This Row],[Initial Component]]&lt;&gt;Cases[[#This Row],[Component]]),1,0)</f>
        <v>0</v>
      </c>
      <c r="CC523" s="2">
        <f>IF(OR(Cases[[#This Row],[Is Reopened]]="X",Cases[[#This Row],[No. of Reopenings]]&gt;0),1,0)</f>
        <v>0</v>
      </c>
      <c r="CD523" s="2">
        <f>IF(Cases[[#This Row],[Confirmation Type]]="Automatic",1,0)</f>
        <v>1</v>
      </c>
      <c r="CE523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24" spans="1:83" x14ac:dyDescent="0.2">
      <c r="A524" s="1" t="s">
        <v>3010</v>
      </c>
      <c r="B524" s="2" t="s">
        <v>3011</v>
      </c>
      <c r="C524" s="2" t="s">
        <v>2421</v>
      </c>
      <c r="D524" s="2" t="s">
        <v>238</v>
      </c>
      <c r="E524" s="3">
        <v>3.53</v>
      </c>
      <c r="F524" s="3">
        <v>23.35</v>
      </c>
      <c r="G524" s="2" t="s">
        <v>79</v>
      </c>
      <c r="H524" s="2" t="s">
        <v>155</v>
      </c>
      <c r="I524" s="3" t="s">
        <v>114</v>
      </c>
      <c r="J524" s="3">
        <v>182</v>
      </c>
      <c r="K524" s="2" t="s">
        <v>3012</v>
      </c>
      <c r="L524" s="4">
        <v>46063</v>
      </c>
      <c r="M524" s="4">
        <v>45971</v>
      </c>
      <c r="N524" s="2" t="s">
        <v>2274</v>
      </c>
      <c r="O524" s="2" t="s">
        <v>1805</v>
      </c>
      <c r="P524" s="2" t="s">
        <v>2467</v>
      </c>
      <c r="Q524" s="2" t="s">
        <v>1806</v>
      </c>
      <c r="R524" s="2" t="s">
        <v>2423</v>
      </c>
      <c r="S524" s="4">
        <v>45945</v>
      </c>
      <c r="T524" s="2" t="s">
        <v>2727</v>
      </c>
      <c r="U524" s="2" t="s">
        <v>1805</v>
      </c>
      <c r="V524" s="2" t="s">
        <v>2936</v>
      </c>
      <c r="W524" s="2" t="s">
        <v>1806</v>
      </c>
      <c r="X524" s="2" t="s">
        <v>117</v>
      </c>
      <c r="Y524" s="3" t="s">
        <v>118</v>
      </c>
      <c r="Z524" s="3">
        <v>26.88</v>
      </c>
      <c r="AA524" s="2" t="s">
        <v>90</v>
      </c>
      <c r="AB524" s="2" t="s">
        <v>2423</v>
      </c>
      <c r="AC524" s="2" t="s">
        <v>2421</v>
      </c>
      <c r="AD524" t="str" cm="1">
        <f t="array" ref="AD52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524" s="2" t="s">
        <v>91</v>
      </c>
      <c r="AF524" s="2" t="s">
        <v>92</v>
      </c>
      <c r="AG524" s="2" t="s">
        <v>119</v>
      </c>
      <c r="AH524" s="2" t="s">
        <v>120</v>
      </c>
      <c r="AK524" s="2" t="s">
        <v>3013</v>
      </c>
      <c r="AN524" s="3">
        <v>1</v>
      </c>
      <c r="AO524" s="3">
        <v>1</v>
      </c>
      <c r="AP524" s="3">
        <v>1</v>
      </c>
      <c r="AQ524" s="3">
        <v>1</v>
      </c>
      <c r="AR524" s="3">
        <v>1</v>
      </c>
      <c r="AS524" s="3">
        <v>0</v>
      </c>
      <c r="AT524" s="3">
        <v>0</v>
      </c>
      <c r="AU524" s="3">
        <v>0</v>
      </c>
      <c r="AV524" s="3">
        <v>1</v>
      </c>
      <c r="AW524" s="3">
        <v>0</v>
      </c>
      <c r="AX524" s="3">
        <v>1</v>
      </c>
      <c r="AY524" s="3">
        <v>0</v>
      </c>
      <c r="AZ524" s="3">
        <v>0</v>
      </c>
      <c r="BA524" s="3">
        <v>1</v>
      </c>
      <c r="BB524" s="3">
        <v>0</v>
      </c>
      <c r="BC524" s="3">
        <v>0</v>
      </c>
      <c r="BD524" s="3">
        <v>0</v>
      </c>
      <c r="BE524" s="3">
        <v>0</v>
      </c>
      <c r="BG524" s="2" t="s">
        <v>91</v>
      </c>
      <c r="BH524" s="3">
        <v>3</v>
      </c>
      <c r="BJ524" s="2" t="s">
        <v>96</v>
      </c>
      <c r="BL524" s="2" t="s">
        <v>123</v>
      </c>
      <c r="BM524" s="2" t="s">
        <v>123</v>
      </c>
      <c r="BN524" s="2" t="s">
        <v>124</v>
      </c>
      <c r="BO524" s="2" t="s">
        <v>125</v>
      </c>
      <c r="BP524" s="2" t="s">
        <v>242</v>
      </c>
      <c r="BQ524" s="2" t="s">
        <v>124</v>
      </c>
      <c r="BR524" s="2" t="s">
        <v>126</v>
      </c>
      <c r="BS524" s="2" t="s">
        <v>713</v>
      </c>
      <c r="BT524" s="2" t="s">
        <v>2240</v>
      </c>
      <c r="BU524" s="2" t="s">
        <v>2241</v>
      </c>
      <c r="BV524" s="2" t="s">
        <v>107</v>
      </c>
      <c r="BW524" s="2" t="s">
        <v>108</v>
      </c>
      <c r="BX524" s="2" t="s">
        <v>91</v>
      </c>
      <c r="BY52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24" s="2">
        <f>IF(AND(Cases[[#This Row],[Priority Level]]&gt;=3,Cases[[#This Row],[System Role]]&lt;&gt;"Productive"),1,0)</f>
        <v>1</v>
      </c>
      <c r="CA524" s="2">
        <f>IFERROR(IF(Cases[[#This Row],[Days at Customer]]&gt;MAX(1,Cases[[#This Row],[Days at SAP]]*2),1,0),0)</f>
        <v>1</v>
      </c>
      <c r="CB524" s="2">
        <f>IF(AND(Cases[[#This Row],[Initial Component]]&lt;&gt;"",Cases[[#This Row],[Component]]&lt;&gt;"",Cases[[#This Row],[Initial Component]]&lt;&gt;Cases[[#This Row],[Component]]),1,0)</f>
        <v>0</v>
      </c>
      <c r="CC524" s="2">
        <f>IF(OR(Cases[[#This Row],[Is Reopened]]="X",Cases[[#This Row],[No. of Reopenings]]&gt;0),1,0)</f>
        <v>0</v>
      </c>
      <c r="CD524" s="2">
        <f>IF(Cases[[#This Row],[Confirmation Type]]="Automatic",1,0)</f>
        <v>1</v>
      </c>
      <c r="CE524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525" spans="1:83" x14ac:dyDescent="0.2">
      <c r="A525" s="1" t="s">
        <v>3014</v>
      </c>
      <c r="B525" s="2" t="s">
        <v>3015</v>
      </c>
      <c r="C525" s="2" t="s">
        <v>300</v>
      </c>
      <c r="D525" s="2" t="s">
        <v>238</v>
      </c>
      <c r="E525" s="3">
        <v>89.49</v>
      </c>
      <c r="F525" s="3">
        <v>62.25</v>
      </c>
      <c r="G525" s="2" t="s">
        <v>133</v>
      </c>
      <c r="H525" s="2" t="s">
        <v>324</v>
      </c>
      <c r="I525" s="3" t="s">
        <v>114</v>
      </c>
      <c r="J525" s="3">
        <v>182</v>
      </c>
      <c r="K525" s="2" t="s">
        <v>3016</v>
      </c>
      <c r="L525" s="4">
        <v>46103</v>
      </c>
      <c r="M525" s="4">
        <v>46096</v>
      </c>
      <c r="N525" s="2" t="s">
        <v>180</v>
      </c>
      <c r="O525" s="2" t="s">
        <v>181</v>
      </c>
      <c r="P525" s="2" t="s">
        <v>350</v>
      </c>
      <c r="Q525" s="2" t="s">
        <v>86</v>
      </c>
      <c r="R525" s="2" t="s">
        <v>299</v>
      </c>
      <c r="S525" s="4">
        <v>45945</v>
      </c>
      <c r="T525" s="2" t="s">
        <v>2727</v>
      </c>
      <c r="U525" s="2" t="s">
        <v>1805</v>
      </c>
      <c r="V525" s="2" t="s">
        <v>2936</v>
      </c>
      <c r="W525" s="2" t="s">
        <v>1806</v>
      </c>
      <c r="X525" s="2" t="s">
        <v>117</v>
      </c>
      <c r="Y525" s="3" t="s">
        <v>118</v>
      </c>
      <c r="Z525" s="3">
        <v>151.74</v>
      </c>
      <c r="AA525" s="2" t="s">
        <v>90</v>
      </c>
      <c r="AB525" s="2" t="s">
        <v>299</v>
      </c>
      <c r="AC525" s="2" t="s">
        <v>300</v>
      </c>
      <c r="AD525" t="str" cm="1">
        <f t="array" ref="AD52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525" s="2" t="s">
        <v>91</v>
      </c>
      <c r="AF525" s="2" t="s">
        <v>92</v>
      </c>
      <c r="AG525" s="2" t="s">
        <v>159</v>
      </c>
      <c r="AH525" s="2" t="s">
        <v>160</v>
      </c>
      <c r="AK525" s="2" t="s">
        <v>3017</v>
      </c>
      <c r="AN525" s="3">
        <v>1</v>
      </c>
      <c r="AO525" s="3">
        <v>1</v>
      </c>
      <c r="AP525" s="3">
        <v>1</v>
      </c>
      <c r="AQ525" s="3">
        <v>1</v>
      </c>
      <c r="AR525" s="3">
        <v>1</v>
      </c>
      <c r="AS525" s="3">
        <v>0</v>
      </c>
      <c r="AT525" s="3">
        <v>0</v>
      </c>
      <c r="AU525" s="3">
        <v>0</v>
      </c>
      <c r="AV525" s="3">
        <v>1</v>
      </c>
      <c r="AW525" s="3">
        <v>0</v>
      </c>
      <c r="AX525" s="3">
        <v>1</v>
      </c>
      <c r="AY525" s="3">
        <v>0</v>
      </c>
      <c r="AZ525" s="3">
        <v>0</v>
      </c>
      <c r="BA525" s="3">
        <v>0</v>
      </c>
      <c r="BB525" s="3">
        <v>0</v>
      </c>
      <c r="BC525" s="3">
        <v>1</v>
      </c>
      <c r="BD525" s="3">
        <v>0</v>
      </c>
      <c r="BE525" s="3">
        <v>0</v>
      </c>
      <c r="BG525" s="2" t="s">
        <v>91</v>
      </c>
      <c r="BH525" s="3">
        <v>3</v>
      </c>
      <c r="BJ525" s="2" t="s">
        <v>96</v>
      </c>
      <c r="BL525" s="2" t="s">
        <v>162</v>
      </c>
      <c r="BM525" s="2" t="s">
        <v>163</v>
      </c>
      <c r="BN525" s="2" t="s">
        <v>99</v>
      </c>
      <c r="BO525" s="2" t="s">
        <v>100</v>
      </c>
      <c r="BP525" s="2" t="s">
        <v>242</v>
      </c>
      <c r="BQ525" s="2" t="s">
        <v>102</v>
      </c>
      <c r="BR525" s="2" t="s">
        <v>103</v>
      </c>
      <c r="BS525" s="2" t="s">
        <v>127</v>
      </c>
      <c r="BT525" s="2" t="s">
        <v>398</v>
      </c>
      <c r="BU525" s="2" t="s">
        <v>399</v>
      </c>
      <c r="BV525" s="2" t="s">
        <v>150</v>
      </c>
      <c r="BW525" s="2" t="s">
        <v>151</v>
      </c>
      <c r="BX525" s="2" t="s">
        <v>91</v>
      </c>
      <c r="BY52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25" s="2">
        <f>IF(AND(Cases[[#This Row],[Priority Level]]&gt;=3,Cases[[#This Row],[System Role]]&lt;&gt;"Productive"),1,0)</f>
        <v>0</v>
      </c>
      <c r="CA525" s="2">
        <f>IFERROR(IF(Cases[[#This Row],[Days at Customer]]&gt;MAX(1,Cases[[#This Row],[Days at SAP]]*2),1,0),0)</f>
        <v>0</v>
      </c>
      <c r="CB525" s="2">
        <f>IF(AND(Cases[[#This Row],[Initial Component]]&lt;&gt;"",Cases[[#This Row],[Component]]&lt;&gt;"",Cases[[#This Row],[Initial Component]]&lt;&gt;Cases[[#This Row],[Component]]),1,0)</f>
        <v>0</v>
      </c>
      <c r="CC525" s="2">
        <f>IF(OR(Cases[[#This Row],[Is Reopened]]="X",Cases[[#This Row],[No. of Reopenings]]&gt;0),1,0)</f>
        <v>0</v>
      </c>
      <c r="CD525" s="2">
        <f>IF(Cases[[#This Row],[Confirmation Type]]="Automatic",1,0)</f>
        <v>1</v>
      </c>
      <c r="CE525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526" spans="1:83" x14ac:dyDescent="0.2">
      <c r="A526" s="1" t="s">
        <v>2647</v>
      </c>
      <c r="B526" s="2" t="s">
        <v>2648</v>
      </c>
      <c r="C526" s="2" t="s">
        <v>203</v>
      </c>
      <c r="D526" s="2" t="s">
        <v>238</v>
      </c>
      <c r="E526" s="3">
        <v>0</v>
      </c>
      <c r="F526" s="3">
        <v>63.04</v>
      </c>
      <c r="G526" s="2" t="s">
        <v>112</v>
      </c>
      <c r="H526" s="2" t="s">
        <v>113</v>
      </c>
      <c r="I526" s="3" t="s">
        <v>114</v>
      </c>
      <c r="J526" s="3">
        <v>162</v>
      </c>
      <c r="K526" s="2" t="s">
        <v>2649</v>
      </c>
      <c r="L526" s="4">
        <v>46096</v>
      </c>
      <c r="M526" s="4">
        <v>46094</v>
      </c>
      <c r="N526" s="2" t="s">
        <v>180</v>
      </c>
      <c r="O526" s="2" t="s">
        <v>181</v>
      </c>
      <c r="P526" s="2" t="s">
        <v>350</v>
      </c>
      <c r="Q526" s="2" t="s">
        <v>86</v>
      </c>
      <c r="R526" s="2" t="s">
        <v>205</v>
      </c>
      <c r="S526" s="4">
        <v>45965</v>
      </c>
      <c r="T526" s="2" t="s">
        <v>2274</v>
      </c>
      <c r="U526" s="2" t="s">
        <v>1805</v>
      </c>
      <c r="V526" s="2" t="s">
        <v>2583</v>
      </c>
      <c r="W526" s="2" t="s">
        <v>1806</v>
      </c>
      <c r="X526" s="2" t="s">
        <v>117</v>
      </c>
      <c r="Y526" s="3" t="s">
        <v>118</v>
      </c>
      <c r="Z526" s="3">
        <v>63.04</v>
      </c>
      <c r="AA526" s="2" t="s">
        <v>90</v>
      </c>
      <c r="AB526" s="2" t="s">
        <v>205</v>
      </c>
      <c r="AC526" s="2" t="s">
        <v>203</v>
      </c>
      <c r="AD526" t="str" cm="1">
        <f t="array" ref="AD52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526" s="2" t="s">
        <v>139</v>
      </c>
      <c r="AF526" s="2" t="s">
        <v>92</v>
      </c>
      <c r="AG526" s="2" t="s">
        <v>119</v>
      </c>
      <c r="AH526" s="2" t="s">
        <v>120</v>
      </c>
      <c r="AK526" s="2" t="s">
        <v>2650</v>
      </c>
      <c r="AN526" s="3">
        <v>1</v>
      </c>
      <c r="AO526" s="3">
        <v>1</v>
      </c>
      <c r="AP526" s="3">
        <v>1</v>
      </c>
      <c r="AQ526" s="3">
        <v>1</v>
      </c>
      <c r="AR526" s="3">
        <v>1</v>
      </c>
      <c r="AS526" s="3">
        <v>0</v>
      </c>
      <c r="AT526" s="3">
        <v>0</v>
      </c>
      <c r="AU526" s="3">
        <v>0</v>
      </c>
      <c r="AV526" s="3">
        <v>1</v>
      </c>
      <c r="AW526" s="3">
        <v>0</v>
      </c>
      <c r="AX526" s="3">
        <v>1</v>
      </c>
      <c r="AY526" s="3">
        <v>0</v>
      </c>
      <c r="AZ526" s="3">
        <v>0</v>
      </c>
      <c r="BA526" s="3">
        <v>0</v>
      </c>
      <c r="BB526" s="3">
        <v>0</v>
      </c>
      <c r="BC526" s="3">
        <v>1</v>
      </c>
      <c r="BD526" s="3">
        <v>0</v>
      </c>
      <c r="BE526" s="3">
        <v>0</v>
      </c>
      <c r="BG526" s="2" t="s">
        <v>91</v>
      </c>
      <c r="BH526" s="3">
        <v>3</v>
      </c>
      <c r="BI526" s="2" t="s">
        <v>122</v>
      </c>
      <c r="BJ526" s="2" t="s">
        <v>96</v>
      </c>
      <c r="BL526" s="2" t="s">
        <v>123</v>
      </c>
      <c r="BM526" s="2" t="s">
        <v>123</v>
      </c>
      <c r="BN526" s="2" t="s">
        <v>124</v>
      </c>
      <c r="BO526" s="2" t="s">
        <v>125</v>
      </c>
      <c r="BP526" s="2" t="s">
        <v>242</v>
      </c>
      <c r="BQ526" s="2" t="s">
        <v>124</v>
      </c>
      <c r="BR526" s="2" t="s">
        <v>126</v>
      </c>
      <c r="BS526" s="2" t="s">
        <v>127</v>
      </c>
      <c r="BT526" s="2" t="s">
        <v>207</v>
      </c>
      <c r="BU526" s="2" t="s">
        <v>208</v>
      </c>
      <c r="BV526" s="2" t="s">
        <v>150</v>
      </c>
      <c r="BW526" s="2" t="s">
        <v>151</v>
      </c>
      <c r="BX526" s="2" t="s">
        <v>182</v>
      </c>
      <c r="BY52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26" s="2">
        <f>IF(AND(Cases[[#This Row],[Priority Level]]&gt;=3,Cases[[#This Row],[System Role]]&lt;&gt;"Productive"),1,0)</f>
        <v>0</v>
      </c>
      <c r="CA526" s="2">
        <f>IFERROR(IF(Cases[[#This Row],[Days at Customer]]&gt;MAX(1,Cases[[#This Row],[Days at SAP]]*2),1,0),0)</f>
        <v>1</v>
      </c>
      <c r="CB526" s="2">
        <f>IF(AND(Cases[[#This Row],[Initial Component]]&lt;&gt;"",Cases[[#This Row],[Component]]&lt;&gt;"",Cases[[#This Row],[Initial Component]]&lt;&gt;Cases[[#This Row],[Component]]),1,0)</f>
        <v>0</v>
      </c>
      <c r="CC526" s="2">
        <f>IF(OR(Cases[[#This Row],[Is Reopened]]="X",Cases[[#This Row],[No. of Reopenings]]&gt;0),1,0)</f>
        <v>0</v>
      </c>
      <c r="CD526" s="2">
        <f>IF(Cases[[#This Row],[Confirmation Type]]="Automatic",1,0)</f>
        <v>1</v>
      </c>
      <c r="CE526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27" spans="1:83" x14ac:dyDescent="0.2">
      <c r="A527" s="1" t="s">
        <v>3022</v>
      </c>
      <c r="B527" s="2" t="s">
        <v>3023</v>
      </c>
      <c r="C527" s="2" t="s">
        <v>154</v>
      </c>
      <c r="D527" s="2" t="s">
        <v>238</v>
      </c>
      <c r="E527" s="3">
        <v>18.61</v>
      </c>
      <c r="F527" s="3">
        <v>22.11</v>
      </c>
      <c r="G527" s="2" t="s">
        <v>79</v>
      </c>
      <c r="H527" s="2" t="s">
        <v>178</v>
      </c>
      <c r="I527" s="3" t="s">
        <v>114</v>
      </c>
      <c r="J527" s="3">
        <v>182</v>
      </c>
      <c r="K527" s="2" t="s">
        <v>3024</v>
      </c>
      <c r="L527" s="4">
        <v>46009</v>
      </c>
      <c r="M527" s="4">
        <v>45986</v>
      </c>
      <c r="N527" s="2" t="s">
        <v>2274</v>
      </c>
      <c r="O527" s="2" t="s">
        <v>1805</v>
      </c>
      <c r="P527" s="2" t="s">
        <v>2275</v>
      </c>
      <c r="Q527" s="2" t="s">
        <v>1806</v>
      </c>
      <c r="R527" s="2" t="s">
        <v>157</v>
      </c>
      <c r="S527" s="4">
        <v>45945</v>
      </c>
      <c r="T527" s="2" t="s">
        <v>2727</v>
      </c>
      <c r="U527" s="2" t="s">
        <v>1805</v>
      </c>
      <c r="V527" s="2" t="s">
        <v>2936</v>
      </c>
      <c r="W527" s="2" t="s">
        <v>1806</v>
      </c>
      <c r="X527" s="2" t="s">
        <v>117</v>
      </c>
      <c r="Y527" s="3" t="s">
        <v>118</v>
      </c>
      <c r="Z527" s="3">
        <v>40.72</v>
      </c>
      <c r="AA527" s="2" t="s">
        <v>90</v>
      </c>
      <c r="AB527" s="2" t="s">
        <v>157</v>
      </c>
      <c r="AC527" s="2" t="s">
        <v>154</v>
      </c>
      <c r="AD527" t="str" cm="1">
        <f t="array" ref="AD52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527" s="2" t="s">
        <v>91</v>
      </c>
      <c r="AF527" s="2" t="s">
        <v>92</v>
      </c>
      <c r="AG527" s="2" t="s">
        <v>159</v>
      </c>
      <c r="AH527" s="2" t="s">
        <v>160</v>
      </c>
      <c r="AK527" s="2" t="s">
        <v>3025</v>
      </c>
      <c r="AN527" s="3">
        <v>1</v>
      </c>
      <c r="AO527" s="3">
        <v>1</v>
      </c>
      <c r="AP527" s="3">
        <v>1</v>
      </c>
      <c r="AQ527" s="3">
        <v>1</v>
      </c>
      <c r="AR527" s="3">
        <v>1</v>
      </c>
      <c r="AS527" s="3">
        <v>0</v>
      </c>
      <c r="AT527" s="3">
        <v>0</v>
      </c>
      <c r="AU527" s="3">
        <v>0</v>
      </c>
      <c r="AV527" s="3">
        <v>1</v>
      </c>
      <c r="AW527" s="3">
        <v>0</v>
      </c>
      <c r="AX527" s="3">
        <v>1</v>
      </c>
      <c r="AY527" s="3">
        <v>0</v>
      </c>
      <c r="AZ527" s="3">
        <v>0</v>
      </c>
      <c r="BA527" s="3">
        <v>1</v>
      </c>
      <c r="BB527" s="3">
        <v>0</v>
      </c>
      <c r="BC527" s="3">
        <v>0</v>
      </c>
      <c r="BD527" s="3">
        <v>0</v>
      </c>
      <c r="BE527" s="3">
        <v>0</v>
      </c>
      <c r="BG527" s="2" t="s">
        <v>91</v>
      </c>
      <c r="BH527" s="3">
        <v>3</v>
      </c>
      <c r="BJ527" s="2" t="s">
        <v>96</v>
      </c>
      <c r="BL527" s="2" t="s">
        <v>162</v>
      </c>
      <c r="BM527" s="2" t="s">
        <v>163</v>
      </c>
      <c r="BN527" s="2" t="s">
        <v>99</v>
      </c>
      <c r="BO527" s="2" t="s">
        <v>100</v>
      </c>
      <c r="BP527" s="2" t="s">
        <v>242</v>
      </c>
      <c r="BQ527" s="2" t="s">
        <v>102</v>
      </c>
      <c r="BR527" s="2" t="s">
        <v>103</v>
      </c>
      <c r="BS527" s="2" t="s">
        <v>127</v>
      </c>
      <c r="BT527" s="2" t="s">
        <v>164</v>
      </c>
      <c r="BU527" s="2" t="s">
        <v>165</v>
      </c>
      <c r="BV527" s="2" t="s">
        <v>166</v>
      </c>
      <c r="BW527" s="2" t="s">
        <v>167</v>
      </c>
      <c r="BX527" s="2" t="s">
        <v>91</v>
      </c>
      <c r="BY52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27" s="2">
        <f>IF(AND(Cases[[#This Row],[Priority Level]]&gt;=3,Cases[[#This Row],[System Role]]&lt;&gt;"Productive"),1,0)</f>
        <v>1</v>
      </c>
      <c r="CA527" s="2">
        <f>IFERROR(IF(Cases[[#This Row],[Days at Customer]]&gt;MAX(1,Cases[[#This Row],[Days at SAP]]*2),1,0),0)</f>
        <v>0</v>
      </c>
      <c r="CB527" s="2">
        <f>IF(AND(Cases[[#This Row],[Initial Component]]&lt;&gt;"",Cases[[#This Row],[Component]]&lt;&gt;"",Cases[[#This Row],[Initial Component]]&lt;&gt;Cases[[#This Row],[Component]]),1,0)</f>
        <v>0</v>
      </c>
      <c r="CC527" s="2">
        <f>IF(OR(Cases[[#This Row],[Is Reopened]]="X",Cases[[#This Row],[No. of Reopenings]]&gt;0),1,0)</f>
        <v>0</v>
      </c>
      <c r="CD527" s="2">
        <f>IF(Cases[[#This Row],[Confirmation Type]]="Automatic",1,0)</f>
        <v>1</v>
      </c>
      <c r="CE52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28" spans="1:83" x14ac:dyDescent="0.2">
      <c r="A528" s="1" t="s">
        <v>848</v>
      </c>
      <c r="B528" s="2" t="s">
        <v>849</v>
      </c>
      <c r="C528" s="2" t="s">
        <v>203</v>
      </c>
      <c r="D528" s="2" t="s">
        <v>238</v>
      </c>
      <c r="E528" s="3">
        <v>0</v>
      </c>
      <c r="F528" s="3">
        <v>24.59</v>
      </c>
      <c r="G528" s="2" t="s">
        <v>112</v>
      </c>
      <c r="H528" s="2" t="s">
        <v>113</v>
      </c>
      <c r="I528" s="3" t="s">
        <v>114</v>
      </c>
      <c r="J528" s="3">
        <v>51</v>
      </c>
      <c r="K528" s="2" t="s">
        <v>850</v>
      </c>
      <c r="L528" s="4">
        <v>46103</v>
      </c>
      <c r="M528" s="4">
        <v>46102</v>
      </c>
      <c r="N528" s="2" t="s">
        <v>180</v>
      </c>
      <c r="O528" s="2" t="s">
        <v>181</v>
      </c>
      <c r="P528" s="2" t="s">
        <v>260</v>
      </c>
      <c r="Q528" s="2" t="s">
        <v>86</v>
      </c>
      <c r="R528" s="2" t="s">
        <v>205</v>
      </c>
      <c r="S528" s="4">
        <v>46076</v>
      </c>
      <c r="T528" s="2" t="s">
        <v>677</v>
      </c>
      <c r="U528" s="2" t="s">
        <v>181</v>
      </c>
      <c r="V528" s="2" t="s">
        <v>678</v>
      </c>
      <c r="W528" s="2" t="s">
        <v>86</v>
      </c>
      <c r="X528" s="2" t="s">
        <v>117</v>
      </c>
      <c r="Y528" s="3" t="s">
        <v>118</v>
      </c>
      <c r="Z528" s="3">
        <v>24.59</v>
      </c>
      <c r="AA528" s="2" t="s">
        <v>90</v>
      </c>
      <c r="AB528" s="2" t="s">
        <v>205</v>
      </c>
      <c r="AC528" s="2" t="s">
        <v>203</v>
      </c>
      <c r="AD528" t="str" cm="1">
        <f t="array" ref="AD52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528" s="2" t="s">
        <v>139</v>
      </c>
      <c r="AF528" s="2" t="s">
        <v>92</v>
      </c>
      <c r="AG528" s="2" t="s">
        <v>119</v>
      </c>
      <c r="AH528" s="2" t="s">
        <v>120</v>
      </c>
      <c r="AK528" s="2" t="s">
        <v>851</v>
      </c>
      <c r="AN528" s="3">
        <v>1</v>
      </c>
      <c r="AO528" s="3">
        <v>1</v>
      </c>
      <c r="AP528" s="3">
        <v>1</v>
      </c>
      <c r="AQ528" s="3">
        <v>1</v>
      </c>
      <c r="AR528" s="3">
        <v>0</v>
      </c>
      <c r="AS528" s="3">
        <v>0</v>
      </c>
      <c r="AT528" s="3">
        <v>1</v>
      </c>
      <c r="AU528" s="3">
        <v>0</v>
      </c>
      <c r="AV528" s="3">
        <v>1</v>
      </c>
      <c r="AW528" s="3">
        <v>0</v>
      </c>
      <c r="AX528" s="3">
        <v>0</v>
      </c>
      <c r="AY528" s="3">
        <v>0</v>
      </c>
      <c r="AZ528" s="3">
        <v>1</v>
      </c>
      <c r="BA528" s="3">
        <v>1</v>
      </c>
      <c r="BB528" s="3">
        <v>0</v>
      </c>
      <c r="BC528" s="3">
        <v>0</v>
      </c>
      <c r="BD528" s="3">
        <v>0</v>
      </c>
      <c r="BE528" s="3">
        <v>0</v>
      </c>
      <c r="BG528" s="2" t="s">
        <v>139</v>
      </c>
      <c r="BH528" s="3">
        <v>2</v>
      </c>
      <c r="BI528" s="2" t="s">
        <v>122</v>
      </c>
      <c r="BJ528" s="2" t="s">
        <v>96</v>
      </c>
      <c r="BL528" s="2" t="s">
        <v>123</v>
      </c>
      <c r="BM528" s="2" t="s">
        <v>123</v>
      </c>
      <c r="BN528" s="2" t="s">
        <v>124</v>
      </c>
      <c r="BO528" s="2" t="s">
        <v>125</v>
      </c>
      <c r="BP528" s="2" t="s">
        <v>242</v>
      </c>
      <c r="BQ528" s="2" t="s">
        <v>124</v>
      </c>
      <c r="BR528" s="2" t="s">
        <v>126</v>
      </c>
      <c r="BS528" s="2" t="s">
        <v>127</v>
      </c>
      <c r="BT528" s="2" t="s">
        <v>436</v>
      </c>
      <c r="BU528" s="2" t="s">
        <v>437</v>
      </c>
      <c r="BV528" s="2" t="s">
        <v>107</v>
      </c>
      <c r="BW528" s="2" t="s">
        <v>108</v>
      </c>
      <c r="BX528" s="2" t="s">
        <v>139</v>
      </c>
      <c r="BY52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28" s="2">
        <f>IF(AND(Cases[[#This Row],[Priority Level]]&gt;=3,Cases[[#This Row],[System Role]]&lt;&gt;"Productive"),1,0)</f>
        <v>0</v>
      </c>
      <c r="CA528" s="2">
        <f>IFERROR(IF(Cases[[#This Row],[Days at Customer]]&gt;MAX(1,Cases[[#This Row],[Days at SAP]]*2),1,0),0)</f>
        <v>1</v>
      </c>
      <c r="CB528" s="2">
        <f>IF(AND(Cases[[#This Row],[Initial Component]]&lt;&gt;"",Cases[[#This Row],[Component]]&lt;&gt;"",Cases[[#This Row],[Initial Component]]&lt;&gt;Cases[[#This Row],[Component]]),1,0)</f>
        <v>0</v>
      </c>
      <c r="CC528" s="2">
        <f>IF(OR(Cases[[#This Row],[Is Reopened]]="X",Cases[[#This Row],[No. of Reopenings]]&gt;0),1,0)</f>
        <v>0</v>
      </c>
      <c r="CD528" s="2">
        <f>IF(Cases[[#This Row],[Confirmation Type]]="Automatic",1,0)</f>
        <v>1</v>
      </c>
      <c r="CE52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29" spans="1:83" x14ac:dyDescent="0.2">
      <c r="A529" s="1" t="s">
        <v>3030</v>
      </c>
      <c r="B529" s="2" t="s">
        <v>3031</v>
      </c>
      <c r="C529" s="2" t="s">
        <v>1485</v>
      </c>
      <c r="D529" s="2" t="s">
        <v>238</v>
      </c>
      <c r="E529" s="3">
        <v>0</v>
      </c>
      <c r="F529" s="3">
        <v>21.77</v>
      </c>
      <c r="G529" s="2" t="s">
        <v>79</v>
      </c>
      <c r="H529" s="2" t="s">
        <v>80</v>
      </c>
      <c r="I529" s="3" t="s">
        <v>114</v>
      </c>
      <c r="J529" s="3">
        <v>183</v>
      </c>
      <c r="K529" s="2" t="s">
        <v>3032</v>
      </c>
      <c r="L529" s="4">
        <v>46061</v>
      </c>
      <c r="M529" s="4">
        <v>45965</v>
      </c>
      <c r="N529" s="2" t="s">
        <v>2274</v>
      </c>
      <c r="O529" s="2" t="s">
        <v>1805</v>
      </c>
      <c r="P529" s="2" t="s">
        <v>2583</v>
      </c>
      <c r="Q529" s="2" t="s">
        <v>1806</v>
      </c>
      <c r="R529" s="2" t="s">
        <v>1440</v>
      </c>
      <c r="S529" s="4">
        <v>45944</v>
      </c>
      <c r="T529" s="2" t="s">
        <v>2727</v>
      </c>
      <c r="U529" s="2" t="s">
        <v>1805</v>
      </c>
      <c r="V529" s="2" t="s">
        <v>2936</v>
      </c>
      <c r="W529" s="2" t="s">
        <v>1806</v>
      </c>
      <c r="X529" s="2" t="s">
        <v>117</v>
      </c>
      <c r="Y529" s="3" t="s">
        <v>118</v>
      </c>
      <c r="Z529" s="3">
        <v>21.77</v>
      </c>
      <c r="AA529" s="2" t="s">
        <v>90</v>
      </c>
      <c r="AB529" s="2" t="s">
        <v>1440</v>
      </c>
      <c r="AC529" s="2" t="s">
        <v>1485</v>
      </c>
      <c r="AD529" t="str" cm="1">
        <f t="array" ref="AD52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529" s="2" t="s">
        <v>139</v>
      </c>
      <c r="AF529" s="2" t="s">
        <v>92</v>
      </c>
      <c r="AG529" s="2" t="s">
        <v>527</v>
      </c>
      <c r="AH529" s="2" t="s">
        <v>528</v>
      </c>
      <c r="AK529" s="2" t="s">
        <v>3033</v>
      </c>
      <c r="AN529" s="3">
        <v>1</v>
      </c>
      <c r="AO529" s="3">
        <v>1</v>
      </c>
      <c r="AP529" s="3">
        <v>1</v>
      </c>
      <c r="AQ529" s="3">
        <v>1</v>
      </c>
      <c r="AR529" s="3">
        <v>0</v>
      </c>
      <c r="AS529" s="3">
        <v>0</v>
      </c>
      <c r="AT529" s="3">
        <v>1</v>
      </c>
      <c r="AU529" s="3">
        <v>0</v>
      </c>
      <c r="AV529" s="3">
        <v>1</v>
      </c>
      <c r="AW529" s="3">
        <v>0</v>
      </c>
      <c r="AX529" s="3">
        <v>0</v>
      </c>
      <c r="AY529" s="3">
        <v>0</v>
      </c>
      <c r="AZ529" s="3">
        <v>1</v>
      </c>
      <c r="BA529" s="3">
        <v>1</v>
      </c>
      <c r="BB529" s="3">
        <v>0</v>
      </c>
      <c r="BC529" s="3">
        <v>0</v>
      </c>
      <c r="BD529" s="3">
        <v>0</v>
      </c>
      <c r="BE529" s="3">
        <v>0</v>
      </c>
      <c r="BG529" s="2" t="s">
        <v>139</v>
      </c>
      <c r="BH529" s="3">
        <v>2</v>
      </c>
      <c r="BJ529" s="2" t="s">
        <v>96</v>
      </c>
      <c r="BL529" s="2" t="s">
        <v>184</v>
      </c>
      <c r="BM529" s="2" t="s">
        <v>184</v>
      </c>
      <c r="BN529" s="2" t="s">
        <v>124</v>
      </c>
      <c r="BO529" s="2" t="s">
        <v>125</v>
      </c>
      <c r="BP529" s="2" t="s">
        <v>242</v>
      </c>
      <c r="BQ529" s="2" t="s">
        <v>124</v>
      </c>
      <c r="BR529" s="2" t="s">
        <v>126</v>
      </c>
      <c r="BS529" s="2" t="s">
        <v>127</v>
      </c>
      <c r="BT529" s="2" t="s">
        <v>1789</v>
      </c>
      <c r="BU529" s="2" t="s">
        <v>1790</v>
      </c>
      <c r="BV529" s="2" t="s">
        <v>166</v>
      </c>
      <c r="BW529" s="2" t="s">
        <v>167</v>
      </c>
      <c r="BX529" s="2" t="s">
        <v>139</v>
      </c>
      <c r="BY52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29" s="2">
        <f>IF(AND(Cases[[#This Row],[Priority Level]]&gt;=3,Cases[[#This Row],[System Role]]&lt;&gt;"Productive"),1,0)</f>
        <v>0</v>
      </c>
      <c r="CA529" s="2">
        <f>IFERROR(IF(Cases[[#This Row],[Days at Customer]]&gt;MAX(1,Cases[[#This Row],[Days at SAP]]*2),1,0),0)</f>
        <v>1</v>
      </c>
      <c r="CB529" s="2">
        <f>IF(AND(Cases[[#This Row],[Initial Component]]&lt;&gt;"",Cases[[#This Row],[Component]]&lt;&gt;"",Cases[[#This Row],[Initial Component]]&lt;&gt;Cases[[#This Row],[Component]]),1,0)</f>
        <v>0</v>
      </c>
      <c r="CC529" s="2">
        <f>IF(OR(Cases[[#This Row],[Is Reopened]]="X",Cases[[#This Row],[No. of Reopenings]]&gt;0),1,0)</f>
        <v>0</v>
      </c>
      <c r="CD529" s="2">
        <f>IF(Cases[[#This Row],[Confirmation Type]]="Automatic",1,0)</f>
        <v>1</v>
      </c>
      <c r="CE529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30" spans="1:83" x14ac:dyDescent="0.2">
      <c r="A530" s="1" t="s">
        <v>3034</v>
      </c>
      <c r="B530" s="2" t="s">
        <v>3035</v>
      </c>
      <c r="C530" s="2" t="s">
        <v>3036</v>
      </c>
      <c r="D530" s="2" t="s">
        <v>238</v>
      </c>
      <c r="E530" s="3">
        <v>15.37</v>
      </c>
      <c r="F530" s="3">
        <v>61.05</v>
      </c>
      <c r="G530" s="2" t="s">
        <v>79</v>
      </c>
      <c r="H530" s="2" t="s">
        <v>80</v>
      </c>
      <c r="I530" s="3" t="s">
        <v>114</v>
      </c>
      <c r="J530" s="3">
        <v>183</v>
      </c>
      <c r="K530" s="2" t="s">
        <v>3037</v>
      </c>
      <c r="L530" s="4">
        <v>46026</v>
      </c>
      <c r="M530" s="4">
        <v>46021</v>
      </c>
      <c r="N530" s="2" t="s">
        <v>1804</v>
      </c>
      <c r="O530" s="2" t="s">
        <v>1805</v>
      </c>
      <c r="P530" s="2" t="s">
        <v>1334</v>
      </c>
      <c r="Q530" s="2" t="s">
        <v>1806</v>
      </c>
      <c r="R530" s="2" t="s">
        <v>3038</v>
      </c>
      <c r="S530" s="4">
        <v>45944</v>
      </c>
      <c r="T530" s="2" t="s">
        <v>2727</v>
      </c>
      <c r="U530" s="2" t="s">
        <v>1805</v>
      </c>
      <c r="V530" s="2" t="s">
        <v>2936</v>
      </c>
      <c r="W530" s="2" t="s">
        <v>1806</v>
      </c>
      <c r="X530" s="2" t="s">
        <v>117</v>
      </c>
      <c r="Y530" s="3" t="s">
        <v>118</v>
      </c>
      <c r="Z530" s="3">
        <v>76.42</v>
      </c>
      <c r="AA530" s="2" t="s">
        <v>90</v>
      </c>
      <c r="AB530" s="2" t="s">
        <v>563</v>
      </c>
      <c r="AC530" s="2" t="s">
        <v>564</v>
      </c>
      <c r="AD530" t="str" cm="1">
        <f t="array" ref="AD53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530" s="2" t="s">
        <v>139</v>
      </c>
      <c r="AF530" s="2" t="s">
        <v>92</v>
      </c>
      <c r="AG530" s="2" t="s">
        <v>119</v>
      </c>
      <c r="AH530" s="2" t="s">
        <v>120</v>
      </c>
      <c r="AK530" s="2" t="s">
        <v>3039</v>
      </c>
      <c r="AN530" s="3">
        <v>1</v>
      </c>
      <c r="AO530" s="3">
        <v>1</v>
      </c>
      <c r="AP530" s="3">
        <v>1</v>
      </c>
      <c r="AQ530" s="3">
        <v>1</v>
      </c>
      <c r="AR530" s="3">
        <v>0</v>
      </c>
      <c r="AS530" s="3">
        <v>0</v>
      </c>
      <c r="AT530" s="3">
        <v>1</v>
      </c>
      <c r="AU530" s="3">
        <v>0</v>
      </c>
      <c r="AV530" s="3">
        <v>1</v>
      </c>
      <c r="AW530" s="3">
        <v>0</v>
      </c>
      <c r="AX530" s="3">
        <v>0</v>
      </c>
      <c r="AY530" s="3">
        <v>0</v>
      </c>
      <c r="AZ530" s="3">
        <v>1</v>
      </c>
      <c r="BA530" s="3">
        <v>1</v>
      </c>
      <c r="BB530" s="3">
        <v>0</v>
      </c>
      <c r="BC530" s="3">
        <v>0</v>
      </c>
      <c r="BD530" s="3">
        <v>0</v>
      </c>
      <c r="BE530" s="3">
        <v>0</v>
      </c>
      <c r="BG530" s="2" t="s">
        <v>139</v>
      </c>
      <c r="BH530" s="3">
        <v>2</v>
      </c>
      <c r="BJ530" s="2" t="s">
        <v>96</v>
      </c>
      <c r="BL530" s="2" t="s">
        <v>123</v>
      </c>
      <c r="BM530" s="2" t="s">
        <v>123</v>
      </c>
      <c r="BN530" s="2" t="s">
        <v>124</v>
      </c>
      <c r="BO530" s="2" t="s">
        <v>125</v>
      </c>
      <c r="BP530" s="2" t="s">
        <v>242</v>
      </c>
      <c r="BQ530" s="2" t="s">
        <v>124</v>
      </c>
      <c r="BR530" s="2" t="s">
        <v>126</v>
      </c>
      <c r="BS530" s="2" t="s">
        <v>127</v>
      </c>
      <c r="BT530" s="2" t="s">
        <v>128</v>
      </c>
      <c r="BU530" s="2" t="s">
        <v>129</v>
      </c>
      <c r="BV530" s="2" t="s">
        <v>107</v>
      </c>
      <c r="BW530" s="2" t="s">
        <v>108</v>
      </c>
      <c r="BX530" s="2" t="s">
        <v>139</v>
      </c>
      <c r="BY53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30" s="2">
        <f>IF(AND(Cases[[#This Row],[Priority Level]]&gt;=3,Cases[[#This Row],[System Role]]&lt;&gt;"Productive"),1,0)</f>
        <v>0</v>
      </c>
      <c r="CA530" s="2">
        <f>IFERROR(IF(Cases[[#This Row],[Days at Customer]]&gt;MAX(1,Cases[[#This Row],[Days at SAP]]*2),1,0),0)</f>
        <v>1</v>
      </c>
      <c r="CB530" s="2">
        <f>IF(AND(Cases[[#This Row],[Initial Component]]&lt;&gt;"",Cases[[#This Row],[Component]]&lt;&gt;"",Cases[[#This Row],[Initial Component]]&lt;&gt;Cases[[#This Row],[Component]]),1,0)</f>
        <v>1</v>
      </c>
      <c r="CC530" s="2">
        <f>IF(OR(Cases[[#This Row],[Is Reopened]]="X",Cases[[#This Row],[No. of Reopenings]]&gt;0),1,0)</f>
        <v>0</v>
      </c>
      <c r="CD530" s="2">
        <f>IF(Cases[[#This Row],[Confirmation Type]]="Automatic",1,0)</f>
        <v>1</v>
      </c>
      <c r="CE53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31" spans="1:83" x14ac:dyDescent="0.2">
      <c r="A531" s="1" t="s">
        <v>3040</v>
      </c>
      <c r="B531" s="2" t="s">
        <v>3041</v>
      </c>
      <c r="C531" s="2" t="s">
        <v>587</v>
      </c>
      <c r="D531" s="2" t="s">
        <v>238</v>
      </c>
      <c r="E531" s="3">
        <v>8.14</v>
      </c>
      <c r="F531" s="3">
        <v>49.32</v>
      </c>
      <c r="G531" s="2" t="s">
        <v>79</v>
      </c>
      <c r="H531" s="2" t="s">
        <v>80</v>
      </c>
      <c r="I531" s="3" t="s">
        <v>114</v>
      </c>
      <c r="J531" s="3">
        <v>183</v>
      </c>
      <c r="K531" s="2" t="s">
        <v>3042</v>
      </c>
      <c r="L531" s="4">
        <v>46009</v>
      </c>
      <c r="M531" s="4">
        <v>46001</v>
      </c>
      <c r="N531" s="2" t="s">
        <v>1804</v>
      </c>
      <c r="O531" s="2" t="s">
        <v>1805</v>
      </c>
      <c r="P531" s="2" t="s">
        <v>2037</v>
      </c>
      <c r="Q531" s="2" t="s">
        <v>1806</v>
      </c>
      <c r="R531" s="2" t="s">
        <v>590</v>
      </c>
      <c r="S531" s="4">
        <v>45944</v>
      </c>
      <c r="T531" s="2" t="s">
        <v>2727</v>
      </c>
      <c r="U531" s="2" t="s">
        <v>1805</v>
      </c>
      <c r="V531" s="2" t="s">
        <v>2936</v>
      </c>
      <c r="W531" s="2" t="s">
        <v>1806</v>
      </c>
      <c r="X531" s="2" t="s">
        <v>117</v>
      </c>
      <c r="Y531" s="3" t="s">
        <v>118</v>
      </c>
      <c r="Z531" s="3">
        <v>57.46</v>
      </c>
      <c r="AA531" s="2" t="s">
        <v>90</v>
      </c>
      <c r="AB531" s="2" t="s">
        <v>860</v>
      </c>
      <c r="AC531" s="2" t="s">
        <v>858</v>
      </c>
      <c r="AD531" t="str" cm="1">
        <f t="array" ref="AD53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531" s="2" t="s">
        <v>139</v>
      </c>
      <c r="AF531" s="2" t="s">
        <v>92</v>
      </c>
      <c r="AG531" s="2" t="s">
        <v>119</v>
      </c>
      <c r="AH531" s="2" t="s">
        <v>120</v>
      </c>
      <c r="AK531" s="2" t="s">
        <v>3043</v>
      </c>
      <c r="AN531" s="3">
        <v>1</v>
      </c>
      <c r="AO531" s="3">
        <v>1</v>
      </c>
      <c r="AP531" s="3">
        <v>1</v>
      </c>
      <c r="AQ531" s="3">
        <v>1</v>
      </c>
      <c r="AR531" s="3">
        <v>0</v>
      </c>
      <c r="AS531" s="3">
        <v>0</v>
      </c>
      <c r="AT531" s="3">
        <v>1</v>
      </c>
      <c r="AU531" s="3">
        <v>0</v>
      </c>
      <c r="AV531" s="3">
        <v>1</v>
      </c>
      <c r="AW531" s="3">
        <v>0</v>
      </c>
      <c r="AX531" s="3">
        <v>0</v>
      </c>
      <c r="AY531" s="3">
        <v>0</v>
      </c>
      <c r="AZ531" s="3">
        <v>1</v>
      </c>
      <c r="BA531" s="3">
        <v>0</v>
      </c>
      <c r="BB531" s="3">
        <v>0</v>
      </c>
      <c r="BC531" s="3">
        <v>1</v>
      </c>
      <c r="BD531" s="3">
        <v>0</v>
      </c>
      <c r="BE531" s="3">
        <v>0</v>
      </c>
      <c r="BG531" s="2" t="s">
        <v>139</v>
      </c>
      <c r="BH531" s="3">
        <v>2</v>
      </c>
      <c r="BJ531" s="2" t="s">
        <v>96</v>
      </c>
      <c r="BL531" s="2" t="s">
        <v>123</v>
      </c>
      <c r="BM531" s="2" t="s">
        <v>123</v>
      </c>
      <c r="BN531" s="2" t="s">
        <v>124</v>
      </c>
      <c r="BO531" s="2" t="s">
        <v>125</v>
      </c>
      <c r="BP531" s="2" t="s">
        <v>242</v>
      </c>
      <c r="BQ531" s="2" t="s">
        <v>124</v>
      </c>
      <c r="BR531" s="2" t="s">
        <v>126</v>
      </c>
      <c r="BS531" s="2" t="s">
        <v>127</v>
      </c>
      <c r="BT531" s="2" t="s">
        <v>207</v>
      </c>
      <c r="BU531" s="2" t="s">
        <v>208</v>
      </c>
      <c r="BV531" s="2" t="s">
        <v>150</v>
      </c>
      <c r="BW531" s="2" t="s">
        <v>151</v>
      </c>
      <c r="BX531" s="2" t="s">
        <v>139</v>
      </c>
      <c r="BY53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31" s="2">
        <f>IF(AND(Cases[[#This Row],[Priority Level]]&gt;=3,Cases[[#This Row],[System Role]]&lt;&gt;"Productive"),1,0)</f>
        <v>0</v>
      </c>
      <c r="CA531" s="2">
        <f>IFERROR(IF(Cases[[#This Row],[Days at Customer]]&gt;MAX(1,Cases[[#This Row],[Days at SAP]]*2),1,0),0)</f>
        <v>1</v>
      </c>
      <c r="CB531" s="2">
        <f>IF(AND(Cases[[#This Row],[Initial Component]]&lt;&gt;"",Cases[[#This Row],[Component]]&lt;&gt;"",Cases[[#This Row],[Initial Component]]&lt;&gt;Cases[[#This Row],[Component]]),1,0)</f>
        <v>1</v>
      </c>
      <c r="CC531" s="2">
        <f>IF(OR(Cases[[#This Row],[Is Reopened]]="X",Cases[[#This Row],[No. of Reopenings]]&gt;0),1,0)</f>
        <v>0</v>
      </c>
      <c r="CD531" s="2">
        <f>IF(Cases[[#This Row],[Confirmation Type]]="Automatic",1,0)</f>
        <v>1</v>
      </c>
      <c r="CE531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32" spans="1:83" x14ac:dyDescent="0.2">
      <c r="A532" s="1" t="s">
        <v>956</v>
      </c>
      <c r="B532" s="2" t="s">
        <v>957</v>
      </c>
      <c r="C532" s="2" t="s">
        <v>111</v>
      </c>
      <c r="D532" s="2" t="s">
        <v>238</v>
      </c>
      <c r="E532" s="3">
        <v>0</v>
      </c>
      <c r="F532" s="3">
        <v>23.48</v>
      </c>
      <c r="G532" s="2" t="s">
        <v>112</v>
      </c>
      <c r="H532" s="2" t="s">
        <v>113</v>
      </c>
      <c r="I532" s="3" t="s">
        <v>114</v>
      </c>
      <c r="J532" s="3">
        <v>55</v>
      </c>
      <c r="K532" s="2" t="s">
        <v>958</v>
      </c>
      <c r="L532" s="4">
        <v>46103</v>
      </c>
      <c r="M532" s="4">
        <v>46102</v>
      </c>
      <c r="N532" s="2" t="s">
        <v>180</v>
      </c>
      <c r="O532" s="2" t="s">
        <v>181</v>
      </c>
      <c r="P532" s="2" t="s">
        <v>260</v>
      </c>
      <c r="Q532" s="2" t="s">
        <v>86</v>
      </c>
      <c r="R532" s="2" t="s">
        <v>116</v>
      </c>
      <c r="S532" s="4">
        <v>46072</v>
      </c>
      <c r="T532" s="2" t="s">
        <v>677</v>
      </c>
      <c r="U532" s="2" t="s">
        <v>181</v>
      </c>
      <c r="V532" s="2" t="s">
        <v>895</v>
      </c>
      <c r="W532" s="2" t="s">
        <v>86</v>
      </c>
      <c r="X532" s="2" t="s">
        <v>117</v>
      </c>
      <c r="Y532" s="3" t="s">
        <v>118</v>
      </c>
      <c r="Z532" s="3">
        <v>23.48</v>
      </c>
      <c r="AA532" s="2" t="s">
        <v>90</v>
      </c>
      <c r="AB532" s="2" t="s">
        <v>116</v>
      </c>
      <c r="AC532" s="2" t="s">
        <v>111</v>
      </c>
      <c r="AD532" t="str" cm="1">
        <f t="array" ref="AD53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532" s="2" t="s">
        <v>139</v>
      </c>
      <c r="AF532" s="2" t="s">
        <v>92</v>
      </c>
      <c r="AG532" s="2" t="s">
        <v>119</v>
      </c>
      <c r="AH532" s="2" t="s">
        <v>120</v>
      </c>
      <c r="AK532" s="2" t="s">
        <v>959</v>
      </c>
      <c r="AN532" s="3">
        <v>1</v>
      </c>
      <c r="AO532" s="3">
        <v>1</v>
      </c>
      <c r="AP532" s="3">
        <v>1</v>
      </c>
      <c r="AQ532" s="3">
        <v>1</v>
      </c>
      <c r="AR532" s="3">
        <v>0</v>
      </c>
      <c r="AS532" s="3">
        <v>0</v>
      </c>
      <c r="AT532" s="3">
        <v>1</v>
      </c>
      <c r="AU532" s="3">
        <v>0</v>
      </c>
      <c r="AV532" s="3">
        <v>1</v>
      </c>
      <c r="AW532" s="3">
        <v>0</v>
      </c>
      <c r="AX532" s="3">
        <v>0</v>
      </c>
      <c r="AY532" s="3">
        <v>0</v>
      </c>
      <c r="AZ532" s="3">
        <v>1</v>
      </c>
      <c r="BA532" s="3">
        <v>0</v>
      </c>
      <c r="BB532" s="3">
        <v>0</v>
      </c>
      <c r="BC532" s="3">
        <v>1</v>
      </c>
      <c r="BD532" s="3">
        <v>0</v>
      </c>
      <c r="BE532" s="3">
        <v>0</v>
      </c>
      <c r="BG532" s="2" t="s">
        <v>139</v>
      </c>
      <c r="BH532" s="3">
        <v>2</v>
      </c>
      <c r="BI532" s="2" t="s">
        <v>122</v>
      </c>
      <c r="BJ532" s="2" t="s">
        <v>96</v>
      </c>
      <c r="BL532" s="2" t="s">
        <v>123</v>
      </c>
      <c r="BM532" s="2" t="s">
        <v>123</v>
      </c>
      <c r="BN532" s="2" t="s">
        <v>124</v>
      </c>
      <c r="BO532" s="2" t="s">
        <v>125</v>
      </c>
      <c r="BP532" s="2" t="s">
        <v>242</v>
      </c>
      <c r="BQ532" s="2" t="s">
        <v>124</v>
      </c>
      <c r="BR532" s="2" t="s">
        <v>126</v>
      </c>
      <c r="BS532" s="2" t="s">
        <v>127</v>
      </c>
      <c r="BT532" s="2" t="s">
        <v>207</v>
      </c>
      <c r="BU532" s="2" t="s">
        <v>208</v>
      </c>
      <c r="BV532" s="2" t="s">
        <v>150</v>
      </c>
      <c r="BW532" s="2" t="s">
        <v>151</v>
      </c>
      <c r="BX532" s="2" t="s">
        <v>139</v>
      </c>
      <c r="BY53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32" s="2">
        <f>IF(AND(Cases[[#This Row],[Priority Level]]&gt;=3,Cases[[#This Row],[System Role]]&lt;&gt;"Productive"),1,0)</f>
        <v>0</v>
      </c>
      <c r="CA532" s="2">
        <f>IFERROR(IF(Cases[[#This Row],[Days at Customer]]&gt;MAX(1,Cases[[#This Row],[Days at SAP]]*2),1,0),0)</f>
        <v>1</v>
      </c>
      <c r="CB532" s="2">
        <f>IF(AND(Cases[[#This Row],[Initial Component]]&lt;&gt;"",Cases[[#This Row],[Component]]&lt;&gt;"",Cases[[#This Row],[Initial Component]]&lt;&gt;Cases[[#This Row],[Component]]),1,0)</f>
        <v>0</v>
      </c>
      <c r="CC532" s="2">
        <f>IF(OR(Cases[[#This Row],[Is Reopened]]="X",Cases[[#This Row],[No. of Reopenings]]&gt;0),1,0)</f>
        <v>0</v>
      </c>
      <c r="CD532" s="2">
        <f>IF(Cases[[#This Row],[Confirmation Type]]="Automatic",1,0)</f>
        <v>1</v>
      </c>
      <c r="CE532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33" spans="1:83" x14ac:dyDescent="0.2">
      <c r="A533" s="1" t="s">
        <v>3052</v>
      </c>
      <c r="B533" s="2" t="s">
        <v>3053</v>
      </c>
      <c r="C533" s="2" t="s">
        <v>77</v>
      </c>
      <c r="D533" s="2" t="s">
        <v>78</v>
      </c>
      <c r="E533" s="3">
        <v>1.03</v>
      </c>
      <c r="F533" s="3">
        <v>0.92</v>
      </c>
      <c r="G533" s="2" t="s">
        <v>190</v>
      </c>
      <c r="H533" s="2" t="s">
        <v>191</v>
      </c>
      <c r="I533" s="3" t="s">
        <v>81</v>
      </c>
      <c r="J533" s="3">
        <v>183</v>
      </c>
      <c r="K533" s="2" t="s">
        <v>3054</v>
      </c>
      <c r="L533" s="4">
        <v>46040</v>
      </c>
      <c r="M533" s="4">
        <v>45946</v>
      </c>
      <c r="N533" s="2" t="s">
        <v>2727</v>
      </c>
      <c r="O533" s="2" t="s">
        <v>1805</v>
      </c>
      <c r="P533" s="2" t="s">
        <v>2936</v>
      </c>
      <c r="Q533" s="2" t="s">
        <v>1806</v>
      </c>
      <c r="R533" s="2" t="s">
        <v>87</v>
      </c>
      <c r="S533" s="4">
        <v>45944</v>
      </c>
      <c r="T533" s="2" t="s">
        <v>2727</v>
      </c>
      <c r="U533" s="2" t="s">
        <v>1805</v>
      </c>
      <c r="V533" s="2" t="s">
        <v>2936</v>
      </c>
      <c r="W533" s="2" t="s">
        <v>1806</v>
      </c>
      <c r="X533" s="2" t="s">
        <v>88</v>
      </c>
      <c r="Y533" s="3" t="s">
        <v>89</v>
      </c>
      <c r="Z533" s="3">
        <v>1.96</v>
      </c>
      <c r="AA533" s="2" t="s">
        <v>90</v>
      </c>
      <c r="AB533" s="2" t="s">
        <v>87</v>
      </c>
      <c r="AC533" s="2" t="s">
        <v>77</v>
      </c>
      <c r="AD533" t="str" cm="1">
        <f t="array" ref="AD53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533" s="2" t="s">
        <v>91</v>
      </c>
      <c r="AF533" s="2" t="s">
        <v>92</v>
      </c>
      <c r="AG533" s="2" t="s">
        <v>93</v>
      </c>
      <c r="AH533" s="2" t="s">
        <v>94</v>
      </c>
      <c r="AK533" s="2" t="s">
        <v>3055</v>
      </c>
      <c r="AN533" s="3">
        <v>1</v>
      </c>
      <c r="AO533" s="3">
        <v>1</v>
      </c>
      <c r="AP533" s="3">
        <v>1</v>
      </c>
      <c r="AQ533" s="3">
        <v>1</v>
      </c>
      <c r="AR533" s="3">
        <v>1</v>
      </c>
      <c r="AS533" s="3">
        <v>0</v>
      </c>
      <c r="AT533" s="3">
        <v>0</v>
      </c>
      <c r="AU533" s="3">
        <v>0</v>
      </c>
      <c r="AV533" s="3">
        <v>0</v>
      </c>
      <c r="AW533" s="3">
        <v>1</v>
      </c>
      <c r="AX533" s="3">
        <v>1</v>
      </c>
      <c r="AY533" s="3">
        <v>0</v>
      </c>
      <c r="AZ533" s="3">
        <v>0</v>
      </c>
      <c r="BA533" s="3">
        <v>1</v>
      </c>
      <c r="BB533" s="3">
        <v>0</v>
      </c>
      <c r="BC533" s="3">
        <v>0</v>
      </c>
      <c r="BD533" s="3">
        <v>0</v>
      </c>
      <c r="BE533" s="3">
        <v>0</v>
      </c>
      <c r="BG533" s="2" t="s">
        <v>91</v>
      </c>
      <c r="BH533" s="3">
        <v>3</v>
      </c>
      <c r="BJ533" s="2" t="s">
        <v>96</v>
      </c>
      <c r="BL533" s="2" t="s">
        <v>184</v>
      </c>
      <c r="BM533" s="2" t="s">
        <v>184</v>
      </c>
      <c r="BN533" s="2" t="s">
        <v>124</v>
      </c>
      <c r="BO533" s="2" t="s">
        <v>125</v>
      </c>
      <c r="BP533" s="2" t="s">
        <v>101</v>
      </c>
      <c r="BQ533" s="2" t="s">
        <v>124</v>
      </c>
      <c r="BR533" s="2" t="s">
        <v>126</v>
      </c>
      <c r="BS533" s="2" t="s">
        <v>104</v>
      </c>
      <c r="BT533" s="2" t="s">
        <v>343</v>
      </c>
      <c r="BU533" s="2" t="s">
        <v>344</v>
      </c>
      <c r="BV533" s="2" t="s">
        <v>166</v>
      </c>
      <c r="BW533" s="2" t="s">
        <v>167</v>
      </c>
      <c r="BX533" s="2" t="s">
        <v>91</v>
      </c>
      <c r="BY53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33" s="2">
        <f>IF(AND(Cases[[#This Row],[Priority Level]]&gt;=3,Cases[[#This Row],[System Role]]&lt;&gt;"Productive"),1,0)</f>
        <v>1</v>
      </c>
      <c r="CA533" s="2">
        <f>IFERROR(IF(Cases[[#This Row],[Days at Customer]]&gt;MAX(1,Cases[[#This Row],[Days at SAP]]*2),1,0),0)</f>
        <v>0</v>
      </c>
      <c r="CB533" s="2">
        <f>IF(AND(Cases[[#This Row],[Initial Component]]&lt;&gt;"",Cases[[#This Row],[Component]]&lt;&gt;"",Cases[[#This Row],[Initial Component]]&lt;&gt;Cases[[#This Row],[Component]]),1,0)</f>
        <v>0</v>
      </c>
      <c r="CC533" s="2">
        <f>IF(OR(Cases[[#This Row],[Is Reopened]]="X",Cases[[#This Row],[No. of Reopenings]]&gt;0),1,0)</f>
        <v>0</v>
      </c>
      <c r="CD533" s="2">
        <f>IF(Cases[[#This Row],[Confirmation Type]]="Automatic",1,0)</f>
        <v>0</v>
      </c>
      <c r="CE533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34" spans="1:83" x14ac:dyDescent="0.2">
      <c r="A534" s="1" t="s">
        <v>1050</v>
      </c>
      <c r="B534" s="2" t="s">
        <v>1051</v>
      </c>
      <c r="C534" s="2" t="s">
        <v>203</v>
      </c>
      <c r="D534" s="2" t="s">
        <v>78</v>
      </c>
      <c r="E534" s="3">
        <v>0</v>
      </c>
      <c r="F534" s="3">
        <v>12.55</v>
      </c>
      <c r="G534" s="2" t="s">
        <v>112</v>
      </c>
      <c r="H534" s="2" t="s">
        <v>113</v>
      </c>
      <c r="I534" s="3" t="s">
        <v>114</v>
      </c>
      <c r="J534" s="3">
        <v>58</v>
      </c>
      <c r="K534" s="2" t="s">
        <v>1052</v>
      </c>
      <c r="L534" s="4">
        <v>46103</v>
      </c>
      <c r="M534" s="4">
        <v>46097</v>
      </c>
      <c r="N534" s="2" t="s">
        <v>180</v>
      </c>
      <c r="O534" s="2" t="s">
        <v>181</v>
      </c>
      <c r="P534" s="2" t="s">
        <v>260</v>
      </c>
      <c r="Q534" s="2" t="s">
        <v>86</v>
      </c>
      <c r="R534" s="2" t="s">
        <v>205</v>
      </c>
      <c r="S534" s="4">
        <v>46069</v>
      </c>
      <c r="T534" s="2" t="s">
        <v>677</v>
      </c>
      <c r="U534" s="2" t="s">
        <v>181</v>
      </c>
      <c r="V534" s="2" t="s">
        <v>895</v>
      </c>
      <c r="W534" s="2" t="s">
        <v>86</v>
      </c>
      <c r="X534" s="2" t="s">
        <v>117</v>
      </c>
      <c r="Y534" s="3" t="s">
        <v>118</v>
      </c>
      <c r="Z534" s="3">
        <v>12.55</v>
      </c>
      <c r="AA534" s="2" t="s">
        <v>90</v>
      </c>
      <c r="AB534" s="2" t="s">
        <v>205</v>
      </c>
      <c r="AC534" s="2" t="s">
        <v>203</v>
      </c>
      <c r="AD534" t="str" cm="1">
        <f t="array" ref="AD53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534" s="2" t="s">
        <v>139</v>
      </c>
      <c r="AF534" s="2" t="s">
        <v>92</v>
      </c>
      <c r="AG534" s="2" t="s">
        <v>119</v>
      </c>
      <c r="AH534" s="2" t="s">
        <v>120</v>
      </c>
      <c r="AK534" s="2" t="s">
        <v>1053</v>
      </c>
      <c r="AN534" s="3">
        <v>1</v>
      </c>
      <c r="AO534" s="3">
        <v>1</v>
      </c>
      <c r="AP534" s="3">
        <v>1</v>
      </c>
      <c r="AQ534" s="3">
        <v>1</v>
      </c>
      <c r="AR534" s="3">
        <v>0</v>
      </c>
      <c r="AS534" s="3">
        <v>0</v>
      </c>
      <c r="AT534" s="3">
        <v>1</v>
      </c>
      <c r="AU534" s="3">
        <v>0</v>
      </c>
      <c r="AV534" s="3">
        <v>0</v>
      </c>
      <c r="AW534" s="3">
        <v>1</v>
      </c>
      <c r="AX534" s="3">
        <v>0</v>
      </c>
      <c r="AY534" s="3">
        <v>0</v>
      </c>
      <c r="AZ534" s="3">
        <v>1</v>
      </c>
      <c r="BA534" s="3">
        <v>0</v>
      </c>
      <c r="BB534" s="3">
        <v>0</v>
      </c>
      <c r="BC534" s="3">
        <v>1</v>
      </c>
      <c r="BD534" s="3">
        <v>0</v>
      </c>
      <c r="BE534" s="3">
        <v>0</v>
      </c>
      <c r="BG534" s="2" t="s">
        <v>139</v>
      </c>
      <c r="BH534" s="3">
        <v>2</v>
      </c>
      <c r="BI534" s="2" t="s">
        <v>122</v>
      </c>
      <c r="BJ534" s="2" t="s">
        <v>96</v>
      </c>
      <c r="BL534" s="2" t="s">
        <v>123</v>
      </c>
      <c r="BM534" s="2" t="s">
        <v>123</v>
      </c>
      <c r="BN534" s="2" t="s">
        <v>124</v>
      </c>
      <c r="BO534" s="2" t="s">
        <v>125</v>
      </c>
      <c r="BP534" s="2" t="s">
        <v>101</v>
      </c>
      <c r="BQ534" s="2" t="s">
        <v>124</v>
      </c>
      <c r="BR534" s="2" t="s">
        <v>126</v>
      </c>
      <c r="BS534" s="2" t="s">
        <v>127</v>
      </c>
      <c r="BT534" s="2" t="s">
        <v>207</v>
      </c>
      <c r="BU534" s="2" t="s">
        <v>208</v>
      </c>
      <c r="BV534" s="2" t="s">
        <v>150</v>
      </c>
      <c r="BW534" s="2" t="s">
        <v>151</v>
      </c>
      <c r="BX534" s="2" t="s">
        <v>139</v>
      </c>
      <c r="BY53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34" s="2">
        <f>IF(AND(Cases[[#This Row],[Priority Level]]&gt;=3,Cases[[#This Row],[System Role]]&lt;&gt;"Productive"),1,0)</f>
        <v>0</v>
      </c>
      <c r="CA534" s="2">
        <f>IFERROR(IF(Cases[[#This Row],[Days at Customer]]&gt;MAX(1,Cases[[#This Row],[Days at SAP]]*2),1,0),0)</f>
        <v>1</v>
      </c>
      <c r="CB534" s="2">
        <f>IF(AND(Cases[[#This Row],[Initial Component]]&lt;&gt;"",Cases[[#This Row],[Component]]&lt;&gt;"",Cases[[#This Row],[Initial Component]]&lt;&gt;Cases[[#This Row],[Component]]),1,0)</f>
        <v>0</v>
      </c>
      <c r="CC534" s="2">
        <f>IF(OR(Cases[[#This Row],[Is Reopened]]="X",Cases[[#This Row],[No. of Reopenings]]&gt;0),1,0)</f>
        <v>0</v>
      </c>
      <c r="CD534" s="2">
        <f>IF(Cases[[#This Row],[Confirmation Type]]="Automatic",1,0)</f>
        <v>0</v>
      </c>
      <c r="CE53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35" spans="1:83" x14ac:dyDescent="0.2">
      <c r="A535" s="1" t="s">
        <v>3060</v>
      </c>
      <c r="B535" s="2" t="s">
        <v>3061</v>
      </c>
      <c r="C535" s="2" t="s">
        <v>406</v>
      </c>
      <c r="D535" s="2" t="s">
        <v>78</v>
      </c>
      <c r="E535" s="3">
        <v>0.01</v>
      </c>
      <c r="F535" s="3">
        <v>0</v>
      </c>
      <c r="G535" s="2" t="s">
        <v>133</v>
      </c>
      <c r="H535" s="2" t="s">
        <v>134</v>
      </c>
      <c r="I535" s="3" t="s">
        <v>114</v>
      </c>
      <c r="J535" s="3">
        <v>183</v>
      </c>
      <c r="K535" s="2" t="s">
        <v>3062</v>
      </c>
      <c r="L535" s="4">
        <v>46040</v>
      </c>
      <c r="M535" s="4">
        <v>45944</v>
      </c>
      <c r="N535" s="2" t="s">
        <v>2727</v>
      </c>
      <c r="O535" s="2" t="s">
        <v>1805</v>
      </c>
      <c r="P535" s="2" t="s">
        <v>2936</v>
      </c>
      <c r="Q535" s="2" t="s">
        <v>1806</v>
      </c>
      <c r="R535" s="2" t="s">
        <v>408</v>
      </c>
      <c r="S535" s="4">
        <v>45944</v>
      </c>
      <c r="T535" s="2" t="s">
        <v>2727</v>
      </c>
      <c r="U535" s="2" t="s">
        <v>1805</v>
      </c>
      <c r="V535" s="2" t="s">
        <v>2936</v>
      </c>
      <c r="W535" s="2" t="s">
        <v>1806</v>
      </c>
      <c r="X535" s="2" t="s">
        <v>117</v>
      </c>
      <c r="Y535" s="3" t="s">
        <v>118</v>
      </c>
      <c r="Z535" s="3">
        <v>0.01</v>
      </c>
      <c r="AA535" s="2" t="s">
        <v>90</v>
      </c>
      <c r="AB535" s="2" t="s">
        <v>408</v>
      </c>
      <c r="AC535" s="2" t="s">
        <v>406</v>
      </c>
      <c r="AD535" t="str" cm="1">
        <f t="array" ref="AD53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535" s="2" t="s">
        <v>91</v>
      </c>
      <c r="AF535" s="2" t="s">
        <v>92</v>
      </c>
      <c r="AG535" s="2" t="s">
        <v>119</v>
      </c>
      <c r="AH535" s="2" t="s">
        <v>120</v>
      </c>
      <c r="AK535" s="2" t="s">
        <v>3063</v>
      </c>
      <c r="AN535" s="3">
        <v>1</v>
      </c>
      <c r="AO535" s="3">
        <v>1</v>
      </c>
      <c r="AP535" s="3">
        <v>1</v>
      </c>
      <c r="AQ535" s="3">
        <v>1</v>
      </c>
      <c r="AR535" s="3">
        <v>1</v>
      </c>
      <c r="AS535" s="3">
        <v>0</v>
      </c>
      <c r="AT535" s="3">
        <v>0</v>
      </c>
      <c r="AU535" s="3">
        <v>0</v>
      </c>
      <c r="AV535" s="3">
        <v>0</v>
      </c>
      <c r="AW535" s="3">
        <v>1</v>
      </c>
      <c r="AX535" s="3">
        <v>1</v>
      </c>
      <c r="AY535" s="3">
        <v>0</v>
      </c>
      <c r="AZ535" s="3">
        <v>0</v>
      </c>
      <c r="BA535" s="3">
        <v>1</v>
      </c>
      <c r="BB535" s="3">
        <v>0</v>
      </c>
      <c r="BC535" s="3">
        <v>0</v>
      </c>
      <c r="BD535" s="3">
        <v>0</v>
      </c>
      <c r="BE535" s="3">
        <v>0</v>
      </c>
      <c r="BG535" s="2" t="s">
        <v>91</v>
      </c>
      <c r="BH535" s="3">
        <v>3</v>
      </c>
      <c r="BJ535" s="2" t="s">
        <v>96</v>
      </c>
      <c r="BL535" s="2" t="s">
        <v>123</v>
      </c>
      <c r="BM535" s="2" t="s">
        <v>123</v>
      </c>
      <c r="BN535" s="2" t="s">
        <v>124</v>
      </c>
      <c r="BO535" s="2" t="s">
        <v>125</v>
      </c>
      <c r="BP535" s="2" t="s">
        <v>101</v>
      </c>
      <c r="BQ535" s="2" t="s">
        <v>124</v>
      </c>
      <c r="BR535" s="2" t="s">
        <v>126</v>
      </c>
      <c r="BS535" s="2" t="s">
        <v>127</v>
      </c>
      <c r="BT535" s="2" t="s">
        <v>199</v>
      </c>
      <c r="BU535" s="2" t="s">
        <v>200</v>
      </c>
      <c r="BV535" s="2" t="s">
        <v>166</v>
      </c>
      <c r="BW535" s="2" t="s">
        <v>167</v>
      </c>
      <c r="BX535" s="2" t="s">
        <v>91</v>
      </c>
      <c r="BY53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35" s="2">
        <f>IF(AND(Cases[[#This Row],[Priority Level]]&gt;=3,Cases[[#This Row],[System Role]]&lt;&gt;"Productive"),1,0)</f>
        <v>1</v>
      </c>
      <c r="CA535" s="2">
        <f>IFERROR(IF(Cases[[#This Row],[Days at Customer]]&gt;MAX(1,Cases[[#This Row],[Days at SAP]]*2),1,0),0)</f>
        <v>0</v>
      </c>
      <c r="CB535" s="2">
        <f>IF(AND(Cases[[#This Row],[Initial Component]]&lt;&gt;"",Cases[[#This Row],[Component]]&lt;&gt;"",Cases[[#This Row],[Initial Component]]&lt;&gt;Cases[[#This Row],[Component]]),1,0)</f>
        <v>0</v>
      </c>
      <c r="CC535" s="2">
        <f>IF(OR(Cases[[#This Row],[Is Reopened]]="X",Cases[[#This Row],[No. of Reopenings]]&gt;0),1,0)</f>
        <v>0</v>
      </c>
      <c r="CD535" s="2">
        <f>IF(Cases[[#This Row],[Confirmation Type]]="Automatic",1,0)</f>
        <v>0</v>
      </c>
      <c r="CE535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36" spans="1:83" x14ac:dyDescent="0.2">
      <c r="A536" s="1" t="s">
        <v>3064</v>
      </c>
      <c r="B536" s="2" t="s">
        <v>3065</v>
      </c>
      <c r="C536" s="2" t="s">
        <v>3066</v>
      </c>
      <c r="D536" s="2" t="s">
        <v>238</v>
      </c>
      <c r="E536" s="3">
        <v>3.27</v>
      </c>
      <c r="F536" s="3">
        <v>56.45</v>
      </c>
      <c r="G536" s="2" t="s">
        <v>79</v>
      </c>
      <c r="H536" s="2" t="s">
        <v>80</v>
      </c>
      <c r="I536" s="3" t="s">
        <v>114</v>
      </c>
      <c r="J536" s="3">
        <v>183</v>
      </c>
      <c r="K536" s="2" t="s">
        <v>3067</v>
      </c>
      <c r="L536" s="4">
        <v>46009</v>
      </c>
      <c r="M536" s="4">
        <v>46004</v>
      </c>
      <c r="N536" s="2" t="s">
        <v>1804</v>
      </c>
      <c r="O536" s="2" t="s">
        <v>1805</v>
      </c>
      <c r="P536" s="2" t="s">
        <v>2037</v>
      </c>
      <c r="Q536" s="2" t="s">
        <v>1806</v>
      </c>
      <c r="R536" s="2" t="s">
        <v>3068</v>
      </c>
      <c r="S536" s="4">
        <v>45944</v>
      </c>
      <c r="T536" s="2" t="s">
        <v>2727</v>
      </c>
      <c r="U536" s="2" t="s">
        <v>1805</v>
      </c>
      <c r="V536" s="2" t="s">
        <v>2936</v>
      </c>
      <c r="W536" s="2" t="s">
        <v>1806</v>
      </c>
      <c r="X536" s="2" t="s">
        <v>117</v>
      </c>
      <c r="Y536" s="3" t="s">
        <v>118</v>
      </c>
      <c r="Z536" s="3">
        <v>59.72</v>
      </c>
      <c r="AA536" s="2" t="s">
        <v>90</v>
      </c>
      <c r="AB536" s="2" t="s">
        <v>3068</v>
      </c>
      <c r="AC536" s="2" t="s">
        <v>3066</v>
      </c>
      <c r="AD536" t="str" cm="1">
        <f t="array" ref="AD53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536" s="2" t="s">
        <v>91</v>
      </c>
      <c r="AF536" s="2" t="s">
        <v>92</v>
      </c>
      <c r="AG536" s="2" t="s">
        <v>119</v>
      </c>
      <c r="AH536" s="2" t="s">
        <v>120</v>
      </c>
      <c r="AK536" s="2" t="s">
        <v>3069</v>
      </c>
      <c r="AN536" s="3">
        <v>1</v>
      </c>
      <c r="AO536" s="3">
        <v>1</v>
      </c>
      <c r="AP536" s="3">
        <v>1</v>
      </c>
      <c r="AQ536" s="3">
        <v>1</v>
      </c>
      <c r="AR536" s="3">
        <v>1</v>
      </c>
      <c r="AS536" s="3">
        <v>0</v>
      </c>
      <c r="AT536" s="3">
        <v>0</v>
      </c>
      <c r="AU536" s="3">
        <v>0</v>
      </c>
      <c r="AV536" s="3">
        <v>1</v>
      </c>
      <c r="AW536" s="3">
        <v>0</v>
      </c>
      <c r="AX536" s="3">
        <v>1</v>
      </c>
      <c r="AY536" s="3">
        <v>0</v>
      </c>
      <c r="AZ536" s="3">
        <v>0</v>
      </c>
      <c r="BA536" s="3">
        <v>0</v>
      </c>
      <c r="BB536" s="3">
        <v>0</v>
      </c>
      <c r="BC536" s="3">
        <v>1</v>
      </c>
      <c r="BD536" s="3">
        <v>0</v>
      </c>
      <c r="BE536" s="3">
        <v>0</v>
      </c>
      <c r="BG536" s="2" t="s">
        <v>91</v>
      </c>
      <c r="BH536" s="3">
        <v>3</v>
      </c>
      <c r="BJ536" s="2" t="s">
        <v>96</v>
      </c>
      <c r="BL536" s="2" t="s">
        <v>123</v>
      </c>
      <c r="BM536" s="2" t="s">
        <v>123</v>
      </c>
      <c r="BN536" s="2" t="s">
        <v>124</v>
      </c>
      <c r="BO536" s="2" t="s">
        <v>125</v>
      </c>
      <c r="BP536" s="2" t="s">
        <v>242</v>
      </c>
      <c r="BQ536" s="2" t="s">
        <v>124</v>
      </c>
      <c r="BR536" s="2" t="s">
        <v>126</v>
      </c>
      <c r="BS536" s="2" t="s">
        <v>127</v>
      </c>
      <c r="BT536" s="2" t="s">
        <v>174</v>
      </c>
      <c r="BU536" s="2" t="s">
        <v>175</v>
      </c>
      <c r="BV536" s="2" t="s">
        <v>150</v>
      </c>
      <c r="BW536" s="2" t="s">
        <v>151</v>
      </c>
      <c r="BX536" s="2" t="s">
        <v>91</v>
      </c>
      <c r="BY53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36" s="2">
        <f>IF(AND(Cases[[#This Row],[Priority Level]]&gt;=3,Cases[[#This Row],[System Role]]&lt;&gt;"Productive"),1,0)</f>
        <v>0</v>
      </c>
      <c r="CA536" s="2">
        <f>IFERROR(IF(Cases[[#This Row],[Days at Customer]]&gt;MAX(1,Cases[[#This Row],[Days at SAP]]*2),1,0),0)</f>
        <v>1</v>
      </c>
      <c r="CB536" s="2">
        <f>IF(AND(Cases[[#This Row],[Initial Component]]&lt;&gt;"",Cases[[#This Row],[Component]]&lt;&gt;"",Cases[[#This Row],[Initial Component]]&lt;&gt;Cases[[#This Row],[Component]]),1,0)</f>
        <v>0</v>
      </c>
      <c r="CC536" s="2">
        <f>IF(OR(Cases[[#This Row],[Is Reopened]]="X",Cases[[#This Row],[No. of Reopenings]]&gt;0),1,0)</f>
        <v>0</v>
      </c>
      <c r="CD536" s="2">
        <f>IF(Cases[[#This Row],[Confirmation Type]]="Automatic",1,0)</f>
        <v>1</v>
      </c>
      <c r="CE536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37" spans="1:83" x14ac:dyDescent="0.2">
      <c r="A537" s="1" t="s">
        <v>3070</v>
      </c>
      <c r="B537" s="2" t="s">
        <v>3071</v>
      </c>
      <c r="C537" s="2" t="s">
        <v>1590</v>
      </c>
      <c r="D537" s="2" t="s">
        <v>238</v>
      </c>
      <c r="E537" s="3">
        <v>2.4700000000000002</v>
      </c>
      <c r="F537" s="3">
        <v>26.79</v>
      </c>
      <c r="G537" s="2" t="s">
        <v>79</v>
      </c>
      <c r="H537" s="2" t="s">
        <v>178</v>
      </c>
      <c r="I537" s="3" t="s">
        <v>114</v>
      </c>
      <c r="J537" s="3">
        <v>183</v>
      </c>
      <c r="K537" s="2" t="s">
        <v>3072</v>
      </c>
      <c r="L537" s="4">
        <v>46065</v>
      </c>
      <c r="M537" s="4">
        <v>45974</v>
      </c>
      <c r="N537" s="2" t="s">
        <v>2274</v>
      </c>
      <c r="O537" s="2" t="s">
        <v>1805</v>
      </c>
      <c r="P537" s="2" t="s">
        <v>2467</v>
      </c>
      <c r="Q537" s="2" t="s">
        <v>1806</v>
      </c>
      <c r="R537" s="2" t="s">
        <v>1592</v>
      </c>
      <c r="S537" s="4">
        <v>45944</v>
      </c>
      <c r="T537" s="2" t="s">
        <v>2727</v>
      </c>
      <c r="U537" s="2" t="s">
        <v>1805</v>
      </c>
      <c r="V537" s="2" t="s">
        <v>2936</v>
      </c>
      <c r="W537" s="2" t="s">
        <v>1806</v>
      </c>
      <c r="X537" s="2" t="s">
        <v>117</v>
      </c>
      <c r="Y537" s="3" t="s">
        <v>118</v>
      </c>
      <c r="Z537" s="3">
        <v>29.26</v>
      </c>
      <c r="AA537" s="2" t="s">
        <v>90</v>
      </c>
      <c r="AB537" s="2" t="s">
        <v>1592</v>
      </c>
      <c r="AC537" s="2" t="s">
        <v>1590</v>
      </c>
      <c r="AD537" t="str" cm="1">
        <f t="array" ref="AD53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537" s="2" t="s">
        <v>139</v>
      </c>
      <c r="AF537" s="2" t="s">
        <v>92</v>
      </c>
      <c r="AG537" s="2" t="s">
        <v>119</v>
      </c>
      <c r="AH537" s="2" t="s">
        <v>120</v>
      </c>
      <c r="AK537" s="2" t="s">
        <v>3073</v>
      </c>
      <c r="AN537" s="3">
        <v>1</v>
      </c>
      <c r="AO537" s="3">
        <v>1</v>
      </c>
      <c r="AP537" s="3">
        <v>1</v>
      </c>
      <c r="AQ537" s="3">
        <v>1</v>
      </c>
      <c r="AR537" s="3">
        <v>0</v>
      </c>
      <c r="AS537" s="3">
        <v>0</v>
      </c>
      <c r="AT537" s="3">
        <v>1</v>
      </c>
      <c r="AU537" s="3">
        <v>0</v>
      </c>
      <c r="AV537" s="3">
        <v>1</v>
      </c>
      <c r="AW537" s="3">
        <v>0</v>
      </c>
      <c r="AX537" s="3">
        <v>0</v>
      </c>
      <c r="AY537" s="3">
        <v>0</v>
      </c>
      <c r="AZ537" s="3">
        <v>1</v>
      </c>
      <c r="BA537" s="3">
        <v>1</v>
      </c>
      <c r="BB537" s="3">
        <v>0</v>
      </c>
      <c r="BC537" s="3">
        <v>0</v>
      </c>
      <c r="BD537" s="3">
        <v>0</v>
      </c>
      <c r="BE537" s="3">
        <v>0</v>
      </c>
      <c r="BG537" s="2" t="s">
        <v>139</v>
      </c>
      <c r="BH537" s="3">
        <v>2</v>
      </c>
      <c r="BJ537" s="2" t="s">
        <v>96</v>
      </c>
      <c r="BL537" s="2" t="s">
        <v>123</v>
      </c>
      <c r="BM537" s="2" t="s">
        <v>123</v>
      </c>
      <c r="BN537" s="2" t="s">
        <v>124</v>
      </c>
      <c r="BO537" s="2" t="s">
        <v>125</v>
      </c>
      <c r="BP537" s="2" t="s">
        <v>242</v>
      </c>
      <c r="BQ537" s="2" t="s">
        <v>124</v>
      </c>
      <c r="BR537" s="2" t="s">
        <v>126</v>
      </c>
      <c r="BS537" s="2" t="s">
        <v>127</v>
      </c>
      <c r="BT537" s="2" t="s">
        <v>199</v>
      </c>
      <c r="BU537" s="2" t="s">
        <v>200</v>
      </c>
      <c r="BV537" s="2" t="s">
        <v>166</v>
      </c>
      <c r="BW537" s="2" t="s">
        <v>167</v>
      </c>
      <c r="BX537" s="2" t="s">
        <v>139</v>
      </c>
      <c r="BY53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37" s="2">
        <f>IF(AND(Cases[[#This Row],[Priority Level]]&gt;=3,Cases[[#This Row],[System Role]]&lt;&gt;"Productive"),1,0)</f>
        <v>0</v>
      </c>
      <c r="CA537" s="2">
        <f>IFERROR(IF(Cases[[#This Row],[Days at Customer]]&gt;MAX(1,Cases[[#This Row],[Days at SAP]]*2),1,0),0)</f>
        <v>1</v>
      </c>
      <c r="CB537" s="2">
        <f>IF(AND(Cases[[#This Row],[Initial Component]]&lt;&gt;"",Cases[[#This Row],[Component]]&lt;&gt;"",Cases[[#This Row],[Initial Component]]&lt;&gt;Cases[[#This Row],[Component]]),1,0)</f>
        <v>0</v>
      </c>
      <c r="CC537" s="2">
        <f>IF(OR(Cases[[#This Row],[Is Reopened]]="X",Cases[[#This Row],[No. of Reopenings]]&gt;0),1,0)</f>
        <v>0</v>
      </c>
      <c r="CD537" s="2">
        <f>IF(Cases[[#This Row],[Confirmation Type]]="Automatic",1,0)</f>
        <v>1</v>
      </c>
      <c r="CE53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38" spans="1:83" x14ac:dyDescent="0.2">
      <c r="A538" s="1" t="s">
        <v>3074</v>
      </c>
      <c r="B538" s="2" t="s">
        <v>3075</v>
      </c>
      <c r="C538" s="2" t="s">
        <v>891</v>
      </c>
      <c r="D538" s="2" t="s">
        <v>78</v>
      </c>
      <c r="E538" s="3">
        <v>1.33</v>
      </c>
      <c r="F538" s="3">
        <v>1.88</v>
      </c>
      <c r="G538" s="2" t="s">
        <v>79</v>
      </c>
      <c r="H538" s="2" t="s">
        <v>80</v>
      </c>
      <c r="I538" s="3" t="s">
        <v>114</v>
      </c>
      <c r="J538" s="3">
        <v>183</v>
      </c>
      <c r="K538" s="2" t="s">
        <v>3076</v>
      </c>
      <c r="L538" s="4">
        <v>46040</v>
      </c>
      <c r="M538" s="4">
        <v>45947</v>
      </c>
      <c r="N538" s="2" t="s">
        <v>2727</v>
      </c>
      <c r="O538" s="2" t="s">
        <v>1805</v>
      </c>
      <c r="P538" s="2" t="s">
        <v>2936</v>
      </c>
      <c r="Q538" s="2" t="s">
        <v>1806</v>
      </c>
      <c r="R538" s="2" t="s">
        <v>894</v>
      </c>
      <c r="S538" s="4">
        <v>45944</v>
      </c>
      <c r="T538" s="2" t="s">
        <v>2727</v>
      </c>
      <c r="U538" s="2" t="s">
        <v>1805</v>
      </c>
      <c r="V538" s="2" t="s">
        <v>2936</v>
      </c>
      <c r="W538" s="2" t="s">
        <v>1806</v>
      </c>
      <c r="X538" s="2" t="s">
        <v>117</v>
      </c>
      <c r="Y538" s="3" t="s">
        <v>118</v>
      </c>
      <c r="Z538" s="3">
        <v>3.2</v>
      </c>
      <c r="AA538" s="2" t="s">
        <v>138</v>
      </c>
      <c r="AB538" s="2" t="s">
        <v>2678</v>
      </c>
      <c r="AC538" s="2" t="s">
        <v>2679</v>
      </c>
      <c r="AD538" t="str" cm="1">
        <f t="array" ref="AD53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538" s="2" t="s">
        <v>158</v>
      </c>
      <c r="AF538" s="2" t="s">
        <v>92</v>
      </c>
      <c r="AG538" s="2" t="s">
        <v>274</v>
      </c>
      <c r="AH538" s="2" t="s">
        <v>275</v>
      </c>
      <c r="AK538" s="2" t="s">
        <v>3077</v>
      </c>
      <c r="AN538" s="3">
        <v>1</v>
      </c>
      <c r="AO538" s="3">
        <v>1</v>
      </c>
      <c r="AP538" s="3">
        <v>1</v>
      </c>
      <c r="AQ538" s="3">
        <v>1</v>
      </c>
      <c r="AR538" s="3">
        <v>0</v>
      </c>
      <c r="AS538" s="3">
        <v>1</v>
      </c>
      <c r="AT538" s="3">
        <v>0</v>
      </c>
      <c r="AU538" s="3">
        <v>0</v>
      </c>
      <c r="AV538" s="3">
        <v>0</v>
      </c>
      <c r="AW538" s="3">
        <v>1</v>
      </c>
      <c r="AX538" s="3">
        <v>0</v>
      </c>
      <c r="AY538" s="3">
        <v>1</v>
      </c>
      <c r="AZ538" s="3">
        <v>0</v>
      </c>
      <c r="BA538" s="3">
        <v>0</v>
      </c>
      <c r="BB538" s="3">
        <v>0</v>
      </c>
      <c r="BC538" s="3">
        <v>1</v>
      </c>
      <c r="BD538" s="3">
        <v>0</v>
      </c>
      <c r="BE538" s="3">
        <v>0</v>
      </c>
      <c r="BG538" s="2" t="s">
        <v>158</v>
      </c>
      <c r="BH538" s="3">
        <v>1</v>
      </c>
      <c r="BJ538" s="2" t="s">
        <v>96</v>
      </c>
      <c r="BL538" s="2" t="s">
        <v>277</v>
      </c>
      <c r="BM538" s="2" t="s">
        <v>278</v>
      </c>
      <c r="BN538" s="2" t="s">
        <v>279</v>
      </c>
      <c r="BO538" s="2" t="s">
        <v>280</v>
      </c>
      <c r="BP538" s="2" t="s">
        <v>101</v>
      </c>
      <c r="BQ538" s="2" t="s">
        <v>277</v>
      </c>
      <c r="BR538" s="2" t="s">
        <v>281</v>
      </c>
      <c r="BS538" s="2" t="s">
        <v>147</v>
      </c>
      <c r="BT538" s="2" t="s">
        <v>148</v>
      </c>
      <c r="BU538" s="2" t="s">
        <v>282</v>
      </c>
      <c r="BV538" s="2" t="s">
        <v>150</v>
      </c>
      <c r="BW538" s="2" t="s">
        <v>151</v>
      </c>
      <c r="BX538" s="2" t="s">
        <v>158</v>
      </c>
      <c r="BY53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38" s="2">
        <f>IF(AND(Cases[[#This Row],[Priority Level]]&gt;=3,Cases[[#This Row],[System Role]]&lt;&gt;"Productive"),1,0)</f>
        <v>0</v>
      </c>
      <c r="CA538" s="2">
        <f>IFERROR(IF(Cases[[#This Row],[Days at Customer]]&gt;MAX(1,Cases[[#This Row],[Days at SAP]]*2),1,0),0)</f>
        <v>0</v>
      </c>
      <c r="CB538" s="2">
        <f>IF(AND(Cases[[#This Row],[Initial Component]]&lt;&gt;"",Cases[[#This Row],[Component]]&lt;&gt;"",Cases[[#This Row],[Initial Component]]&lt;&gt;Cases[[#This Row],[Component]]),1,0)</f>
        <v>1</v>
      </c>
      <c r="CC538" s="2">
        <f>IF(OR(Cases[[#This Row],[Is Reopened]]="X",Cases[[#This Row],[No. of Reopenings]]&gt;0),1,0)</f>
        <v>0</v>
      </c>
      <c r="CD538" s="2">
        <f>IF(Cases[[#This Row],[Confirmation Type]]="Automatic",1,0)</f>
        <v>0</v>
      </c>
      <c r="CE53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39" spans="1:83" x14ac:dyDescent="0.2">
      <c r="A539" s="1" t="s">
        <v>3078</v>
      </c>
      <c r="B539" s="2" t="s">
        <v>3079</v>
      </c>
      <c r="C539" s="2" t="s">
        <v>154</v>
      </c>
      <c r="D539" s="2" t="s">
        <v>238</v>
      </c>
      <c r="E539" s="3">
        <v>2.4500000000000002</v>
      </c>
      <c r="F539" s="3">
        <v>25.19</v>
      </c>
      <c r="G539" s="2" t="s">
        <v>79</v>
      </c>
      <c r="H539" s="2" t="s">
        <v>80</v>
      </c>
      <c r="I539" s="3" t="s">
        <v>114</v>
      </c>
      <c r="J539" s="3">
        <v>183</v>
      </c>
      <c r="K539" s="2" t="s">
        <v>3080</v>
      </c>
      <c r="L539" s="4">
        <v>46064</v>
      </c>
      <c r="M539" s="4">
        <v>45972</v>
      </c>
      <c r="N539" s="2" t="s">
        <v>2274</v>
      </c>
      <c r="O539" s="2" t="s">
        <v>1805</v>
      </c>
      <c r="P539" s="2" t="s">
        <v>2467</v>
      </c>
      <c r="Q539" s="2" t="s">
        <v>1806</v>
      </c>
      <c r="R539" s="2" t="s">
        <v>157</v>
      </c>
      <c r="S539" s="4">
        <v>45944</v>
      </c>
      <c r="T539" s="2" t="s">
        <v>2727</v>
      </c>
      <c r="U539" s="2" t="s">
        <v>1805</v>
      </c>
      <c r="V539" s="2" t="s">
        <v>2936</v>
      </c>
      <c r="W539" s="2" t="s">
        <v>1806</v>
      </c>
      <c r="X539" s="2" t="s">
        <v>117</v>
      </c>
      <c r="Y539" s="3" t="s">
        <v>118</v>
      </c>
      <c r="Z539" s="3">
        <v>27.63</v>
      </c>
      <c r="AA539" s="2" t="s">
        <v>90</v>
      </c>
      <c r="AB539" s="2" t="s">
        <v>157</v>
      </c>
      <c r="AC539" s="2" t="s">
        <v>154</v>
      </c>
      <c r="AD539" t="str" cm="1">
        <f t="array" ref="AD53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539" s="2" t="s">
        <v>91</v>
      </c>
      <c r="AF539" s="2" t="s">
        <v>92</v>
      </c>
      <c r="AG539" s="2" t="s">
        <v>159</v>
      </c>
      <c r="AH539" s="2" t="s">
        <v>160</v>
      </c>
      <c r="AK539" s="2" t="s">
        <v>3081</v>
      </c>
      <c r="AN539" s="3">
        <v>1</v>
      </c>
      <c r="AO539" s="3">
        <v>1</v>
      </c>
      <c r="AP539" s="3">
        <v>1</v>
      </c>
      <c r="AQ539" s="3">
        <v>1</v>
      </c>
      <c r="AR539" s="3">
        <v>1</v>
      </c>
      <c r="AS539" s="3">
        <v>0</v>
      </c>
      <c r="AT539" s="3">
        <v>0</v>
      </c>
      <c r="AU539" s="3">
        <v>0</v>
      </c>
      <c r="AV539" s="3">
        <v>1</v>
      </c>
      <c r="AW539" s="3">
        <v>0</v>
      </c>
      <c r="AX539" s="3">
        <v>1</v>
      </c>
      <c r="AY539" s="3">
        <v>0</v>
      </c>
      <c r="AZ539" s="3">
        <v>0</v>
      </c>
      <c r="BA539" s="3">
        <v>0</v>
      </c>
      <c r="BB539" s="3">
        <v>0</v>
      </c>
      <c r="BC539" s="3">
        <v>1</v>
      </c>
      <c r="BD539" s="3">
        <v>0</v>
      </c>
      <c r="BE539" s="3">
        <v>0</v>
      </c>
      <c r="BG539" s="2" t="s">
        <v>91</v>
      </c>
      <c r="BH539" s="3">
        <v>3</v>
      </c>
      <c r="BJ539" s="2" t="s">
        <v>96</v>
      </c>
      <c r="BL539" s="2" t="s">
        <v>162</v>
      </c>
      <c r="BM539" s="2" t="s">
        <v>163</v>
      </c>
      <c r="BN539" s="2" t="s">
        <v>99</v>
      </c>
      <c r="BO539" s="2" t="s">
        <v>100</v>
      </c>
      <c r="BP539" s="2" t="s">
        <v>242</v>
      </c>
      <c r="BQ539" s="2" t="s">
        <v>102</v>
      </c>
      <c r="BR539" s="2" t="s">
        <v>103</v>
      </c>
      <c r="BS539" s="2" t="s">
        <v>127</v>
      </c>
      <c r="BT539" s="2" t="s">
        <v>398</v>
      </c>
      <c r="BU539" s="2" t="s">
        <v>399</v>
      </c>
      <c r="BV539" s="2" t="s">
        <v>150</v>
      </c>
      <c r="BW539" s="2" t="s">
        <v>151</v>
      </c>
      <c r="BX539" s="2" t="s">
        <v>91</v>
      </c>
      <c r="BY53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39" s="2">
        <f>IF(AND(Cases[[#This Row],[Priority Level]]&gt;=3,Cases[[#This Row],[System Role]]&lt;&gt;"Productive"),1,0)</f>
        <v>0</v>
      </c>
      <c r="CA539" s="2">
        <f>IFERROR(IF(Cases[[#This Row],[Days at Customer]]&gt;MAX(1,Cases[[#This Row],[Days at SAP]]*2),1,0),0)</f>
        <v>1</v>
      </c>
      <c r="CB539" s="2">
        <f>IF(AND(Cases[[#This Row],[Initial Component]]&lt;&gt;"",Cases[[#This Row],[Component]]&lt;&gt;"",Cases[[#This Row],[Initial Component]]&lt;&gt;Cases[[#This Row],[Component]]),1,0)</f>
        <v>0</v>
      </c>
      <c r="CC539" s="2">
        <f>IF(OR(Cases[[#This Row],[Is Reopened]]="X",Cases[[#This Row],[No. of Reopenings]]&gt;0),1,0)</f>
        <v>0</v>
      </c>
      <c r="CD539" s="2">
        <f>IF(Cases[[#This Row],[Confirmation Type]]="Automatic",1,0)</f>
        <v>1</v>
      </c>
      <c r="CE539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40" spans="1:83" x14ac:dyDescent="0.2">
      <c r="A540" s="1" t="s">
        <v>3082</v>
      </c>
      <c r="B540" s="2" t="s">
        <v>3083</v>
      </c>
      <c r="C540" s="2" t="s">
        <v>2164</v>
      </c>
      <c r="D540" s="2" t="s">
        <v>238</v>
      </c>
      <c r="E540" s="3">
        <v>14.2</v>
      </c>
      <c r="F540" s="3">
        <v>24.41</v>
      </c>
      <c r="G540" s="2" t="s">
        <v>79</v>
      </c>
      <c r="H540" s="2" t="s">
        <v>178</v>
      </c>
      <c r="I540" s="3" t="s">
        <v>114</v>
      </c>
      <c r="J540" s="3">
        <v>183</v>
      </c>
      <c r="K540" s="2" t="s">
        <v>3084</v>
      </c>
      <c r="L540" s="4">
        <v>46009</v>
      </c>
      <c r="M540" s="4">
        <v>45983</v>
      </c>
      <c r="N540" s="2" t="s">
        <v>2274</v>
      </c>
      <c r="O540" s="2" t="s">
        <v>1805</v>
      </c>
      <c r="P540" s="2" t="s">
        <v>2404</v>
      </c>
      <c r="Q540" s="2" t="s">
        <v>1806</v>
      </c>
      <c r="R540" s="2" t="s">
        <v>2163</v>
      </c>
      <c r="S540" s="4">
        <v>45944</v>
      </c>
      <c r="T540" s="2" t="s">
        <v>2727</v>
      </c>
      <c r="U540" s="2" t="s">
        <v>1805</v>
      </c>
      <c r="V540" s="2" t="s">
        <v>2936</v>
      </c>
      <c r="W540" s="2" t="s">
        <v>1806</v>
      </c>
      <c r="X540" s="2" t="s">
        <v>117</v>
      </c>
      <c r="Y540" s="3" t="s">
        <v>118</v>
      </c>
      <c r="Z540" s="3">
        <v>38.61</v>
      </c>
      <c r="AA540" s="2" t="s">
        <v>90</v>
      </c>
      <c r="AB540" s="2" t="s">
        <v>1152</v>
      </c>
      <c r="AC540" s="2" t="s">
        <v>1150</v>
      </c>
      <c r="AD540" t="str" cm="1">
        <f t="array" ref="AD54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540" s="2" t="s">
        <v>139</v>
      </c>
      <c r="AF540" s="2" t="s">
        <v>92</v>
      </c>
      <c r="AG540" s="2" t="s">
        <v>119</v>
      </c>
      <c r="AH540" s="2" t="s">
        <v>120</v>
      </c>
      <c r="AK540" s="2" t="s">
        <v>3085</v>
      </c>
      <c r="AN540" s="3">
        <v>1</v>
      </c>
      <c r="AO540" s="3">
        <v>1</v>
      </c>
      <c r="AP540" s="3">
        <v>1</v>
      </c>
      <c r="AQ540" s="3">
        <v>1</v>
      </c>
      <c r="AR540" s="3">
        <v>1</v>
      </c>
      <c r="AS540" s="3">
        <v>0</v>
      </c>
      <c r="AT540" s="3">
        <v>0</v>
      </c>
      <c r="AU540" s="3">
        <v>0</v>
      </c>
      <c r="AV540" s="3">
        <v>1</v>
      </c>
      <c r="AW540" s="3">
        <v>0</v>
      </c>
      <c r="AX540" s="3">
        <v>1</v>
      </c>
      <c r="AY540" s="3">
        <v>0</v>
      </c>
      <c r="AZ540" s="3">
        <v>0</v>
      </c>
      <c r="BA540" s="3">
        <v>1</v>
      </c>
      <c r="BB540" s="3">
        <v>0</v>
      </c>
      <c r="BC540" s="3">
        <v>0</v>
      </c>
      <c r="BD540" s="3">
        <v>0</v>
      </c>
      <c r="BE540" s="3">
        <v>0</v>
      </c>
      <c r="BG540" s="2" t="s">
        <v>91</v>
      </c>
      <c r="BH540" s="3">
        <v>3</v>
      </c>
      <c r="BJ540" s="2" t="s">
        <v>96</v>
      </c>
      <c r="BL540" s="2" t="s">
        <v>123</v>
      </c>
      <c r="BM540" s="2" t="s">
        <v>123</v>
      </c>
      <c r="BN540" s="2" t="s">
        <v>124</v>
      </c>
      <c r="BO540" s="2" t="s">
        <v>125</v>
      </c>
      <c r="BP540" s="2" t="s">
        <v>242</v>
      </c>
      <c r="BQ540" s="2" t="s">
        <v>124</v>
      </c>
      <c r="BR540" s="2" t="s">
        <v>126</v>
      </c>
      <c r="BS540" s="2" t="s">
        <v>127</v>
      </c>
      <c r="BT540" s="2" t="s">
        <v>199</v>
      </c>
      <c r="BU540" s="2" t="s">
        <v>200</v>
      </c>
      <c r="BV540" s="2" t="s">
        <v>166</v>
      </c>
      <c r="BW540" s="2" t="s">
        <v>167</v>
      </c>
      <c r="BX540" s="2" t="s">
        <v>91</v>
      </c>
      <c r="BY54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40" s="2">
        <f>IF(AND(Cases[[#This Row],[Priority Level]]&gt;=3,Cases[[#This Row],[System Role]]&lt;&gt;"Productive"),1,0)</f>
        <v>1</v>
      </c>
      <c r="CA540" s="2">
        <f>IFERROR(IF(Cases[[#This Row],[Days at Customer]]&gt;MAX(1,Cases[[#This Row],[Days at SAP]]*2),1,0),0)</f>
        <v>0</v>
      </c>
      <c r="CB540" s="2">
        <f>IF(AND(Cases[[#This Row],[Initial Component]]&lt;&gt;"",Cases[[#This Row],[Component]]&lt;&gt;"",Cases[[#This Row],[Initial Component]]&lt;&gt;Cases[[#This Row],[Component]]),1,0)</f>
        <v>1</v>
      </c>
      <c r="CC540" s="2">
        <f>IF(OR(Cases[[#This Row],[Is Reopened]]="X",Cases[[#This Row],[No. of Reopenings]]&gt;0),1,0)</f>
        <v>0</v>
      </c>
      <c r="CD540" s="2">
        <f>IF(Cases[[#This Row],[Confirmation Type]]="Automatic",1,0)</f>
        <v>1</v>
      </c>
      <c r="CE540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541" spans="1:83" x14ac:dyDescent="0.2">
      <c r="A541" s="1" t="s">
        <v>3086</v>
      </c>
      <c r="B541" s="2" t="s">
        <v>3087</v>
      </c>
      <c r="C541" s="2" t="s">
        <v>77</v>
      </c>
      <c r="D541" s="2" t="s">
        <v>78</v>
      </c>
      <c r="E541" s="3">
        <v>0.16</v>
      </c>
      <c r="F541" s="3">
        <v>7.8</v>
      </c>
      <c r="G541" s="2" t="s">
        <v>79</v>
      </c>
      <c r="H541" s="2" t="s">
        <v>178</v>
      </c>
      <c r="I541" s="3" t="s">
        <v>81</v>
      </c>
      <c r="J541" s="3">
        <v>184</v>
      </c>
      <c r="K541" s="2" t="s">
        <v>3088</v>
      </c>
      <c r="L541" s="4">
        <v>46047</v>
      </c>
      <c r="M541" s="4">
        <v>45951</v>
      </c>
      <c r="N541" s="2" t="s">
        <v>2727</v>
      </c>
      <c r="O541" s="2" t="s">
        <v>1805</v>
      </c>
      <c r="P541" s="2" t="s">
        <v>2887</v>
      </c>
      <c r="Q541" s="2" t="s">
        <v>1806</v>
      </c>
      <c r="R541" s="2" t="s">
        <v>87</v>
      </c>
      <c r="S541" s="4">
        <v>45943</v>
      </c>
      <c r="T541" s="2" t="s">
        <v>2727</v>
      </c>
      <c r="U541" s="2" t="s">
        <v>1805</v>
      </c>
      <c r="V541" s="2" t="s">
        <v>2936</v>
      </c>
      <c r="W541" s="2" t="s">
        <v>1806</v>
      </c>
      <c r="X541" s="2" t="s">
        <v>88</v>
      </c>
      <c r="Y541" s="3" t="s">
        <v>89</v>
      </c>
      <c r="Z541" s="3">
        <v>7.97</v>
      </c>
      <c r="AA541" s="2" t="s">
        <v>90</v>
      </c>
      <c r="AB541" s="2" t="s">
        <v>87</v>
      </c>
      <c r="AC541" s="2" t="s">
        <v>77</v>
      </c>
      <c r="AD541" t="str" cm="1">
        <f t="array" ref="AD54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541" s="2" t="s">
        <v>91</v>
      </c>
      <c r="AF541" s="2" t="s">
        <v>92</v>
      </c>
      <c r="AG541" s="2" t="s">
        <v>93</v>
      </c>
      <c r="AH541" s="2" t="s">
        <v>94</v>
      </c>
      <c r="AK541" s="2" t="s">
        <v>3089</v>
      </c>
      <c r="AN541" s="3">
        <v>1</v>
      </c>
      <c r="AO541" s="3">
        <v>1</v>
      </c>
      <c r="AP541" s="3">
        <v>1</v>
      </c>
      <c r="AQ541" s="3">
        <v>1</v>
      </c>
      <c r="AR541" s="3">
        <v>1</v>
      </c>
      <c r="AS541" s="3">
        <v>0</v>
      </c>
      <c r="AT541" s="3">
        <v>0</v>
      </c>
      <c r="AU541" s="3">
        <v>0</v>
      </c>
      <c r="AV541" s="3">
        <v>0</v>
      </c>
      <c r="AW541" s="3">
        <v>1</v>
      </c>
      <c r="AX541" s="3">
        <v>1</v>
      </c>
      <c r="AY541" s="3">
        <v>0</v>
      </c>
      <c r="AZ541" s="3">
        <v>0</v>
      </c>
      <c r="BA541" s="3">
        <v>1</v>
      </c>
      <c r="BB541" s="3">
        <v>0</v>
      </c>
      <c r="BC541" s="3">
        <v>0</v>
      </c>
      <c r="BD541" s="3">
        <v>0</v>
      </c>
      <c r="BE541" s="3">
        <v>0</v>
      </c>
      <c r="BG541" s="2" t="s">
        <v>91</v>
      </c>
      <c r="BH541" s="3">
        <v>3</v>
      </c>
      <c r="BJ541" s="2" t="s">
        <v>96</v>
      </c>
      <c r="BL541" s="2" t="s">
        <v>184</v>
      </c>
      <c r="BM541" s="2" t="s">
        <v>184</v>
      </c>
      <c r="BN541" s="2" t="s">
        <v>124</v>
      </c>
      <c r="BO541" s="2" t="s">
        <v>125</v>
      </c>
      <c r="BP541" s="2" t="s">
        <v>101</v>
      </c>
      <c r="BQ541" s="2" t="s">
        <v>124</v>
      </c>
      <c r="BR541" s="2" t="s">
        <v>126</v>
      </c>
      <c r="BS541" s="2" t="s">
        <v>104</v>
      </c>
      <c r="BT541" s="2" t="s">
        <v>343</v>
      </c>
      <c r="BU541" s="2" t="s">
        <v>344</v>
      </c>
      <c r="BV541" s="2" t="s">
        <v>166</v>
      </c>
      <c r="BW541" s="2" t="s">
        <v>167</v>
      </c>
      <c r="BX541" s="2" t="s">
        <v>91</v>
      </c>
      <c r="BY54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41" s="2">
        <f>IF(AND(Cases[[#This Row],[Priority Level]]&gt;=3,Cases[[#This Row],[System Role]]&lt;&gt;"Productive"),1,0)</f>
        <v>1</v>
      </c>
      <c r="CA541" s="2">
        <f>IFERROR(IF(Cases[[#This Row],[Days at Customer]]&gt;MAX(1,Cases[[#This Row],[Days at SAP]]*2),1,0),0)</f>
        <v>1</v>
      </c>
      <c r="CB541" s="2">
        <f>IF(AND(Cases[[#This Row],[Initial Component]]&lt;&gt;"",Cases[[#This Row],[Component]]&lt;&gt;"",Cases[[#This Row],[Initial Component]]&lt;&gt;Cases[[#This Row],[Component]]),1,0)</f>
        <v>0</v>
      </c>
      <c r="CC541" s="2">
        <f>IF(OR(Cases[[#This Row],[Is Reopened]]="X",Cases[[#This Row],[No. of Reopenings]]&gt;0),1,0)</f>
        <v>0</v>
      </c>
      <c r="CD541" s="2">
        <f>IF(Cases[[#This Row],[Confirmation Type]]="Automatic",1,0)</f>
        <v>0</v>
      </c>
      <c r="CE541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542" spans="1:83" x14ac:dyDescent="0.2">
      <c r="A542" s="1" t="s">
        <v>3090</v>
      </c>
      <c r="B542" s="2" t="s">
        <v>3091</v>
      </c>
      <c r="C542" s="2" t="s">
        <v>3092</v>
      </c>
      <c r="D542" s="2" t="s">
        <v>78</v>
      </c>
      <c r="E542" s="3">
        <v>2.12</v>
      </c>
      <c r="F542" s="3">
        <v>29.08</v>
      </c>
      <c r="G542" s="2" t="s">
        <v>79</v>
      </c>
      <c r="H542" s="2" t="s">
        <v>178</v>
      </c>
      <c r="I542" s="3" t="s">
        <v>81</v>
      </c>
      <c r="J542" s="3">
        <v>184</v>
      </c>
      <c r="K542" s="2" t="s">
        <v>3093</v>
      </c>
      <c r="L542" s="4">
        <v>46009</v>
      </c>
      <c r="M542" s="4">
        <v>45974</v>
      </c>
      <c r="N542" s="2" t="s">
        <v>2274</v>
      </c>
      <c r="O542" s="2" t="s">
        <v>1805</v>
      </c>
      <c r="P542" s="2" t="s">
        <v>2467</v>
      </c>
      <c r="Q542" s="2" t="s">
        <v>1806</v>
      </c>
      <c r="R542" s="2" t="s">
        <v>3094</v>
      </c>
      <c r="S542" s="4">
        <v>45943</v>
      </c>
      <c r="T542" s="2" t="s">
        <v>2727</v>
      </c>
      <c r="U542" s="2" t="s">
        <v>1805</v>
      </c>
      <c r="V542" s="2" t="s">
        <v>2936</v>
      </c>
      <c r="W542" s="2" t="s">
        <v>1806</v>
      </c>
      <c r="X542" s="2" t="s">
        <v>88</v>
      </c>
      <c r="Y542" s="3" t="s">
        <v>89</v>
      </c>
      <c r="Z542" s="3">
        <v>31.2</v>
      </c>
      <c r="AA542" s="2" t="s">
        <v>90</v>
      </c>
      <c r="AB542" s="2" t="s">
        <v>2477</v>
      </c>
      <c r="AC542" s="2" t="s">
        <v>2475</v>
      </c>
      <c r="AD542" t="str" cm="1">
        <f t="array" ref="AD54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542" s="2" t="s">
        <v>91</v>
      </c>
      <c r="AF542" s="2" t="s">
        <v>92</v>
      </c>
      <c r="AG542" s="2" t="s">
        <v>93</v>
      </c>
      <c r="AH542" s="2" t="s">
        <v>94</v>
      </c>
      <c r="AJ542" s="2" t="s">
        <v>122</v>
      </c>
      <c r="AK542" s="2" t="s">
        <v>3095</v>
      </c>
      <c r="AN542" s="3">
        <v>1</v>
      </c>
      <c r="AO542" s="3">
        <v>1</v>
      </c>
      <c r="AP542" s="3">
        <v>1</v>
      </c>
      <c r="AQ542" s="3">
        <v>1</v>
      </c>
      <c r="AR542" s="3">
        <v>0</v>
      </c>
      <c r="AS542" s="3">
        <v>0</v>
      </c>
      <c r="AT542" s="3">
        <v>1</v>
      </c>
      <c r="AU542" s="3">
        <v>0</v>
      </c>
      <c r="AV542" s="3">
        <v>0</v>
      </c>
      <c r="AW542" s="3">
        <v>1</v>
      </c>
      <c r="AX542" s="3">
        <v>0</v>
      </c>
      <c r="AY542" s="3">
        <v>0</v>
      </c>
      <c r="AZ542" s="3">
        <v>1</v>
      </c>
      <c r="BA542" s="3">
        <v>1</v>
      </c>
      <c r="BB542" s="3">
        <v>0</v>
      </c>
      <c r="BC542" s="3">
        <v>0</v>
      </c>
      <c r="BD542" s="3">
        <v>1</v>
      </c>
      <c r="BE542" s="3">
        <v>0</v>
      </c>
      <c r="BG542" s="2" t="s">
        <v>139</v>
      </c>
      <c r="BH542" s="3">
        <v>2</v>
      </c>
      <c r="BJ542" s="2" t="s">
        <v>96</v>
      </c>
      <c r="BL542" s="2" t="s">
        <v>184</v>
      </c>
      <c r="BM542" s="2" t="s">
        <v>184</v>
      </c>
      <c r="BN542" s="2" t="s">
        <v>124</v>
      </c>
      <c r="BO542" s="2" t="s">
        <v>125</v>
      </c>
      <c r="BP542" s="2" t="s">
        <v>101</v>
      </c>
      <c r="BQ542" s="2" t="s">
        <v>124</v>
      </c>
      <c r="BR542" s="2" t="s">
        <v>126</v>
      </c>
      <c r="BS542" s="2" t="s">
        <v>104</v>
      </c>
      <c r="BT542" s="2" t="s">
        <v>3096</v>
      </c>
      <c r="BU542" s="2" t="s">
        <v>3097</v>
      </c>
      <c r="BV542" s="2" t="s">
        <v>107</v>
      </c>
      <c r="BW542" s="2" t="s">
        <v>108</v>
      </c>
      <c r="BX542" s="2" t="s">
        <v>91</v>
      </c>
      <c r="BY54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42" s="2">
        <f>IF(AND(Cases[[#This Row],[Priority Level]]&gt;=3,Cases[[#This Row],[System Role]]&lt;&gt;"Productive"),1,0)</f>
        <v>0</v>
      </c>
      <c r="CA542" s="2">
        <f>IFERROR(IF(Cases[[#This Row],[Days at Customer]]&gt;MAX(1,Cases[[#This Row],[Days at SAP]]*2),1,0),0)</f>
        <v>1</v>
      </c>
      <c r="CB542" s="2">
        <f>IF(AND(Cases[[#This Row],[Initial Component]]&lt;&gt;"",Cases[[#This Row],[Component]]&lt;&gt;"",Cases[[#This Row],[Initial Component]]&lt;&gt;Cases[[#This Row],[Component]]),1,0)</f>
        <v>1</v>
      </c>
      <c r="CC542" s="2">
        <f>IF(OR(Cases[[#This Row],[Is Reopened]]="X",Cases[[#This Row],[No. of Reopenings]]&gt;0),1,0)</f>
        <v>1</v>
      </c>
      <c r="CD542" s="2">
        <f>IF(Cases[[#This Row],[Confirmation Type]]="Automatic",1,0)</f>
        <v>0</v>
      </c>
      <c r="CE542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543" spans="1:83" x14ac:dyDescent="0.2">
      <c r="A543" s="1" t="s">
        <v>3098</v>
      </c>
      <c r="B543" s="2" t="s">
        <v>3099</v>
      </c>
      <c r="C543" s="2" t="s">
        <v>3100</v>
      </c>
      <c r="D543" s="2" t="s">
        <v>238</v>
      </c>
      <c r="E543" s="3">
        <v>0.3</v>
      </c>
      <c r="F543" s="3">
        <v>42.37</v>
      </c>
      <c r="G543" s="2" t="s">
        <v>79</v>
      </c>
      <c r="H543" s="2" t="s">
        <v>178</v>
      </c>
      <c r="I543" s="3" t="s">
        <v>114</v>
      </c>
      <c r="J543" s="3">
        <v>184</v>
      </c>
      <c r="K543" s="2" t="s">
        <v>3101</v>
      </c>
      <c r="L543" s="4">
        <v>46009</v>
      </c>
      <c r="M543" s="4">
        <v>45986</v>
      </c>
      <c r="N543" s="2" t="s">
        <v>2274</v>
      </c>
      <c r="O543" s="2" t="s">
        <v>1805</v>
      </c>
      <c r="P543" s="2" t="s">
        <v>2275</v>
      </c>
      <c r="Q543" s="2" t="s">
        <v>1806</v>
      </c>
      <c r="R543" s="2" t="s">
        <v>3102</v>
      </c>
      <c r="S543" s="4">
        <v>45943</v>
      </c>
      <c r="T543" s="2" t="s">
        <v>2727</v>
      </c>
      <c r="U543" s="2" t="s">
        <v>1805</v>
      </c>
      <c r="V543" s="2" t="s">
        <v>2936</v>
      </c>
      <c r="W543" s="2" t="s">
        <v>1806</v>
      </c>
      <c r="X543" s="2" t="s">
        <v>117</v>
      </c>
      <c r="Y543" s="3" t="s">
        <v>118</v>
      </c>
      <c r="Z543" s="3">
        <v>42.67</v>
      </c>
      <c r="AA543" s="2" t="s">
        <v>90</v>
      </c>
      <c r="AB543" s="2" t="s">
        <v>3102</v>
      </c>
      <c r="AC543" s="2" t="s">
        <v>3100</v>
      </c>
      <c r="AD543" t="str" cm="1">
        <f t="array" ref="AD54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543" s="2" t="s">
        <v>91</v>
      </c>
      <c r="AF543" s="2" t="s">
        <v>92</v>
      </c>
      <c r="AG543" s="2" t="s">
        <v>119</v>
      </c>
      <c r="AH543" s="2" t="s">
        <v>120</v>
      </c>
      <c r="AK543" s="2" t="s">
        <v>3103</v>
      </c>
      <c r="AN543" s="3">
        <v>1</v>
      </c>
      <c r="AO543" s="3">
        <v>1</v>
      </c>
      <c r="AP543" s="3">
        <v>1</v>
      </c>
      <c r="AQ543" s="3">
        <v>1</v>
      </c>
      <c r="AR543" s="3">
        <v>1</v>
      </c>
      <c r="AS543" s="3">
        <v>0</v>
      </c>
      <c r="AT543" s="3">
        <v>0</v>
      </c>
      <c r="AU543" s="3">
        <v>0</v>
      </c>
      <c r="AV543" s="3">
        <v>1</v>
      </c>
      <c r="AW543" s="3">
        <v>0</v>
      </c>
      <c r="AX543" s="3">
        <v>1</v>
      </c>
      <c r="AY543" s="3">
        <v>0</v>
      </c>
      <c r="AZ543" s="3">
        <v>0</v>
      </c>
      <c r="BA543" s="3">
        <v>0</v>
      </c>
      <c r="BB543" s="3">
        <v>0</v>
      </c>
      <c r="BC543" s="3">
        <v>1</v>
      </c>
      <c r="BD543" s="3">
        <v>0</v>
      </c>
      <c r="BE543" s="3">
        <v>0</v>
      </c>
      <c r="BG543" s="2" t="s">
        <v>91</v>
      </c>
      <c r="BH543" s="3">
        <v>3</v>
      </c>
      <c r="BJ543" s="2" t="s">
        <v>96</v>
      </c>
      <c r="BL543" s="2" t="s">
        <v>123</v>
      </c>
      <c r="BM543" s="2" t="s">
        <v>123</v>
      </c>
      <c r="BN543" s="2" t="s">
        <v>124</v>
      </c>
      <c r="BO543" s="2" t="s">
        <v>125</v>
      </c>
      <c r="BP543" s="2" t="s">
        <v>242</v>
      </c>
      <c r="BQ543" s="2" t="s">
        <v>124</v>
      </c>
      <c r="BR543" s="2" t="s">
        <v>126</v>
      </c>
      <c r="BS543" s="2" t="s">
        <v>127</v>
      </c>
      <c r="BT543" s="2" t="s">
        <v>420</v>
      </c>
      <c r="BU543" s="2" t="s">
        <v>421</v>
      </c>
      <c r="BV543" s="2" t="s">
        <v>150</v>
      </c>
      <c r="BW543" s="2" t="s">
        <v>151</v>
      </c>
      <c r="BX543" s="2" t="s">
        <v>91</v>
      </c>
      <c r="BY54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43" s="2">
        <f>IF(AND(Cases[[#This Row],[Priority Level]]&gt;=3,Cases[[#This Row],[System Role]]&lt;&gt;"Productive"),1,0)</f>
        <v>0</v>
      </c>
      <c r="CA543" s="2">
        <f>IFERROR(IF(Cases[[#This Row],[Days at Customer]]&gt;MAX(1,Cases[[#This Row],[Days at SAP]]*2),1,0),0)</f>
        <v>1</v>
      </c>
      <c r="CB543" s="2">
        <f>IF(AND(Cases[[#This Row],[Initial Component]]&lt;&gt;"",Cases[[#This Row],[Component]]&lt;&gt;"",Cases[[#This Row],[Initial Component]]&lt;&gt;Cases[[#This Row],[Component]]),1,0)</f>
        <v>0</v>
      </c>
      <c r="CC543" s="2">
        <f>IF(OR(Cases[[#This Row],[Is Reopened]]="X",Cases[[#This Row],[No. of Reopenings]]&gt;0),1,0)</f>
        <v>0</v>
      </c>
      <c r="CD543" s="2">
        <f>IF(Cases[[#This Row],[Confirmation Type]]="Automatic",1,0)</f>
        <v>1</v>
      </c>
      <c r="CE543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44" spans="1:83" x14ac:dyDescent="0.2">
      <c r="A544" s="1" t="s">
        <v>1359</v>
      </c>
      <c r="B544" s="2" t="s">
        <v>1360</v>
      </c>
      <c r="C544" s="2" t="s">
        <v>311</v>
      </c>
      <c r="D544" s="2" t="s">
        <v>238</v>
      </c>
      <c r="E544" s="3">
        <v>7.43</v>
      </c>
      <c r="F544" s="3">
        <v>39.869999999999997</v>
      </c>
      <c r="G544" s="2" t="s">
        <v>112</v>
      </c>
      <c r="H544" s="2" t="s">
        <v>113</v>
      </c>
      <c r="I544" s="3" t="s">
        <v>114</v>
      </c>
      <c r="J544" s="3">
        <v>76</v>
      </c>
      <c r="K544" s="2" t="s">
        <v>1361</v>
      </c>
      <c r="L544" s="4">
        <v>46103</v>
      </c>
      <c r="M544" s="4">
        <v>46099</v>
      </c>
      <c r="N544" s="2" t="s">
        <v>180</v>
      </c>
      <c r="O544" s="2" t="s">
        <v>181</v>
      </c>
      <c r="P544" s="2" t="s">
        <v>260</v>
      </c>
      <c r="Q544" s="2" t="s">
        <v>86</v>
      </c>
      <c r="R544" s="2" t="s">
        <v>310</v>
      </c>
      <c r="S544" s="4">
        <v>46051</v>
      </c>
      <c r="T544" s="2" t="s">
        <v>1334</v>
      </c>
      <c r="U544" s="2" t="s">
        <v>181</v>
      </c>
      <c r="V544" s="2" t="s">
        <v>1335</v>
      </c>
      <c r="W544" s="2" t="s">
        <v>86</v>
      </c>
      <c r="X544" s="2" t="s">
        <v>117</v>
      </c>
      <c r="Y544" s="3" t="s">
        <v>118</v>
      </c>
      <c r="Z544" s="3">
        <v>47.3</v>
      </c>
      <c r="AA544" s="2" t="s">
        <v>90</v>
      </c>
      <c r="AB544" s="2" t="s">
        <v>205</v>
      </c>
      <c r="AC544" s="2" t="s">
        <v>203</v>
      </c>
      <c r="AD544" t="str" cm="1">
        <f t="array" ref="AD54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544" s="2" t="s">
        <v>91</v>
      </c>
      <c r="AF544" s="2" t="s">
        <v>92</v>
      </c>
      <c r="AG544" s="2" t="s">
        <v>119</v>
      </c>
      <c r="AH544" s="2" t="s">
        <v>120</v>
      </c>
      <c r="AK544" s="2" t="s">
        <v>1362</v>
      </c>
      <c r="AN544" s="3">
        <v>1</v>
      </c>
      <c r="AO544" s="3">
        <v>1</v>
      </c>
      <c r="AP544" s="3">
        <v>1</v>
      </c>
      <c r="AQ544" s="3">
        <v>1</v>
      </c>
      <c r="AR544" s="3">
        <v>1</v>
      </c>
      <c r="AS544" s="3">
        <v>0</v>
      </c>
      <c r="AT544" s="3">
        <v>0</v>
      </c>
      <c r="AU544" s="3">
        <v>0</v>
      </c>
      <c r="AV544" s="3">
        <v>1</v>
      </c>
      <c r="AW544" s="3">
        <v>0</v>
      </c>
      <c r="AX544" s="3">
        <v>1</v>
      </c>
      <c r="AY544" s="3">
        <v>0</v>
      </c>
      <c r="AZ544" s="3">
        <v>0</v>
      </c>
      <c r="BA544" s="3">
        <v>0</v>
      </c>
      <c r="BB544" s="3">
        <v>0</v>
      </c>
      <c r="BC544" s="3">
        <v>1</v>
      </c>
      <c r="BD544" s="3">
        <v>0</v>
      </c>
      <c r="BE544" s="3">
        <v>0</v>
      </c>
      <c r="BG544" s="2" t="s">
        <v>91</v>
      </c>
      <c r="BH544" s="3">
        <v>3</v>
      </c>
      <c r="BI544" s="2" t="s">
        <v>122</v>
      </c>
      <c r="BJ544" s="2" t="s">
        <v>96</v>
      </c>
      <c r="BL544" s="2" t="s">
        <v>123</v>
      </c>
      <c r="BM544" s="2" t="s">
        <v>123</v>
      </c>
      <c r="BN544" s="2" t="s">
        <v>124</v>
      </c>
      <c r="BO544" s="2" t="s">
        <v>125</v>
      </c>
      <c r="BP544" s="2" t="s">
        <v>242</v>
      </c>
      <c r="BQ544" s="2" t="s">
        <v>124</v>
      </c>
      <c r="BR544" s="2" t="s">
        <v>126</v>
      </c>
      <c r="BS544" s="2" t="s">
        <v>127</v>
      </c>
      <c r="BT544" s="2" t="s">
        <v>207</v>
      </c>
      <c r="BU544" s="2" t="s">
        <v>208</v>
      </c>
      <c r="BV544" s="2" t="s">
        <v>150</v>
      </c>
      <c r="BW544" s="2" t="s">
        <v>151</v>
      </c>
      <c r="BX544" s="2" t="s">
        <v>91</v>
      </c>
      <c r="BY54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44" s="2">
        <f>IF(AND(Cases[[#This Row],[Priority Level]]&gt;=3,Cases[[#This Row],[System Role]]&lt;&gt;"Productive"),1,0)</f>
        <v>0</v>
      </c>
      <c r="CA544" s="2">
        <f>IFERROR(IF(Cases[[#This Row],[Days at Customer]]&gt;MAX(1,Cases[[#This Row],[Days at SAP]]*2),1,0),0)</f>
        <v>1</v>
      </c>
      <c r="CB544" s="2">
        <f>IF(AND(Cases[[#This Row],[Initial Component]]&lt;&gt;"",Cases[[#This Row],[Component]]&lt;&gt;"",Cases[[#This Row],[Initial Component]]&lt;&gt;Cases[[#This Row],[Component]]),1,0)</f>
        <v>1</v>
      </c>
      <c r="CC544" s="2">
        <f>IF(OR(Cases[[#This Row],[Is Reopened]]="X",Cases[[#This Row],[No. of Reopenings]]&gt;0),1,0)</f>
        <v>0</v>
      </c>
      <c r="CD544" s="2">
        <f>IF(Cases[[#This Row],[Confirmation Type]]="Automatic",1,0)</f>
        <v>1</v>
      </c>
      <c r="CE544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45" spans="1:83" x14ac:dyDescent="0.2">
      <c r="A545" s="1" t="s">
        <v>1870</v>
      </c>
      <c r="B545" s="2" t="s">
        <v>1360</v>
      </c>
      <c r="C545" s="2" t="s">
        <v>311</v>
      </c>
      <c r="D545" s="2" t="s">
        <v>238</v>
      </c>
      <c r="E545" s="3">
        <v>0.81</v>
      </c>
      <c r="F545" s="3">
        <v>35.99</v>
      </c>
      <c r="G545" s="2" t="s">
        <v>112</v>
      </c>
      <c r="H545" s="2" t="s">
        <v>113</v>
      </c>
      <c r="I545" s="3" t="s">
        <v>114</v>
      </c>
      <c r="J545" s="3">
        <v>110</v>
      </c>
      <c r="K545" s="2" t="s">
        <v>1871</v>
      </c>
      <c r="L545" s="4">
        <v>46103</v>
      </c>
      <c r="M545" s="4">
        <v>46057</v>
      </c>
      <c r="N545" s="2" t="s">
        <v>677</v>
      </c>
      <c r="O545" s="2" t="s">
        <v>181</v>
      </c>
      <c r="P545" s="2" t="s">
        <v>1165</v>
      </c>
      <c r="Q545" s="2" t="s">
        <v>86</v>
      </c>
      <c r="R545" s="2" t="s">
        <v>310</v>
      </c>
      <c r="S545" s="4">
        <v>46017</v>
      </c>
      <c r="T545" s="2" t="s">
        <v>1804</v>
      </c>
      <c r="U545" s="2" t="s">
        <v>1805</v>
      </c>
      <c r="V545" s="2" t="s">
        <v>1868</v>
      </c>
      <c r="W545" s="2" t="s">
        <v>1806</v>
      </c>
      <c r="X545" s="2" t="s">
        <v>117</v>
      </c>
      <c r="Y545" s="3" t="s">
        <v>118</v>
      </c>
      <c r="Z545" s="3">
        <v>36.799999999999997</v>
      </c>
      <c r="AA545" s="2" t="s">
        <v>90</v>
      </c>
      <c r="AB545" s="2" t="s">
        <v>205</v>
      </c>
      <c r="AC545" s="2" t="s">
        <v>203</v>
      </c>
      <c r="AD545" t="str" cm="1">
        <f t="array" ref="AD54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545" s="2" t="s">
        <v>182</v>
      </c>
      <c r="AF545" s="2" t="s">
        <v>92</v>
      </c>
      <c r="AG545" s="2" t="s">
        <v>119</v>
      </c>
      <c r="AH545" s="2" t="s">
        <v>120</v>
      </c>
      <c r="AJ545" s="2" t="s">
        <v>122</v>
      </c>
      <c r="AK545" s="2" t="s">
        <v>1872</v>
      </c>
      <c r="AN545" s="3">
        <v>1</v>
      </c>
      <c r="AO545" s="3">
        <v>1</v>
      </c>
      <c r="AP545" s="3">
        <v>1</v>
      </c>
      <c r="AQ545" s="3">
        <v>1</v>
      </c>
      <c r="AR545" s="3">
        <v>0</v>
      </c>
      <c r="AS545" s="3">
        <v>0</v>
      </c>
      <c r="AT545" s="3">
        <v>0</v>
      </c>
      <c r="AU545" s="3">
        <v>1</v>
      </c>
      <c r="AV545" s="3">
        <v>1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>
        <v>1</v>
      </c>
      <c r="BD545" s="3">
        <v>2</v>
      </c>
      <c r="BE545" s="3">
        <v>1</v>
      </c>
      <c r="BG545" s="2" t="s">
        <v>182</v>
      </c>
      <c r="BH545" s="3">
        <v>4</v>
      </c>
      <c r="BI545" s="2" t="s">
        <v>122</v>
      </c>
      <c r="BJ545" s="2" t="s">
        <v>96</v>
      </c>
      <c r="BL545" s="2" t="s">
        <v>123</v>
      </c>
      <c r="BM545" s="2" t="s">
        <v>123</v>
      </c>
      <c r="BN545" s="2" t="s">
        <v>124</v>
      </c>
      <c r="BO545" s="2" t="s">
        <v>125</v>
      </c>
      <c r="BP545" s="2" t="s">
        <v>242</v>
      </c>
      <c r="BQ545" s="2" t="s">
        <v>124</v>
      </c>
      <c r="BR545" s="2" t="s">
        <v>126</v>
      </c>
      <c r="BS545" s="2" t="s">
        <v>127</v>
      </c>
      <c r="BT545" s="2" t="s">
        <v>207</v>
      </c>
      <c r="BU545" s="2" t="s">
        <v>208</v>
      </c>
      <c r="BV545" s="2" t="s">
        <v>150</v>
      </c>
      <c r="BW545" s="2" t="s">
        <v>151</v>
      </c>
      <c r="BX545" s="2" t="s">
        <v>182</v>
      </c>
      <c r="BY54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45" s="2">
        <f>IF(AND(Cases[[#This Row],[Priority Level]]&gt;=3,Cases[[#This Row],[System Role]]&lt;&gt;"Productive"),1,0)</f>
        <v>0</v>
      </c>
      <c r="CA545" s="2">
        <f>IFERROR(IF(Cases[[#This Row],[Days at Customer]]&gt;MAX(1,Cases[[#This Row],[Days at SAP]]*2),1,0),0)</f>
        <v>1</v>
      </c>
      <c r="CB545" s="2">
        <f>IF(AND(Cases[[#This Row],[Initial Component]]&lt;&gt;"",Cases[[#This Row],[Component]]&lt;&gt;"",Cases[[#This Row],[Initial Component]]&lt;&gt;Cases[[#This Row],[Component]]),1,0)</f>
        <v>1</v>
      </c>
      <c r="CC545" s="2">
        <f>IF(OR(Cases[[#This Row],[Is Reopened]]="X",Cases[[#This Row],[No. of Reopenings]]&gt;0),1,0)</f>
        <v>1</v>
      </c>
      <c r="CD545" s="2">
        <f>IF(Cases[[#This Row],[Confirmation Type]]="Automatic",1,0)</f>
        <v>1</v>
      </c>
      <c r="CE545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546" spans="1:83" x14ac:dyDescent="0.2">
      <c r="A546" s="1" t="s">
        <v>3113</v>
      </c>
      <c r="B546" s="2" t="s">
        <v>3114</v>
      </c>
      <c r="C546" s="2" t="s">
        <v>3100</v>
      </c>
      <c r="D546" s="2" t="s">
        <v>238</v>
      </c>
      <c r="E546" s="3">
        <v>0.59</v>
      </c>
      <c r="F546" s="3">
        <v>21.74</v>
      </c>
      <c r="G546" s="2" t="s">
        <v>79</v>
      </c>
      <c r="H546" s="2" t="s">
        <v>178</v>
      </c>
      <c r="I546" s="3" t="s">
        <v>114</v>
      </c>
      <c r="J546" s="3">
        <v>184</v>
      </c>
      <c r="K546" s="2" t="s">
        <v>3115</v>
      </c>
      <c r="L546" s="4">
        <v>46061</v>
      </c>
      <c r="M546" s="4">
        <v>45965</v>
      </c>
      <c r="N546" s="2" t="s">
        <v>2274</v>
      </c>
      <c r="O546" s="2" t="s">
        <v>1805</v>
      </c>
      <c r="P546" s="2" t="s">
        <v>2583</v>
      </c>
      <c r="Q546" s="2" t="s">
        <v>1806</v>
      </c>
      <c r="R546" s="2" t="s">
        <v>3102</v>
      </c>
      <c r="S546" s="4">
        <v>45943</v>
      </c>
      <c r="T546" s="2" t="s">
        <v>2727</v>
      </c>
      <c r="U546" s="2" t="s">
        <v>1805</v>
      </c>
      <c r="V546" s="2" t="s">
        <v>2936</v>
      </c>
      <c r="W546" s="2" t="s">
        <v>1806</v>
      </c>
      <c r="X546" s="2" t="s">
        <v>117</v>
      </c>
      <c r="Y546" s="3" t="s">
        <v>118</v>
      </c>
      <c r="Z546" s="3">
        <v>22.33</v>
      </c>
      <c r="AA546" s="2" t="s">
        <v>90</v>
      </c>
      <c r="AB546" s="2" t="s">
        <v>3102</v>
      </c>
      <c r="AC546" s="2" t="s">
        <v>3100</v>
      </c>
      <c r="AD546" t="str" cm="1">
        <f t="array" ref="AD54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546" s="2" t="s">
        <v>139</v>
      </c>
      <c r="AF546" s="2" t="s">
        <v>92</v>
      </c>
      <c r="AG546" s="2" t="s">
        <v>119</v>
      </c>
      <c r="AH546" s="2" t="s">
        <v>120</v>
      </c>
      <c r="AK546" s="2" t="s">
        <v>3116</v>
      </c>
      <c r="AN546" s="3">
        <v>1</v>
      </c>
      <c r="AO546" s="3">
        <v>1</v>
      </c>
      <c r="AP546" s="3">
        <v>1</v>
      </c>
      <c r="AQ546" s="3">
        <v>1</v>
      </c>
      <c r="AR546" s="3">
        <v>0</v>
      </c>
      <c r="AS546" s="3">
        <v>0</v>
      </c>
      <c r="AT546" s="3">
        <v>1</v>
      </c>
      <c r="AU546" s="3">
        <v>0</v>
      </c>
      <c r="AV546" s="3">
        <v>1</v>
      </c>
      <c r="AW546" s="3">
        <v>0</v>
      </c>
      <c r="AX546" s="3">
        <v>0</v>
      </c>
      <c r="AY546" s="3">
        <v>0</v>
      </c>
      <c r="AZ546" s="3">
        <v>1</v>
      </c>
      <c r="BA546" s="3">
        <v>0</v>
      </c>
      <c r="BB546" s="3">
        <v>0</v>
      </c>
      <c r="BC546" s="3">
        <v>1</v>
      </c>
      <c r="BD546" s="3">
        <v>0</v>
      </c>
      <c r="BE546" s="3">
        <v>0</v>
      </c>
      <c r="BG546" s="2" t="s">
        <v>139</v>
      </c>
      <c r="BH546" s="3">
        <v>2</v>
      </c>
      <c r="BJ546" s="2" t="s">
        <v>96</v>
      </c>
      <c r="BL546" s="2" t="s">
        <v>123</v>
      </c>
      <c r="BM546" s="2" t="s">
        <v>123</v>
      </c>
      <c r="BN546" s="2" t="s">
        <v>124</v>
      </c>
      <c r="BO546" s="2" t="s">
        <v>125</v>
      </c>
      <c r="BP546" s="2" t="s">
        <v>242</v>
      </c>
      <c r="BQ546" s="2" t="s">
        <v>124</v>
      </c>
      <c r="BR546" s="2" t="s">
        <v>126</v>
      </c>
      <c r="BS546" s="2" t="s">
        <v>127</v>
      </c>
      <c r="BT546" s="2" t="s">
        <v>207</v>
      </c>
      <c r="BU546" s="2" t="s">
        <v>208</v>
      </c>
      <c r="BV546" s="2" t="s">
        <v>150</v>
      </c>
      <c r="BW546" s="2" t="s">
        <v>151</v>
      </c>
      <c r="BX546" s="2" t="s">
        <v>139</v>
      </c>
      <c r="BY54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46" s="2">
        <f>IF(AND(Cases[[#This Row],[Priority Level]]&gt;=3,Cases[[#This Row],[System Role]]&lt;&gt;"Productive"),1,0)</f>
        <v>0</v>
      </c>
      <c r="CA546" s="2">
        <f>IFERROR(IF(Cases[[#This Row],[Days at Customer]]&gt;MAX(1,Cases[[#This Row],[Days at SAP]]*2),1,0),0)</f>
        <v>1</v>
      </c>
      <c r="CB546" s="2">
        <f>IF(AND(Cases[[#This Row],[Initial Component]]&lt;&gt;"",Cases[[#This Row],[Component]]&lt;&gt;"",Cases[[#This Row],[Initial Component]]&lt;&gt;Cases[[#This Row],[Component]]),1,0)</f>
        <v>0</v>
      </c>
      <c r="CC546" s="2">
        <f>IF(OR(Cases[[#This Row],[Is Reopened]]="X",Cases[[#This Row],[No. of Reopenings]]&gt;0),1,0)</f>
        <v>0</v>
      </c>
      <c r="CD546" s="2">
        <f>IF(Cases[[#This Row],[Confirmation Type]]="Automatic",1,0)</f>
        <v>1</v>
      </c>
      <c r="CE54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47" spans="1:83" x14ac:dyDescent="0.2">
      <c r="A547" s="1" t="s">
        <v>3117</v>
      </c>
      <c r="B547" s="2" t="s">
        <v>3118</v>
      </c>
      <c r="C547" s="2" t="s">
        <v>1590</v>
      </c>
      <c r="D547" s="2" t="s">
        <v>238</v>
      </c>
      <c r="E547" s="3">
        <v>6.5</v>
      </c>
      <c r="F547" s="3">
        <v>21.59</v>
      </c>
      <c r="G547" s="2" t="s">
        <v>79</v>
      </c>
      <c r="H547" s="2" t="s">
        <v>178</v>
      </c>
      <c r="I547" s="3" t="s">
        <v>114</v>
      </c>
      <c r="J547" s="3">
        <v>184</v>
      </c>
      <c r="K547" s="2" t="s">
        <v>3119</v>
      </c>
      <c r="L547" s="4">
        <v>46064</v>
      </c>
      <c r="M547" s="4">
        <v>45972</v>
      </c>
      <c r="N547" s="2" t="s">
        <v>2274</v>
      </c>
      <c r="O547" s="2" t="s">
        <v>1805</v>
      </c>
      <c r="P547" s="2" t="s">
        <v>2467</v>
      </c>
      <c r="Q547" s="2" t="s">
        <v>1806</v>
      </c>
      <c r="R547" s="2" t="s">
        <v>1592</v>
      </c>
      <c r="S547" s="4">
        <v>45943</v>
      </c>
      <c r="T547" s="2" t="s">
        <v>2727</v>
      </c>
      <c r="U547" s="2" t="s">
        <v>1805</v>
      </c>
      <c r="V547" s="2" t="s">
        <v>2936</v>
      </c>
      <c r="W547" s="2" t="s">
        <v>1806</v>
      </c>
      <c r="X547" s="2" t="s">
        <v>117</v>
      </c>
      <c r="Y547" s="3" t="s">
        <v>118</v>
      </c>
      <c r="Z547" s="3">
        <v>28.09</v>
      </c>
      <c r="AA547" s="2" t="s">
        <v>90</v>
      </c>
      <c r="AB547" s="2" t="s">
        <v>1592</v>
      </c>
      <c r="AC547" s="2" t="s">
        <v>1590</v>
      </c>
      <c r="AD547" t="str" cm="1">
        <f t="array" ref="AD54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547" s="2" t="s">
        <v>139</v>
      </c>
      <c r="AF547" s="2" t="s">
        <v>92</v>
      </c>
      <c r="AG547" s="2" t="s">
        <v>119</v>
      </c>
      <c r="AH547" s="2" t="s">
        <v>120</v>
      </c>
      <c r="AK547" s="2" t="s">
        <v>3120</v>
      </c>
      <c r="AN547" s="3">
        <v>1</v>
      </c>
      <c r="AO547" s="3">
        <v>1</v>
      </c>
      <c r="AP547" s="3">
        <v>1</v>
      </c>
      <c r="AQ547" s="3">
        <v>1</v>
      </c>
      <c r="AR547" s="3">
        <v>0</v>
      </c>
      <c r="AS547" s="3">
        <v>0</v>
      </c>
      <c r="AT547" s="3">
        <v>1</v>
      </c>
      <c r="AU547" s="3">
        <v>0</v>
      </c>
      <c r="AV547" s="3">
        <v>1</v>
      </c>
      <c r="AW547" s="3">
        <v>0</v>
      </c>
      <c r="AX547" s="3">
        <v>0</v>
      </c>
      <c r="AY547" s="3">
        <v>0</v>
      </c>
      <c r="AZ547" s="3">
        <v>1</v>
      </c>
      <c r="BA547" s="3">
        <v>0</v>
      </c>
      <c r="BB547" s="3">
        <v>0</v>
      </c>
      <c r="BC547" s="3">
        <v>1</v>
      </c>
      <c r="BD547" s="3">
        <v>0</v>
      </c>
      <c r="BE547" s="3">
        <v>0</v>
      </c>
      <c r="BG547" s="2" t="s">
        <v>139</v>
      </c>
      <c r="BH547" s="3">
        <v>2</v>
      </c>
      <c r="BJ547" s="2" t="s">
        <v>96</v>
      </c>
      <c r="BL547" s="2" t="s">
        <v>123</v>
      </c>
      <c r="BM547" s="2" t="s">
        <v>123</v>
      </c>
      <c r="BN547" s="2" t="s">
        <v>124</v>
      </c>
      <c r="BO547" s="2" t="s">
        <v>125</v>
      </c>
      <c r="BP547" s="2" t="s">
        <v>242</v>
      </c>
      <c r="BQ547" s="2" t="s">
        <v>124</v>
      </c>
      <c r="BR547" s="2" t="s">
        <v>126</v>
      </c>
      <c r="BS547" s="2" t="s">
        <v>127</v>
      </c>
      <c r="BT547" s="2" t="s">
        <v>207</v>
      </c>
      <c r="BU547" s="2" t="s">
        <v>208</v>
      </c>
      <c r="BV547" s="2" t="s">
        <v>150</v>
      </c>
      <c r="BW547" s="2" t="s">
        <v>151</v>
      </c>
      <c r="BX547" s="2" t="s">
        <v>139</v>
      </c>
      <c r="BY54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47" s="2">
        <f>IF(AND(Cases[[#This Row],[Priority Level]]&gt;=3,Cases[[#This Row],[System Role]]&lt;&gt;"Productive"),1,0)</f>
        <v>0</v>
      </c>
      <c r="CA547" s="2">
        <f>IFERROR(IF(Cases[[#This Row],[Days at Customer]]&gt;MAX(1,Cases[[#This Row],[Days at SAP]]*2),1,0),0)</f>
        <v>1</v>
      </c>
      <c r="CB547" s="2">
        <f>IF(AND(Cases[[#This Row],[Initial Component]]&lt;&gt;"",Cases[[#This Row],[Component]]&lt;&gt;"",Cases[[#This Row],[Initial Component]]&lt;&gt;Cases[[#This Row],[Component]]),1,0)</f>
        <v>0</v>
      </c>
      <c r="CC547" s="2">
        <f>IF(OR(Cases[[#This Row],[Is Reopened]]="X",Cases[[#This Row],[No. of Reopenings]]&gt;0),1,0)</f>
        <v>0</v>
      </c>
      <c r="CD547" s="2">
        <f>IF(Cases[[#This Row],[Confirmation Type]]="Automatic",1,0)</f>
        <v>1</v>
      </c>
      <c r="CE54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48" spans="1:83" x14ac:dyDescent="0.2">
      <c r="A548" s="1" t="s">
        <v>3121</v>
      </c>
      <c r="B548" s="2" t="s">
        <v>3122</v>
      </c>
      <c r="C548" s="2" t="s">
        <v>3123</v>
      </c>
      <c r="D548" s="2" t="s">
        <v>238</v>
      </c>
      <c r="E548" s="3">
        <v>1.96</v>
      </c>
      <c r="F548" s="3">
        <v>21.39</v>
      </c>
      <c r="G548" s="2" t="s">
        <v>79</v>
      </c>
      <c r="H548" s="2" t="s">
        <v>155</v>
      </c>
      <c r="I548" s="3" t="s">
        <v>114</v>
      </c>
      <c r="J548" s="3">
        <v>185</v>
      </c>
      <c r="K548" s="2" t="s">
        <v>3124</v>
      </c>
      <c r="L548" s="4">
        <v>46061</v>
      </c>
      <c r="M548" s="4">
        <v>45965</v>
      </c>
      <c r="N548" s="2" t="s">
        <v>2274</v>
      </c>
      <c r="O548" s="2" t="s">
        <v>1805</v>
      </c>
      <c r="P548" s="2" t="s">
        <v>2583</v>
      </c>
      <c r="Q548" s="2" t="s">
        <v>1806</v>
      </c>
      <c r="R548" s="2" t="s">
        <v>3125</v>
      </c>
      <c r="S548" s="4">
        <v>45942</v>
      </c>
      <c r="T548" s="2" t="s">
        <v>2727</v>
      </c>
      <c r="U548" s="2" t="s">
        <v>1805</v>
      </c>
      <c r="V548" s="2" t="s">
        <v>3126</v>
      </c>
      <c r="W548" s="2" t="s">
        <v>1806</v>
      </c>
      <c r="X548" s="2" t="s">
        <v>117</v>
      </c>
      <c r="Y548" s="3" t="s">
        <v>118</v>
      </c>
      <c r="Z548" s="3">
        <v>23.35</v>
      </c>
      <c r="AA548" s="2" t="s">
        <v>138</v>
      </c>
      <c r="AB548" s="2" t="s">
        <v>443</v>
      </c>
      <c r="AC548" s="2" t="s">
        <v>444</v>
      </c>
      <c r="AD548" t="str" cm="1">
        <f t="array" ref="AD54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548" s="2" t="s">
        <v>91</v>
      </c>
      <c r="AF548" s="2" t="s">
        <v>92</v>
      </c>
      <c r="AG548" s="2" t="s">
        <v>274</v>
      </c>
      <c r="AH548" s="2" t="s">
        <v>275</v>
      </c>
      <c r="AK548" s="2" t="s">
        <v>3127</v>
      </c>
      <c r="AN548" s="3">
        <v>1</v>
      </c>
      <c r="AO548" s="3">
        <v>1</v>
      </c>
      <c r="AP548" s="3">
        <v>1</v>
      </c>
      <c r="AQ548" s="3">
        <v>1</v>
      </c>
      <c r="AR548" s="3">
        <v>0</v>
      </c>
      <c r="AS548" s="3">
        <v>0</v>
      </c>
      <c r="AT548" s="3">
        <v>1</v>
      </c>
      <c r="AU548" s="3">
        <v>0</v>
      </c>
      <c r="AV548" s="3">
        <v>1</v>
      </c>
      <c r="AW548" s="3">
        <v>0</v>
      </c>
      <c r="AX548" s="3">
        <v>0</v>
      </c>
      <c r="AY548" s="3">
        <v>0</v>
      </c>
      <c r="AZ548" s="3">
        <v>1</v>
      </c>
      <c r="BA548" s="3">
        <v>1</v>
      </c>
      <c r="BB548" s="3">
        <v>0</v>
      </c>
      <c r="BC548" s="3">
        <v>0</v>
      </c>
      <c r="BD548" s="3">
        <v>0</v>
      </c>
      <c r="BE548" s="3">
        <v>0</v>
      </c>
      <c r="BG548" s="2" t="s">
        <v>139</v>
      </c>
      <c r="BH548" s="3">
        <v>2</v>
      </c>
      <c r="BJ548" s="2" t="s">
        <v>96</v>
      </c>
      <c r="BL548" s="2" t="s">
        <v>446</v>
      </c>
      <c r="BM548" s="2" t="s">
        <v>447</v>
      </c>
      <c r="BN548" s="2" t="s">
        <v>279</v>
      </c>
      <c r="BO548" s="2" t="s">
        <v>280</v>
      </c>
      <c r="BP548" s="2" t="s">
        <v>242</v>
      </c>
      <c r="BQ548" s="2" t="s">
        <v>448</v>
      </c>
      <c r="BR548" s="2" t="s">
        <v>449</v>
      </c>
      <c r="BS548" s="2" t="s">
        <v>450</v>
      </c>
      <c r="BT548" s="2" t="s">
        <v>1030</v>
      </c>
      <c r="BU548" s="2" t="s">
        <v>1031</v>
      </c>
      <c r="BV548" s="2" t="s">
        <v>166</v>
      </c>
      <c r="BW548" s="2" t="s">
        <v>167</v>
      </c>
      <c r="BX548" s="2" t="s">
        <v>91</v>
      </c>
      <c r="BY54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48" s="2">
        <f>IF(AND(Cases[[#This Row],[Priority Level]]&gt;=3,Cases[[#This Row],[System Role]]&lt;&gt;"Productive"),1,0)</f>
        <v>0</v>
      </c>
      <c r="CA548" s="2">
        <f>IFERROR(IF(Cases[[#This Row],[Days at Customer]]&gt;MAX(1,Cases[[#This Row],[Days at SAP]]*2),1,0),0)</f>
        <v>1</v>
      </c>
      <c r="CB548" s="2">
        <f>IF(AND(Cases[[#This Row],[Initial Component]]&lt;&gt;"",Cases[[#This Row],[Component]]&lt;&gt;"",Cases[[#This Row],[Initial Component]]&lt;&gt;Cases[[#This Row],[Component]]),1,0)</f>
        <v>1</v>
      </c>
      <c r="CC548" s="2">
        <f>IF(OR(Cases[[#This Row],[Is Reopened]]="X",Cases[[#This Row],[No. of Reopenings]]&gt;0),1,0)</f>
        <v>0</v>
      </c>
      <c r="CD548" s="2">
        <f>IF(Cases[[#This Row],[Confirmation Type]]="Automatic",1,0)</f>
        <v>1</v>
      </c>
      <c r="CE548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549" spans="1:83" x14ac:dyDescent="0.2">
      <c r="A549" s="1" t="s">
        <v>3128</v>
      </c>
      <c r="B549" s="2" t="s">
        <v>3129</v>
      </c>
      <c r="C549" s="2" t="s">
        <v>1534</v>
      </c>
      <c r="D549" s="2" t="s">
        <v>238</v>
      </c>
      <c r="E549" s="3">
        <v>3.58</v>
      </c>
      <c r="F549" s="3">
        <v>33.67</v>
      </c>
      <c r="G549" s="2" t="s">
        <v>79</v>
      </c>
      <c r="H549" s="2" t="s">
        <v>732</v>
      </c>
      <c r="I549" s="3" t="s">
        <v>114</v>
      </c>
      <c r="J549" s="3">
        <v>185</v>
      </c>
      <c r="K549" s="2" t="s">
        <v>3130</v>
      </c>
      <c r="L549" s="4">
        <v>46009</v>
      </c>
      <c r="M549" s="4">
        <v>45980</v>
      </c>
      <c r="N549" s="2" t="s">
        <v>2274</v>
      </c>
      <c r="O549" s="2" t="s">
        <v>1805</v>
      </c>
      <c r="P549" s="2" t="s">
        <v>2404</v>
      </c>
      <c r="Q549" s="2" t="s">
        <v>1806</v>
      </c>
      <c r="R549" s="2" t="s">
        <v>1536</v>
      </c>
      <c r="S549" s="4">
        <v>45942</v>
      </c>
      <c r="T549" s="2" t="s">
        <v>2727</v>
      </c>
      <c r="U549" s="2" t="s">
        <v>1805</v>
      </c>
      <c r="V549" s="2" t="s">
        <v>3126</v>
      </c>
      <c r="W549" s="2" t="s">
        <v>1806</v>
      </c>
      <c r="X549" s="2" t="s">
        <v>117</v>
      </c>
      <c r="Y549" s="3" t="s">
        <v>118</v>
      </c>
      <c r="Z549" s="3">
        <v>37.25</v>
      </c>
      <c r="AA549" s="2" t="s">
        <v>138</v>
      </c>
      <c r="AB549" s="2" t="s">
        <v>443</v>
      </c>
      <c r="AC549" s="2" t="s">
        <v>444</v>
      </c>
      <c r="AD549" t="str" cm="1">
        <f t="array" ref="AD54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549" s="2" t="s">
        <v>91</v>
      </c>
      <c r="AF549" s="2" t="s">
        <v>92</v>
      </c>
      <c r="AG549" s="2" t="s">
        <v>274</v>
      </c>
      <c r="AH549" s="2" t="s">
        <v>275</v>
      </c>
      <c r="AJ549" s="2" t="s">
        <v>122</v>
      </c>
      <c r="AK549" s="2" t="s">
        <v>3131</v>
      </c>
      <c r="AN549" s="3">
        <v>1</v>
      </c>
      <c r="AO549" s="3">
        <v>1</v>
      </c>
      <c r="AP549" s="3">
        <v>1</v>
      </c>
      <c r="AQ549" s="3">
        <v>1</v>
      </c>
      <c r="AR549" s="3">
        <v>1</v>
      </c>
      <c r="AS549" s="3">
        <v>0</v>
      </c>
      <c r="AT549" s="3">
        <v>0</v>
      </c>
      <c r="AU549" s="3">
        <v>0</v>
      </c>
      <c r="AV549" s="3">
        <v>1</v>
      </c>
      <c r="AW549" s="3">
        <v>0</v>
      </c>
      <c r="AX549" s="3">
        <v>1</v>
      </c>
      <c r="AY549" s="3">
        <v>0</v>
      </c>
      <c r="AZ549" s="3">
        <v>0</v>
      </c>
      <c r="BA549" s="3">
        <v>1</v>
      </c>
      <c r="BB549" s="3">
        <v>0</v>
      </c>
      <c r="BC549" s="3">
        <v>0</v>
      </c>
      <c r="BD549" s="3">
        <v>1</v>
      </c>
      <c r="BE549" s="3">
        <v>0</v>
      </c>
      <c r="BG549" s="2" t="s">
        <v>91</v>
      </c>
      <c r="BH549" s="3">
        <v>3</v>
      </c>
      <c r="BJ549" s="2" t="s">
        <v>96</v>
      </c>
      <c r="BL549" s="2" t="s">
        <v>446</v>
      </c>
      <c r="BM549" s="2" t="s">
        <v>447</v>
      </c>
      <c r="BN549" s="2" t="s">
        <v>279</v>
      </c>
      <c r="BO549" s="2" t="s">
        <v>280</v>
      </c>
      <c r="BP549" s="2" t="s">
        <v>242</v>
      </c>
      <c r="BQ549" s="2" t="s">
        <v>448</v>
      </c>
      <c r="BR549" s="2" t="s">
        <v>449</v>
      </c>
      <c r="BS549" s="2" t="s">
        <v>450</v>
      </c>
      <c r="BT549" s="2" t="s">
        <v>1030</v>
      </c>
      <c r="BU549" s="2" t="s">
        <v>1031</v>
      </c>
      <c r="BV549" s="2" t="s">
        <v>166</v>
      </c>
      <c r="BW549" s="2" t="s">
        <v>167</v>
      </c>
      <c r="BX549" s="2" t="s">
        <v>91</v>
      </c>
      <c r="BY54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49" s="2">
        <f>IF(AND(Cases[[#This Row],[Priority Level]]&gt;=3,Cases[[#This Row],[System Role]]&lt;&gt;"Productive"),1,0)</f>
        <v>1</v>
      </c>
      <c r="CA549" s="2">
        <f>IFERROR(IF(Cases[[#This Row],[Days at Customer]]&gt;MAX(1,Cases[[#This Row],[Days at SAP]]*2),1,0),0)</f>
        <v>1</v>
      </c>
      <c r="CB549" s="2">
        <f>IF(AND(Cases[[#This Row],[Initial Component]]&lt;&gt;"",Cases[[#This Row],[Component]]&lt;&gt;"",Cases[[#This Row],[Initial Component]]&lt;&gt;Cases[[#This Row],[Component]]),1,0)</f>
        <v>1</v>
      </c>
      <c r="CC549" s="2">
        <f>IF(OR(Cases[[#This Row],[Is Reopened]]="X",Cases[[#This Row],[No. of Reopenings]]&gt;0),1,0)</f>
        <v>1</v>
      </c>
      <c r="CD549" s="2">
        <f>IF(Cases[[#This Row],[Confirmation Type]]="Automatic",1,0)</f>
        <v>1</v>
      </c>
      <c r="CE549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550" spans="1:83" x14ac:dyDescent="0.2">
      <c r="A550" s="1" t="s">
        <v>3132</v>
      </c>
      <c r="B550" s="2" t="s">
        <v>3133</v>
      </c>
      <c r="C550" s="2" t="s">
        <v>2527</v>
      </c>
      <c r="D550" s="2" t="s">
        <v>238</v>
      </c>
      <c r="E550" s="3">
        <v>0.22</v>
      </c>
      <c r="F550" s="3">
        <v>22.38</v>
      </c>
      <c r="G550" s="2" t="s">
        <v>113</v>
      </c>
      <c r="H550" s="2" t="s">
        <v>113</v>
      </c>
      <c r="I550" s="3" t="s">
        <v>114</v>
      </c>
      <c r="J550" s="3">
        <v>185</v>
      </c>
      <c r="K550" s="2" t="s">
        <v>3134</v>
      </c>
      <c r="L550" s="4">
        <v>46061</v>
      </c>
      <c r="M550" s="4">
        <v>45964</v>
      </c>
      <c r="N550" s="2" t="s">
        <v>2274</v>
      </c>
      <c r="O550" s="2" t="s">
        <v>1805</v>
      </c>
      <c r="P550" s="2" t="s">
        <v>2583</v>
      </c>
      <c r="Q550" s="2" t="s">
        <v>1806</v>
      </c>
      <c r="R550" s="2" t="s">
        <v>2529</v>
      </c>
      <c r="S550" s="4">
        <v>45942</v>
      </c>
      <c r="T550" s="2" t="s">
        <v>2727</v>
      </c>
      <c r="U550" s="2" t="s">
        <v>1805</v>
      </c>
      <c r="V550" s="2" t="s">
        <v>3126</v>
      </c>
      <c r="W550" s="2" t="s">
        <v>1806</v>
      </c>
      <c r="X550" s="2" t="s">
        <v>117</v>
      </c>
      <c r="Y550" s="3" t="s">
        <v>118</v>
      </c>
      <c r="Z550" s="3">
        <v>22.6</v>
      </c>
      <c r="AA550" s="2" t="s">
        <v>90</v>
      </c>
      <c r="AB550" s="2" t="s">
        <v>3135</v>
      </c>
      <c r="AC550" s="2" t="s">
        <v>3136</v>
      </c>
      <c r="AD550" t="str" cm="1">
        <f t="array" ref="AD55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550" s="2" t="s">
        <v>182</v>
      </c>
      <c r="AF550" s="2" t="s">
        <v>92</v>
      </c>
      <c r="AG550" s="2" t="s">
        <v>159</v>
      </c>
      <c r="AH550" s="2" t="s">
        <v>160</v>
      </c>
      <c r="AK550" s="2" t="s">
        <v>3137</v>
      </c>
      <c r="AN550" s="3">
        <v>1</v>
      </c>
      <c r="AO550" s="3">
        <v>1</v>
      </c>
      <c r="AP550" s="3">
        <v>1</v>
      </c>
      <c r="AQ550" s="3">
        <v>1</v>
      </c>
      <c r="AR550" s="3">
        <v>0</v>
      </c>
      <c r="AS550" s="3">
        <v>0</v>
      </c>
      <c r="AT550" s="3">
        <v>0</v>
      </c>
      <c r="AU550" s="3">
        <v>1</v>
      </c>
      <c r="AV550" s="3">
        <v>1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>
        <v>1</v>
      </c>
      <c r="BD550" s="3">
        <v>0</v>
      </c>
      <c r="BE550" s="3">
        <v>1</v>
      </c>
      <c r="BG550" s="2" t="s">
        <v>182</v>
      </c>
      <c r="BH550" s="3">
        <v>4</v>
      </c>
      <c r="BJ550" s="2" t="s">
        <v>96</v>
      </c>
      <c r="BL550" s="2" t="s">
        <v>97</v>
      </c>
      <c r="BM550" s="2" t="s">
        <v>98</v>
      </c>
      <c r="BN550" s="2" t="s">
        <v>99</v>
      </c>
      <c r="BO550" s="2" t="s">
        <v>100</v>
      </c>
      <c r="BP550" s="2" t="s">
        <v>242</v>
      </c>
      <c r="BQ550" s="2" t="s">
        <v>102</v>
      </c>
      <c r="BR550" s="2" t="s">
        <v>103</v>
      </c>
      <c r="BS550" s="2" t="s">
        <v>127</v>
      </c>
      <c r="BT550" s="2" t="s">
        <v>1427</v>
      </c>
      <c r="BU550" s="2" t="s">
        <v>1428</v>
      </c>
      <c r="BV550" s="2" t="s">
        <v>150</v>
      </c>
      <c r="BW550" s="2" t="s">
        <v>151</v>
      </c>
      <c r="BX550" s="2" t="s">
        <v>182</v>
      </c>
      <c r="BY55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50" s="2">
        <f>IF(AND(Cases[[#This Row],[Priority Level]]&gt;=3,Cases[[#This Row],[System Role]]&lt;&gt;"Productive"),1,0)</f>
        <v>0</v>
      </c>
      <c r="CA550" s="2">
        <f>IFERROR(IF(Cases[[#This Row],[Days at Customer]]&gt;MAX(1,Cases[[#This Row],[Days at SAP]]*2),1,0),0)</f>
        <v>1</v>
      </c>
      <c r="CB550" s="2">
        <f>IF(AND(Cases[[#This Row],[Initial Component]]&lt;&gt;"",Cases[[#This Row],[Component]]&lt;&gt;"",Cases[[#This Row],[Initial Component]]&lt;&gt;Cases[[#This Row],[Component]]),1,0)</f>
        <v>1</v>
      </c>
      <c r="CC550" s="2">
        <f>IF(OR(Cases[[#This Row],[Is Reopened]]="X",Cases[[#This Row],[No. of Reopenings]]&gt;0),1,0)</f>
        <v>0</v>
      </c>
      <c r="CD550" s="2">
        <f>IF(Cases[[#This Row],[Confirmation Type]]="Automatic",1,0)</f>
        <v>1</v>
      </c>
      <c r="CE55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51" spans="1:83" x14ac:dyDescent="0.2">
      <c r="A551" s="1" t="s">
        <v>566</v>
      </c>
      <c r="B551" s="2" t="s">
        <v>567</v>
      </c>
      <c r="C551" s="2" t="s">
        <v>111</v>
      </c>
      <c r="D551" s="2" t="s">
        <v>238</v>
      </c>
      <c r="E551" s="3">
        <v>0</v>
      </c>
      <c r="F551" s="3">
        <v>21.48</v>
      </c>
      <c r="G551" s="2" t="s">
        <v>112</v>
      </c>
      <c r="H551" s="2" t="s">
        <v>113</v>
      </c>
      <c r="I551" s="3" t="s">
        <v>114</v>
      </c>
      <c r="J551" s="3">
        <v>41</v>
      </c>
      <c r="K551" s="2" t="s">
        <v>568</v>
      </c>
      <c r="L551" s="4">
        <v>46110</v>
      </c>
      <c r="M551" s="4">
        <v>46109</v>
      </c>
      <c r="N551" s="2" t="s">
        <v>180</v>
      </c>
      <c r="O551" s="2" t="s">
        <v>181</v>
      </c>
      <c r="P551" s="2" t="s">
        <v>195</v>
      </c>
      <c r="Q551" s="2" t="s">
        <v>86</v>
      </c>
      <c r="R551" s="2" t="s">
        <v>116</v>
      </c>
      <c r="S551" s="4">
        <v>46086</v>
      </c>
      <c r="T551" s="2" t="s">
        <v>180</v>
      </c>
      <c r="U551" s="2" t="s">
        <v>181</v>
      </c>
      <c r="V551" s="2" t="s">
        <v>526</v>
      </c>
      <c r="W551" s="2" t="s">
        <v>86</v>
      </c>
      <c r="X551" s="2" t="s">
        <v>117</v>
      </c>
      <c r="Y551" s="3" t="s">
        <v>118</v>
      </c>
      <c r="Z551" s="3">
        <v>21.48</v>
      </c>
      <c r="AA551" s="2" t="s">
        <v>90</v>
      </c>
      <c r="AB551" s="2" t="s">
        <v>116</v>
      </c>
      <c r="AC551" s="2" t="s">
        <v>111</v>
      </c>
      <c r="AD551" t="str" cm="1">
        <f t="array" ref="AD55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551" s="2" t="s">
        <v>91</v>
      </c>
      <c r="AF551" s="2" t="s">
        <v>92</v>
      </c>
      <c r="AG551" s="2" t="s">
        <v>527</v>
      </c>
      <c r="AH551" s="2" t="s">
        <v>528</v>
      </c>
      <c r="AK551" s="2" t="s">
        <v>569</v>
      </c>
      <c r="AN551" s="3">
        <v>1</v>
      </c>
      <c r="AO551" s="3">
        <v>1</v>
      </c>
      <c r="AP551" s="3">
        <v>1</v>
      </c>
      <c r="AQ551" s="3">
        <v>1</v>
      </c>
      <c r="AR551" s="3">
        <v>1</v>
      </c>
      <c r="AS551" s="3">
        <v>0</v>
      </c>
      <c r="AT551" s="3">
        <v>0</v>
      </c>
      <c r="AU551" s="3">
        <v>0</v>
      </c>
      <c r="AV551" s="3">
        <v>1</v>
      </c>
      <c r="AW551" s="3">
        <v>0</v>
      </c>
      <c r="AX551" s="3">
        <v>1</v>
      </c>
      <c r="AY551" s="3">
        <v>0</v>
      </c>
      <c r="AZ551" s="3">
        <v>0</v>
      </c>
      <c r="BA551" s="3">
        <v>0</v>
      </c>
      <c r="BB551" s="3">
        <v>0</v>
      </c>
      <c r="BC551" s="3">
        <v>1</v>
      </c>
      <c r="BD551" s="3">
        <v>0</v>
      </c>
      <c r="BE551" s="3">
        <v>0</v>
      </c>
      <c r="BG551" s="2" t="s">
        <v>91</v>
      </c>
      <c r="BH551" s="3">
        <v>3</v>
      </c>
      <c r="BI551" s="2" t="s">
        <v>122</v>
      </c>
      <c r="BJ551" s="2" t="s">
        <v>96</v>
      </c>
      <c r="BL551" s="2" t="s">
        <v>184</v>
      </c>
      <c r="BM551" s="2" t="s">
        <v>184</v>
      </c>
      <c r="BN551" s="2" t="s">
        <v>124</v>
      </c>
      <c r="BO551" s="2" t="s">
        <v>125</v>
      </c>
      <c r="BP551" s="2" t="s">
        <v>242</v>
      </c>
      <c r="BQ551" s="2" t="s">
        <v>124</v>
      </c>
      <c r="BR551" s="2" t="s">
        <v>126</v>
      </c>
      <c r="BS551" s="2" t="s">
        <v>127</v>
      </c>
      <c r="BT551" s="2" t="s">
        <v>185</v>
      </c>
      <c r="BU551" s="2" t="s">
        <v>530</v>
      </c>
      <c r="BV551" s="2" t="s">
        <v>150</v>
      </c>
      <c r="BW551" s="2" t="s">
        <v>151</v>
      </c>
      <c r="BX551" s="2" t="s">
        <v>91</v>
      </c>
      <c r="BY55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51" s="2">
        <f>IF(AND(Cases[[#This Row],[Priority Level]]&gt;=3,Cases[[#This Row],[System Role]]&lt;&gt;"Productive"),1,0)</f>
        <v>0</v>
      </c>
      <c r="CA551" s="2">
        <f>IFERROR(IF(Cases[[#This Row],[Days at Customer]]&gt;MAX(1,Cases[[#This Row],[Days at SAP]]*2),1,0),0)</f>
        <v>1</v>
      </c>
      <c r="CB551" s="2">
        <f>IF(AND(Cases[[#This Row],[Initial Component]]&lt;&gt;"",Cases[[#This Row],[Component]]&lt;&gt;"",Cases[[#This Row],[Initial Component]]&lt;&gt;Cases[[#This Row],[Component]]),1,0)</f>
        <v>0</v>
      </c>
      <c r="CC551" s="2">
        <f>IF(OR(Cases[[#This Row],[Is Reopened]]="X",Cases[[#This Row],[No. of Reopenings]]&gt;0),1,0)</f>
        <v>0</v>
      </c>
      <c r="CD551" s="2">
        <f>IF(Cases[[#This Row],[Confirmation Type]]="Automatic",1,0)</f>
        <v>1</v>
      </c>
      <c r="CE551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52" spans="1:83" x14ac:dyDescent="0.2">
      <c r="A552" s="1" t="s">
        <v>938</v>
      </c>
      <c r="B552" s="2" t="s">
        <v>939</v>
      </c>
      <c r="C552" s="2" t="s">
        <v>111</v>
      </c>
      <c r="D552" s="2" t="s">
        <v>238</v>
      </c>
      <c r="E552" s="3">
        <v>0</v>
      </c>
      <c r="F552" s="3">
        <v>25.42</v>
      </c>
      <c r="G552" s="2" t="s">
        <v>112</v>
      </c>
      <c r="H552" s="2" t="s">
        <v>113</v>
      </c>
      <c r="I552" s="3" t="s">
        <v>114</v>
      </c>
      <c r="J552" s="3">
        <v>54</v>
      </c>
      <c r="K552" s="2" t="s">
        <v>940</v>
      </c>
      <c r="L552" s="4">
        <v>46110</v>
      </c>
      <c r="M552" s="4">
        <v>46108</v>
      </c>
      <c r="N552" s="2" t="s">
        <v>180</v>
      </c>
      <c r="O552" s="2" t="s">
        <v>181</v>
      </c>
      <c r="P552" s="2" t="s">
        <v>195</v>
      </c>
      <c r="Q552" s="2" t="s">
        <v>86</v>
      </c>
      <c r="R552" s="2" t="s">
        <v>116</v>
      </c>
      <c r="S552" s="4">
        <v>46073</v>
      </c>
      <c r="T552" s="2" t="s">
        <v>677</v>
      </c>
      <c r="U552" s="2" t="s">
        <v>181</v>
      </c>
      <c r="V552" s="2" t="s">
        <v>895</v>
      </c>
      <c r="W552" s="2" t="s">
        <v>86</v>
      </c>
      <c r="X552" s="2" t="s">
        <v>117</v>
      </c>
      <c r="Y552" s="3" t="s">
        <v>118</v>
      </c>
      <c r="Z552" s="3">
        <v>25.42</v>
      </c>
      <c r="AA552" s="2" t="s">
        <v>90</v>
      </c>
      <c r="AB552" s="2" t="s">
        <v>116</v>
      </c>
      <c r="AC552" s="2" t="s">
        <v>111</v>
      </c>
      <c r="AD552" t="str" cm="1">
        <f t="array" ref="AD55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552" s="2" t="s">
        <v>139</v>
      </c>
      <c r="AF552" s="2" t="s">
        <v>92</v>
      </c>
      <c r="AG552" s="2" t="s">
        <v>119</v>
      </c>
      <c r="AH552" s="2" t="s">
        <v>120</v>
      </c>
      <c r="AK552" s="2" t="s">
        <v>941</v>
      </c>
      <c r="AN552" s="3">
        <v>1</v>
      </c>
      <c r="AO552" s="3">
        <v>1</v>
      </c>
      <c r="AP552" s="3">
        <v>1</v>
      </c>
      <c r="AQ552" s="3">
        <v>1</v>
      </c>
      <c r="AR552" s="3">
        <v>0</v>
      </c>
      <c r="AS552" s="3">
        <v>0</v>
      </c>
      <c r="AT552" s="3">
        <v>1</v>
      </c>
      <c r="AU552" s="3">
        <v>0</v>
      </c>
      <c r="AV552" s="3">
        <v>1</v>
      </c>
      <c r="AW552" s="3">
        <v>0</v>
      </c>
      <c r="AX552" s="3">
        <v>0</v>
      </c>
      <c r="AY552" s="3">
        <v>0</v>
      </c>
      <c r="AZ552" s="3">
        <v>1</v>
      </c>
      <c r="BA552" s="3">
        <v>0</v>
      </c>
      <c r="BB552" s="3">
        <v>0</v>
      </c>
      <c r="BC552" s="3">
        <v>1</v>
      </c>
      <c r="BD552" s="3">
        <v>0</v>
      </c>
      <c r="BE552" s="3">
        <v>0</v>
      </c>
      <c r="BG552" s="2" t="s">
        <v>139</v>
      </c>
      <c r="BH552" s="3">
        <v>2</v>
      </c>
      <c r="BI552" s="2" t="s">
        <v>122</v>
      </c>
      <c r="BJ552" s="2" t="s">
        <v>96</v>
      </c>
      <c r="BL552" s="2" t="s">
        <v>123</v>
      </c>
      <c r="BM552" s="2" t="s">
        <v>123</v>
      </c>
      <c r="BN552" s="2" t="s">
        <v>124</v>
      </c>
      <c r="BO552" s="2" t="s">
        <v>125</v>
      </c>
      <c r="BP552" s="2" t="s">
        <v>242</v>
      </c>
      <c r="BQ552" s="2" t="s">
        <v>124</v>
      </c>
      <c r="BR552" s="2" t="s">
        <v>126</v>
      </c>
      <c r="BS552" s="2" t="s">
        <v>127</v>
      </c>
      <c r="BT552" s="2" t="s">
        <v>207</v>
      </c>
      <c r="BU552" s="2" t="s">
        <v>208</v>
      </c>
      <c r="BV552" s="2" t="s">
        <v>150</v>
      </c>
      <c r="BW552" s="2" t="s">
        <v>151</v>
      </c>
      <c r="BX552" s="2" t="s">
        <v>139</v>
      </c>
      <c r="BY55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52" s="2">
        <f>IF(AND(Cases[[#This Row],[Priority Level]]&gt;=3,Cases[[#This Row],[System Role]]&lt;&gt;"Productive"),1,0)</f>
        <v>0</v>
      </c>
      <c r="CA552" s="2">
        <f>IFERROR(IF(Cases[[#This Row],[Days at Customer]]&gt;MAX(1,Cases[[#This Row],[Days at SAP]]*2),1,0),0)</f>
        <v>1</v>
      </c>
      <c r="CB552" s="2">
        <f>IF(AND(Cases[[#This Row],[Initial Component]]&lt;&gt;"",Cases[[#This Row],[Component]]&lt;&gt;"",Cases[[#This Row],[Initial Component]]&lt;&gt;Cases[[#This Row],[Component]]),1,0)</f>
        <v>0</v>
      </c>
      <c r="CC552" s="2">
        <f>IF(OR(Cases[[#This Row],[Is Reopened]]="X",Cases[[#This Row],[No. of Reopenings]]&gt;0),1,0)</f>
        <v>0</v>
      </c>
      <c r="CD552" s="2">
        <f>IF(Cases[[#This Row],[Confirmation Type]]="Automatic",1,0)</f>
        <v>1</v>
      </c>
      <c r="CE552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53" spans="1:83" x14ac:dyDescent="0.2">
      <c r="A553" s="1" t="s">
        <v>3146</v>
      </c>
      <c r="B553" s="2" t="s">
        <v>3147</v>
      </c>
      <c r="C553" s="2" t="s">
        <v>3148</v>
      </c>
      <c r="D553" s="2" t="s">
        <v>238</v>
      </c>
      <c r="E553" s="3">
        <v>8.65</v>
      </c>
      <c r="F553" s="3">
        <v>51.06</v>
      </c>
      <c r="G553" s="2" t="s">
        <v>79</v>
      </c>
      <c r="H553" s="2" t="s">
        <v>290</v>
      </c>
      <c r="I553" s="3" t="s">
        <v>114</v>
      </c>
      <c r="J553" s="3">
        <v>187</v>
      </c>
      <c r="K553" s="2" t="s">
        <v>3149</v>
      </c>
      <c r="L553" s="4">
        <v>46009</v>
      </c>
      <c r="M553" s="4">
        <v>46000</v>
      </c>
      <c r="N553" s="2" t="s">
        <v>1804</v>
      </c>
      <c r="O553" s="2" t="s">
        <v>1805</v>
      </c>
      <c r="P553" s="2" t="s">
        <v>2037</v>
      </c>
      <c r="Q553" s="2" t="s">
        <v>1806</v>
      </c>
      <c r="R553" s="2" t="s">
        <v>3150</v>
      </c>
      <c r="S553" s="4">
        <v>45940</v>
      </c>
      <c r="T553" s="2" t="s">
        <v>2727</v>
      </c>
      <c r="U553" s="2" t="s">
        <v>1805</v>
      </c>
      <c r="V553" s="2" t="s">
        <v>3126</v>
      </c>
      <c r="W553" s="2" t="s">
        <v>1806</v>
      </c>
      <c r="X553" s="2" t="s">
        <v>117</v>
      </c>
      <c r="Y553" s="3" t="s">
        <v>118</v>
      </c>
      <c r="Z553" s="3">
        <v>59.71</v>
      </c>
      <c r="AA553" s="2" t="s">
        <v>90</v>
      </c>
      <c r="AB553" s="2" t="s">
        <v>2423</v>
      </c>
      <c r="AC553" s="2" t="s">
        <v>2421</v>
      </c>
      <c r="AD553" t="str" cm="1">
        <f t="array" ref="AD55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553" s="2" t="s">
        <v>91</v>
      </c>
      <c r="AF553" s="2" t="s">
        <v>92</v>
      </c>
      <c r="AG553" s="2" t="s">
        <v>119</v>
      </c>
      <c r="AH553" s="2" t="s">
        <v>120</v>
      </c>
      <c r="AJ553" s="2" t="s">
        <v>122</v>
      </c>
      <c r="AK553" s="2" t="s">
        <v>3151</v>
      </c>
      <c r="AN553" s="3">
        <v>1</v>
      </c>
      <c r="AO553" s="3">
        <v>1</v>
      </c>
      <c r="AP553" s="3">
        <v>1</v>
      </c>
      <c r="AQ553" s="3">
        <v>1</v>
      </c>
      <c r="AR553" s="3">
        <v>1</v>
      </c>
      <c r="AS553" s="3">
        <v>0</v>
      </c>
      <c r="AT553" s="3">
        <v>0</v>
      </c>
      <c r="AU553" s="3">
        <v>0</v>
      </c>
      <c r="AV553" s="3">
        <v>1</v>
      </c>
      <c r="AW553" s="3">
        <v>0</v>
      </c>
      <c r="AX553" s="3">
        <v>1</v>
      </c>
      <c r="AY553" s="3">
        <v>0</v>
      </c>
      <c r="AZ553" s="3">
        <v>0</v>
      </c>
      <c r="BA553" s="3">
        <v>0</v>
      </c>
      <c r="BB553" s="3">
        <v>0</v>
      </c>
      <c r="BC553" s="3">
        <v>1</v>
      </c>
      <c r="BD553" s="3">
        <v>1</v>
      </c>
      <c r="BE553" s="3">
        <v>0</v>
      </c>
      <c r="BG553" s="2" t="s">
        <v>91</v>
      </c>
      <c r="BH553" s="3">
        <v>3</v>
      </c>
      <c r="BJ553" s="2" t="s">
        <v>96</v>
      </c>
      <c r="BL553" s="2" t="s">
        <v>123</v>
      </c>
      <c r="BM553" s="2" t="s">
        <v>123</v>
      </c>
      <c r="BN553" s="2" t="s">
        <v>124</v>
      </c>
      <c r="BO553" s="2" t="s">
        <v>125</v>
      </c>
      <c r="BP553" s="2" t="s">
        <v>242</v>
      </c>
      <c r="BQ553" s="2" t="s">
        <v>124</v>
      </c>
      <c r="BR553" s="2" t="s">
        <v>126</v>
      </c>
      <c r="BS553" s="2" t="s">
        <v>127</v>
      </c>
      <c r="BT553" s="2" t="s">
        <v>420</v>
      </c>
      <c r="BU553" s="2" t="s">
        <v>421</v>
      </c>
      <c r="BV553" s="2" t="s">
        <v>150</v>
      </c>
      <c r="BW553" s="2" t="s">
        <v>151</v>
      </c>
      <c r="BX553" s="2" t="s">
        <v>91</v>
      </c>
      <c r="BY55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53" s="2">
        <f>IF(AND(Cases[[#This Row],[Priority Level]]&gt;=3,Cases[[#This Row],[System Role]]&lt;&gt;"Productive"),1,0)</f>
        <v>0</v>
      </c>
      <c r="CA553" s="2">
        <f>IFERROR(IF(Cases[[#This Row],[Days at Customer]]&gt;MAX(1,Cases[[#This Row],[Days at SAP]]*2),1,0),0)</f>
        <v>1</v>
      </c>
      <c r="CB553" s="2">
        <f>IF(AND(Cases[[#This Row],[Initial Component]]&lt;&gt;"",Cases[[#This Row],[Component]]&lt;&gt;"",Cases[[#This Row],[Initial Component]]&lt;&gt;Cases[[#This Row],[Component]]),1,0)</f>
        <v>1</v>
      </c>
      <c r="CC553" s="2">
        <f>IF(OR(Cases[[#This Row],[Is Reopened]]="X",Cases[[#This Row],[No. of Reopenings]]&gt;0),1,0)</f>
        <v>1</v>
      </c>
      <c r="CD553" s="2">
        <f>IF(Cases[[#This Row],[Confirmation Type]]="Automatic",1,0)</f>
        <v>1</v>
      </c>
      <c r="CE553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554" spans="1:83" x14ac:dyDescent="0.2">
      <c r="A554" s="1" t="s">
        <v>3152</v>
      </c>
      <c r="B554" s="2" t="s">
        <v>3153</v>
      </c>
      <c r="C554" s="2" t="s">
        <v>2236</v>
      </c>
      <c r="D554" s="2" t="s">
        <v>78</v>
      </c>
      <c r="E554" s="3">
        <v>8.3000000000000007</v>
      </c>
      <c r="F554" s="3">
        <v>9.57</v>
      </c>
      <c r="G554" s="2" t="s">
        <v>79</v>
      </c>
      <c r="H554" s="2" t="s">
        <v>290</v>
      </c>
      <c r="I554" s="3" t="s">
        <v>114</v>
      </c>
      <c r="J554" s="3">
        <v>187</v>
      </c>
      <c r="K554" s="2" t="s">
        <v>3154</v>
      </c>
      <c r="L554" s="4">
        <v>46054</v>
      </c>
      <c r="M554" s="4">
        <v>45958</v>
      </c>
      <c r="N554" s="2" t="s">
        <v>2727</v>
      </c>
      <c r="O554" s="2" t="s">
        <v>1805</v>
      </c>
      <c r="P554" s="2" t="s">
        <v>2717</v>
      </c>
      <c r="Q554" s="2" t="s">
        <v>1806</v>
      </c>
      <c r="R554" s="2" t="s">
        <v>2238</v>
      </c>
      <c r="S554" s="4">
        <v>45940</v>
      </c>
      <c r="T554" s="2" t="s">
        <v>2727</v>
      </c>
      <c r="U554" s="2" t="s">
        <v>1805</v>
      </c>
      <c r="V554" s="2" t="s">
        <v>3126</v>
      </c>
      <c r="W554" s="2" t="s">
        <v>1806</v>
      </c>
      <c r="X554" s="2" t="s">
        <v>117</v>
      </c>
      <c r="Y554" s="3" t="s">
        <v>118</v>
      </c>
      <c r="Z554" s="3">
        <v>17.88</v>
      </c>
      <c r="AA554" s="2" t="s">
        <v>90</v>
      </c>
      <c r="AB554" s="2" t="s">
        <v>1040</v>
      </c>
      <c r="AC554" s="2" t="s">
        <v>3155</v>
      </c>
      <c r="AD554" t="str" cm="1">
        <f t="array" ref="AD55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554" s="2" t="s">
        <v>91</v>
      </c>
      <c r="AF554" s="2" t="s">
        <v>92</v>
      </c>
      <c r="AG554" s="2" t="s">
        <v>119</v>
      </c>
      <c r="AH554" s="2" t="s">
        <v>120</v>
      </c>
      <c r="AK554" s="2" t="s">
        <v>3156</v>
      </c>
      <c r="AN554" s="3">
        <v>1</v>
      </c>
      <c r="AO554" s="3">
        <v>1</v>
      </c>
      <c r="AP554" s="3">
        <v>1</v>
      </c>
      <c r="AQ554" s="3">
        <v>1</v>
      </c>
      <c r="AR554" s="3">
        <v>1</v>
      </c>
      <c r="AS554" s="3">
        <v>0</v>
      </c>
      <c r="AT554" s="3">
        <v>0</v>
      </c>
      <c r="AU554" s="3">
        <v>0</v>
      </c>
      <c r="AV554" s="3">
        <v>0</v>
      </c>
      <c r="AW554" s="3">
        <v>1</v>
      </c>
      <c r="AX554" s="3">
        <v>1</v>
      </c>
      <c r="AY554" s="3">
        <v>0</v>
      </c>
      <c r="AZ554" s="3">
        <v>0</v>
      </c>
      <c r="BA554" s="3">
        <v>0</v>
      </c>
      <c r="BB554" s="3">
        <v>0</v>
      </c>
      <c r="BC554" s="3">
        <v>1</v>
      </c>
      <c r="BD554" s="3">
        <v>0</v>
      </c>
      <c r="BE554" s="3">
        <v>0</v>
      </c>
      <c r="BG554" s="2" t="s">
        <v>91</v>
      </c>
      <c r="BH554" s="3">
        <v>3</v>
      </c>
      <c r="BJ554" s="2" t="s">
        <v>96</v>
      </c>
      <c r="BL554" s="2" t="s">
        <v>123</v>
      </c>
      <c r="BM554" s="2" t="s">
        <v>123</v>
      </c>
      <c r="BN554" s="2" t="s">
        <v>124</v>
      </c>
      <c r="BO554" s="2" t="s">
        <v>125</v>
      </c>
      <c r="BP554" s="2" t="s">
        <v>101</v>
      </c>
      <c r="BQ554" s="2" t="s">
        <v>124</v>
      </c>
      <c r="BR554" s="2" t="s">
        <v>126</v>
      </c>
      <c r="BS554" s="2" t="s">
        <v>127</v>
      </c>
      <c r="BT554" s="2" t="s">
        <v>207</v>
      </c>
      <c r="BU554" s="2" t="s">
        <v>208</v>
      </c>
      <c r="BV554" s="2" t="s">
        <v>150</v>
      </c>
      <c r="BW554" s="2" t="s">
        <v>151</v>
      </c>
      <c r="BX554" s="2" t="s">
        <v>91</v>
      </c>
      <c r="BY55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54" s="2">
        <f>IF(AND(Cases[[#This Row],[Priority Level]]&gt;=3,Cases[[#This Row],[System Role]]&lt;&gt;"Productive"),1,0)</f>
        <v>0</v>
      </c>
      <c r="CA554" s="2">
        <f>IFERROR(IF(Cases[[#This Row],[Days at Customer]]&gt;MAX(1,Cases[[#This Row],[Days at SAP]]*2),1,0),0)</f>
        <v>0</v>
      </c>
      <c r="CB554" s="2">
        <f>IF(AND(Cases[[#This Row],[Initial Component]]&lt;&gt;"",Cases[[#This Row],[Component]]&lt;&gt;"",Cases[[#This Row],[Initial Component]]&lt;&gt;Cases[[#This Row],[Component]]),1,0)</f>
        <v>1</v>
      </c>
      <c r="CC554" s="2">
        <f>IF(OR(Cases[[#This Row],[Is Reopened]]="X",Cases[[#This Row],[No. of Reopenings]]&gt;0),1,0)</f>
        <v>0</v>
      </c>
      <c r="CD554" s="2">
        <f>IF(Cases[[#This Row],[Confirmation Type]]="Automatic",1,0)</f>
        <v>0</v>
      </c>
      <c r="CE554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55" spans="1:83" x14ac:dyDescent="0.2">
      <c r="A555" s="1" t="s">
        <v>3157</v>
      </c>
      <c r="B555" s="2" t="s">
        <v>3158</v>
      </c>
      <c r="C555" s="2" t="s">
        <v>197</v>
      </c>
      <c r="D555" s="2" t="s">
        <v>238</v>
      </c>
      <c r="E555" s="3">
        <v>39.79</v>
      </c>
      <c r="F555" s="3">
        <v>48.81</v>
      </c>
      <c r="G555" s="2" t="s">
        <v>79</v>
      </c>
      <c r="H555" s="2" t="s">
        <v>178</v>
      </c>
      <c r="I555" s="3" t="s">
        <v>114</v>
      </c>
      <c r="J555" s="3">
        <v>187</v>
      </c>
      <c r="K555" s="2" t="s">
        <v>3159</v>
      </c>
      <c r="L555" s="4">
        <v>46033</v>
      </c>
      <c r="M555" s="4">
        <v>46029</v>
      </c>
      <c r="N555" s="2" t="s">
        <v>1334</v>
      </c>
      <c r="O555" s="2" t="s">
        <v>181</v>
      </c>
      <c r="P555" s="2" t="s">
        <v>677</v>
      </c>
      <c r="Q555" s="2" t="s">
        <v>86</v>
      </c>
      <c r="R555" s="2" t="s">
        <v>196</v>
      </c>
      <c r="S555" s="4">
        <v>45940</v>
      </c>
      <c r="T555" s="2" t="s">
        <v>2727</v>
      </c>
      <c r="U555" s="2" t="s">
        <v>1805</v>
      </c>
      <c r="V555" s="2" t="s">
        <v>3126</v>
      </c>
      <c r="W555" s="2" t="s">
        <v>1806</v>
      </c>
      <c r="X555" s="2" t="s">
        <v>117</v>
      </c>
      <c r="Y555" s="3" t="s">
        <v>118</v>
      </c>
      <c r="Z555" s="3">
        <v>88.6</v>
      </c>
      <c r="AA555" s="2" t="s">
        <v>90</v>
      </c>
      <c r="AB555" s="2" t="s">
        <v>196</v>
      </c>
      <c r="AC555" s="2" t="s">
        <v>3160</v>
      </c>
      <c r="AD555" t="str" cm="1">
        <f t="array" ref="AD55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555" s="2" t="s">
        <v>91</v>
      </c>
      <c r="AF555" s="2" t="s">
        <v>92</v>
      </c>
      <c r="AG555" s="2" t="s">
        <v>119</v>
      </c>
      <c r="AH555" s="2" t="s">
        <v>120</v>
      </c>
      <c r="AK555" s="2" t="s">
        <v>3161</v>
      </c>
      <c r="AN555" s="3">
        <v>1</v>
      </c>
      <c r="AO555" s="3">
        <v>1</v>
      </c>
      <c r="AP555" s="3">
        <v>1</v>
      </c>
      <c r="AQ555" s="3">
        <v>1</v>
      </c>
      <c r="AR555" s="3">
        <v>1</v>
      </c>
      <c r="AS555" s="3">
        <v>0</v>
      </c>
      <c r="AT555" s="3">
        <v>0</v>
      </c>
      <c r="AU555" s="3">
        <v>0</v>
      </c>
      <c r="AV555" s="3">
        <v>1</v>
      </c>
      <c r="AW555" s="3">
        <v>0</v>
      </c>
      <c r="AX555" s="3">
        <v>1</v>
      </c>
      <c r="AY555" s="3">
        <v>0</v>
      </c>
      <c r="AZ555" s="3">
        <v>0</v>
      </c>
      <c r="BA555" s="3">
        <v>0</v>
      </c>
      <c r="BB555" s="3">
        <v>0</v>
      </c>
      <c r="BC555" s="3">
        <v>1</v>
      </c>
      <c r="BD555" s="3">
        <v>0</v>
      </c>
      <c r="BE555" s="3">
        <v>0</v>
      </c>
      <c r="BG555" s="2" t="s">
        <v>91</v>
      </c>
      <c r="BH555" s="3">
        <v>3</v>
      </c>
      <c r="BJ555" s="2" t="s">
        <v>96</v>
      </c>
      <c r="BL555" s="2" t="s">
        <v>123</v>
      </c>
      <c r="BM555" s="2" t="s">
        <v>123</v>
      </c>
      <c r="BN555" s="2" t="s">
        <v>124</v>
      </c>
      <c r="BO555" s="2" t="s">
        <v>125</v>
      </c>
      <c r="BP555" s="2" t="s">
        <v>242</v>
      </c>
      <c r="BQ555" s="2" t="s">
        <v>124</v>
      </c>
      <c r="BR555" s="2" t="s">
        <v>126</v>
      </c>
      <c r="BS555" s="2" t="s">
        <v>127</v>
      </c>
      <c r="BT555" s="2" t="s">
        <v>207</v>
      </c>
      <c r="BU555" s="2" t="s">
        <v>208</v>
      </c>
      <c r="BV555" s="2" t="s">
        <v>150</v>
      </c>
      <c r="BW555" s="2" t="s">
        <v>151</v>
      </c>
      <c r="BX555" s="2" t="s">
        <v>91</v>
      </c>
      <c r="BY55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55" s="2">
        <f>IF(AND(Cases[[#This Row],[Priority Level]]&gt;=3,Cases[[#This Row],[System Role]]&lt;&gt;"Productive"),1,0)</f>
        <v>0</v>
      </c>
      <c r="CA555" s="2">
        <f>IFERROR(IF(Cases[[#This Row],[Days at Customer]]&gt;MAX(1,Cases[[#This Row],[Days at SAP]]*2),1,0),0)</f>
        <v>0</v>
      </c>
      <c r="CB555" s="2">
        <f>IF(AND(Cases[[#This Row],[Initial Component]]&lt;&gt;"",Cases[[#This Row],[Component]]&lt;&gt;"",Cases[[#This Row],[Initial Component]]&lt;&gt;Cases[[#This Row],[Component]]),1,0)</f>
        <v>0</v>
      </c>
      <c r="CC555" s="2">
        <f>IF(OR(Cases[[#This Row],[Is Reopened]]="X",Cases[[#This Row],[No. of Reopenings]]&gt;0),1,0)</f>
        <v>0</v>
      </c>
      <c r="CD555" s="2">
        <f>IF(Cases[[#This Row],[Confirmation Type]]="Automatic",1,0)</f>
        <v>1</v>
      </c>
      <c r="CE555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56" spans="1:83" x14ac:dyDescent="0.2">
      <c r="A556" s="1" t="s">
        <v>3162</v>
      </c>
      <c r="B556" s="2" t="s">
        <v>3163</v>
      </c>
      <c r="C556" s="2" t="s">
        <v>604</v>
      </c>
      <c r="D556" s="2" t="s">
        <v>238</v>
      </c>
      <c r="E556" s="3">
        <v>3.18</v>
      </c>
      <c r="F556" s="3">
        <v>21.32</v>
      </c>
      <c r="G556" s="2" t="s">
        <v>133</v>
      </c>
      <c r="H556" s="2" t="s">
        <v>324</v>
      </c>
      <c r="I556" s="3" t="s">
        <v>114</v>
      </c>
      <c r="J556" s="3">
        <v>187</v>
      </c>
      <c r="K556" s="2" t="s">
        <v>3164</v>
      </c>
      <c r="L556" s="4">
        <v>46061</v>
      </c>
      <c r="M556" s="4">
        <v>45965</v>
      </c>
      <c r="N556" s="2" t="s">
        <v>2274</v>
      </c>
      <c r="O556" s="2" t="s">
        <v>1805</v>
      </c>
      <c r="P556" s="2" t="s">
        <v>2583</v>
      </c>
      <c r="Q556" s="2" t="s">
        <v>1806</v>
      </c>
      <c r="R556" s="2" t="s">
        <v>606</v>
      </c>
      <c r="S556" s="4">
        <v>45940</v>
      </c>
      <c r="T556" s="2" t="s">
        <v>2727</v>
      </c>
      <c r="U556" s="2" t="s">
        <v>1805</v>
      </c>
      <c r="V556" s="2" t="s">
        <v>3126</v>
      </c>
      <c r="W556" s="2" t="s">
        <v>1806</v>
      </c>
      <c r="X556" s="2" t="s">
        <v>117</v>
      </c>
      <c r="Y556" s="3" t="s">
        <v>118</v>
      </c>
      <c r="Z556" s="3">
        <v>24.5</v>
      </c>
      <c r="AA556" s="2" t="s">
        <v>90</v>
      </c>
      <c r="AB556" s="2" t="s">
        <v>606</v>
      </c>
      <c r="AC556" s="2" t="s">
        <v>604</v>
      </c>
      <c r="AD556" t="str" cm="1">
        <f t="array" ref="AD55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556" s="2" t="s">
        <v>91</v>
      </c>
      <c r="AF556" s="2" t="s">
        <v>92</v>
      </c>
      <c r="AG556" s="2" t="s">
        <v>119</v>
      </c>
      <c r="AH556" s="2" t="s">
        <v>120</v>
      </c>
      <c r="AK556" s="2" t="s">
        <v>3165</v>
      </c>
      <c r="AN556" s="3">
        <v>1</v>
      </c>
      <c r="AO556" s="3">
        <v>1</v>
      </c>
      <c r="AP556" s="3">
        <v>1</v>
      </c>
      <c r="AQ556" s="3">
        <v>1</v>
      </c>
      <c r="AR556" s="3">
        <v>1</v>
      </c>
      <c r="AS556" s="3">
        <v>0</v>
      </c>
      <c r="AT556" s="3">
        <v>0</v>
      </c>
      <c r="AU556" s="3">
        <v>0</v>
      </c>
      <c r="AV556" s="3">
        <v>1</v>
      </c>
      <c r="AW556" s="3">
        <v>0</v>
      </c>
      <c r="AX556" s="3">
        <v>1</v>
      </c>
      <c r="AY556" s="3">
        <v>0</v>
      </c>
      <c r="AZ556" s="3">
        <v>0</v>
      </c>
      <c r="BA556" s="3">
        <v>1</v>
      </c>
      <c r="BB556" s="3">
        <v>0</v>
      </c>
      <c r="BC556" s="3">
        <v>0</v>
      </c>
      <c r="BD556" s="3">
        <v>0</v>
      </c>
      <c r="BE556" s="3">
        <v>0</v>
      </c>
      <c r="BG556" s="2" t="s">
        <v>91</v>
      </c>
      <c r="BH556" s="3">
        <v>3</v>
      </c>
      <c r="BJ556" s="2" t="s">
        <v>96</v>
      </c>
      <c r="BL556" s="2" t="s">
        <v>123</v>
      </c>
      <c r="BM556" s="2" t="s">
        <v>123</v>
      </c>
      <c r="BN556" s="2" t="s">
        <v>124</v>
      </c>
      <c r="BO556" s="2" t="s">
        <v>125</v>
      </c>
      <c r="BP556" s="2" t="s">
        <v>242</v>
      </c>
      <c r="BQ556" s="2" t="s">
        <v>124</v>
      </c>
      <c r="BR556" s="2" t="s">
        <v>126</v>
      </c>
      <c r="BS556" s="2" t="s">
        <v>127</v>
      </c>
      <c r="BT556" s="2" t="s">
        <v>2343</v>
      </c>
      <c r="BU556" s="2" t="s">
        <v>2344</v>
      </c>
      <c r="BV556" s="2" t="s">
        <v>107</v>
      </c>
      <c r="BW556" s="2" t="s">
        <v>108</v>
      </c>
      <c r="BX556" s="2" t="s">
        <v>91</v>
      </c>
      <c r="BY55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56" s="2">
        <f>IF(AND(Cases[[#This Row],[Priority Level]]&gt;=3,Cases[[#This Row],[System Role]]&lt;&gt;"Productive"),1,0)</f>
        <v>1</v>
      </c>
      <c r="CA556" s="2">
        <f>IFERROR(IF(Cases[[#This Row],[Days at Customer]]&gt;MAX(1,Cases[[#This Row],[Days at SAP]]*2),1,0),0)</f>
        <v>1</v>
      </c>
      <c r="CB556" s="2">
        <f>IF(AND(Cases[[#This Row],[Initial Component]]&lt;&gt;"",Cases[[#This Row],[Component]]&lt;&gt;"",Cases[[#This Row],[Initial Component]]&lt;&gt;Cases[[#This Row],[Component]]),1,0)</f>
        <v>0</v>
      </c>
      <c r="CC556" s="2">
        <f>IF(OR(Cases[[#This Row],[Is Reopened]]="X",Cases[[#This Row],[No. of Reopenings]]&gt;0),1,0)</f>
        <v>0</v>
      </c>
      <c r="CD556" s="2">
        <f>IF(Cases[[#This Row],[Confirmation Type]]="Automatic",1,0)</f>
        <v>1</v>
      </c>
      <c r="CE55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57" spans="1:83" x14ac:dyDescent="0.2">
      <c r="A557" s="1" t="s">
        <v>3166</v>
      </c>
      <c r="B557" s="2" t="s">
        <v>3167</v>
      </c>
      <c r="C557" s="2" t="s">
        <v>550</v>
      </c>
      <c r="D557" s="2" t="s">
        <v>238</v>
      </c>
      <c r="E557" s="3">
        <v>10.44</v>
      </c>
      <c r="F557" s="3">
        <v>21.13</v>
      </c>
      <c r="G557" s="2" t="s">
        <v>79</v>
      </c>
      <c r="H557" s="2" t="s">
        <v>290</v>
      </c>
      <c r="I557" s="3" t="s">
        <v>114</v>
      </c>
      <c r="J557" s="3">
        <v>187</v>
      </c>
      <c r="K557" s="2" t="s">
        <v>3168</v>
      </c>
      <c r="L557" s="4">
        <v>46063</v>
      </c>
      <c r="M557" s="4">
        <v>45971</v>
      </c>
      <c r="N557" s="2" t="s">
        <v>2274</v>
      </c>
      <c r="O557" s="2" t="s">
        <v>1805</v>
      </c>
      <c r="P557" s="2" t="s">
        <v>2467</v>
      </c>
      <c r="Q557" s="2" t="s">
        <v>1806</v>
      </c>
      <c r="R557" s="2" t="s">
        <v>552</v>
      </c>
      <c r="S557" s="4">
        <v>45940</v>
      </c>
      <c r="T557" s="2" t="s">
        <v>2727</v>
      </c>
      <c r="U557" s="2" t="s">
        <v>1805</v>
      </c>
      <c r="V557" s="2" t="s">
        <v>3126</v>
      </c>
      <c r="W557" s="2" t="s">
        <v>1806</v>
      </c>
      <c r="X557" s="2" t="s">
        <v>117</v>
      </c>
      <c r="Y557" s="3" t="s">
        <v>118</v>
      </c>
      <c r="Z557" s="3">
        <v>31.57</v>
      </c>
      <c r="AA557" s="2" t="s">
        <v>90</v>
      </c>
      <c r="AB557" s="2" t="s">
        <v>3169</v>
      </c>
      <c r="AC557" s="2" t="s">
        <v>3170</v>
      </c>
      <c r="AD557" t="str" cm="1">
        <f t="array" ref="AD55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557" s="2" t="s">
        <v>91</v>
      </c>
      <c r="AF557" s="2" t="s">
        <v>92</v>
      </c>
      <c r="AG557" s="2" t="s">
        <v>119</v>
      </c>
      <c r="AH557" s="2" t="s">
        <v>120</v>
      </c>
      <c r="AK557" s="2" t="s">
        <v>3171</v>
      </c>
      <c r="AN557" s="3">
        <v>1</v>
      </c>
      <c r="AO557" s="3">
        <v>1</v>
      </c>
      <c r="AP557" s="3">
        <v>1</v>
      </c>
      <c r="AQ557" s="3">
        <v>1</v>
      </c>
      <c r="AR557" s="3">
        <v>1</v>
      </c>
      <c r="AS557" s="3">
        <v>0</v>
      </c>
      <c r="AT557" s="3">
        <v>0</v>
      </c>
      <c r="AU557" s="3">
        <v>0</v>
      </c>
      <c r="AV557" s="3">
        <v>1</v>
      </c>
      <c r="AW557" s="3">
        <v>0</v>
      </c>
      <c r="AX557" s="3">
        <v>1</v>
      </c>
      <c r="AY557" s="3">
        <v>0</v>
      </c>
      <c r="AZ557" s="3">
        <v>0</v>
      </c>
      <c r="BA557" s="3">
        <v>1</v>
      </c>
      <c r="BB557" s="3">
        <v>0</v>
      </c>
      <c r="BC557" s="3">
        <v>0</v>
      </c>
      <c r="BD557" s="3">
        <v>0</v>
      </c>
      <c r="BE557" s="3">
        <v>0</v>
      </c>
      <c r="BG557" s="2" t="s">
        <v>91</v>
      </c>
      <c r="BH557" s="3">
        <v>3</v>
      </c>
      <c r="BJ557" s="2" t="s">
        <v>96</v>
      </c>
      <c r="BL557" s="2" t="s">
        <v>123</v>
      </c>
      <c r="BM557" s="2" t="s">
        <v>123</v>
      </c>
      <c r="BN557" s="2" t="s">
        <v>124</v>
      </c>
      <c r="BO557" s="2" t="s">
        <v>125</v>
      </c>
      <c r="BP557" s="2" t="s">
        <v>242</v>
      </c>
      <c r="BQ557" s="2" t="s">
        <v>124</v>
      </c>
      <c r="BR557" s="2" t="s">
        <v>126</v>
      </c>
      <c r="BS557" s="2" t="s">
        <v>127</v>
      </c>
      <c r="BT557" s="2" t="s">
        <v>199</v>
      </c>
      <c r="BU557" s="2" t="s">
        <v>200</v>
      </c>
      <c r="BV557" s="2" t="s">
        <v>166</v>
      </c>
      <c r="BW557" s="2" t="s">
        <v>167</v>
      </c>
      <c r="BX557" s="2" t="s">
        <v>91</v>
      </c>
      <c r="BY55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57" s="2">
        <f>IF(AND(Cases[[#This Row],[Priority Level]]&gt;=3,Cases[[#This Row],[System Role]]&lt;&gt;"Productive"),1,0)</f>
        <v>1</v>
      </c>
      <c r="CA557" s="2">
        <f>IFERROR(IF(Cases[[#This Row],[Days at Customer]]&gt;MAX(1,Cases[[#This Row],[Days at SAP]]*2),1,0),0)</f>
        <v>1</v>
      </c>
      <c r="CB557" s="2">
        <f>IF(AND(Cases[[#This Row],[Initial Component]]&lt;&gt;"",Cases[[#This Row],[Component]]&lt;&gt;"",Cases[[#This Row],[Initial Component]]&lt;&gt;Cases[[#This Row],[Component]]),1,0)</f>
        <v>1</v>
      </c>
      <c r="CC557" s="2">
        <f>IF(OR(Cases[[#This Row],[Is Reopened]]="X",Cases[[#This Row],[No. of Reopenings]]&gt;0),1,0)</f>
        <v>0</v>
      </c>
      <c r="CD557" s="2">
        <f>IF(Cases[[#This Row],[Confirmation Type]]="Automatic",1,0)</f>
        <v>1</v>
      </c>
      <c r="CE557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558" spans="1:83" x14ac:dyDescent="0.2">
      <c r="A558" s="1" t="s">
        <v>3172</v>
      </c>
      <c r="B558" s="2" t="s">
        <v>3173</v>
      </c>
      <c r="C558" s="2" t="s">
        <v>876</v>
      </c>
      <c r="D558" s="2" t="s">
        <v>238</v>
      </c>
      <c r="E558" s="3">
        <v>4.8499999999999996</v>
      </c>
      <c r="F558" s="3">
        <v>21.77</v>
      </c>
      <c r="G558" s="2" t="s">
        <v>190</v>
      </c>
      <c r="H558" s="2" t="s">
        <v>191</v>
      </c>
      <c r="I558" s="3" t="s">
        <v>114</v>
      </c>
      <c r="J558" s="3">
        <v>188</v>
      </c>
      <c r="K558" s="2" t="s">
        <v>3174</v>
      </c>
      <c r="L558" s="4">
        <v>46061</v>
      </c>
      <c r="M558" s="4">
        <v>45966</v>
      </c>
      <c r="N558" s="2" t="s">
        <v>2274</v>
      </c>
      <c r="O558" s="2" t="s">
        <v>1805</v>
      </c>
      <c r="P558" s="2" t="s">
        <v>2583</v>
      </c>
      <c r="Q558" s="2" t="s">
        <v>1806</v>
      </c>
      <c r="R558" s="2" t="s">
        <v>878</v>
      </c>
      <c r="S558" s="4">
        <v>45939</v>
      </c>
      <c r="T558" s="2" t="s">
        <v>2727</v>
      </c>
      <c r="U558" s="2" t="s">
        <v>1805</v>
      </c>
      <c r="V558" s="2" t="s">
        <v>3126</v>
      </c>
      <c r="W558" s="2" t="s">
        <v>1806</v>
      </c>
      <c r="X558" s="2" t="s">
        <v>117</v>
      </c>
      <c r="Y558" s="3" t="s">
        <v>118</v>
      </c>
      <c r="Z558" s="3">
        <v>26.62</v>
      </c>
      <c r="AA558" s="2" t="s">
        <v>90</v>
      </c>
      <c r="AB558" s="2" t="s">
        <v>878</v>
      </c>
      <c r="AC558" s="2" t="s">
        <v>876</v>
      </c>
      <c r="AD558" t="str" cm="1">
        <f t="array" ref="AD55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558" s="2" t="s">
        <v>91</v>
      </c>
      <c r="AF558" s="2" t="s">
        <v>92</v>
      </c>
      <c r="AG558" s="2" t="s">
        <v>119</v>
      </c>
      <c r="AH558" s="2" t="s">
        <v>120</v>
      </c>
      <c r="AK558" s="2" t="s">
        <v>3175</v>
      </c>
      <c r="AN558" s="3">
        <v>1</v>
      </c>
      <c r="AO558" s="3">
        <v>1</v>
      </c>
      <c r="AP558" s="3">
        <v>1</v>
      </c>
      <c r="AQ558" s="3">
        <v>1</v>
      </c>
      <c r="AR558" s="3">
        <v>1</v>
      </c>
      <c r="AS558" s="3">
        <v>0</v>
      </c>
      <c r="AT558" s="3">
        <v>0</v>
      </c>
      <c r="AU558" s="3">
        <v>0</v>
      </c>
      <c r="AV558" s="3">
        <v>1</v>
      </c>
      <c r="AW558" s="3">
        <v>0</v>
      </c>
      <c r="AX558" s="3">
        <v>1</v>
      </c>
      <c r="AY558" s="3">
        <v>0</v>
      </c>
      <c r="AZ558" s="3">
        <v>0</v>
      </c>
      <c r="BA558" s="3">
        <v>0</v>
      </c>
      <c r="BB558" s="3">
        <v>0</v>
      </c>
      <c r="BC558" s="3">
        <v>1</v>
      </c>
      <c r="BD558" s="3">
        <v>0</v>
      </c>
      <c r="BE558" s="3">
        <v>0</v>
      </c>
      <c r="BG558" s="2" t="s">
        <v>91</v>
      </c>
      <c r="BH558" s="3">
        <v>3</v>
      </c>
      <c r="BJ558" s="2" t="s">
        <v>96</v>
      </c>
      <c r="BL558" s="2" t="s">
        <v>123</v>
      </c>
      <c r="BM558" s="2" t="s">
        <v>123</v>
      </c>
      <c r="BN558" s="2" t="s">
        <v>124</v>
      </c>
      <c r="BO558" s="2" t="s">
        <v>125</v>
      </c>
      <c r="BP558" s="2" t="s">
        <v>242</v>
      </c>
      <c r="BQ558" s="2" t="s">
        <v>124</v>
      </c>
      <c r="BR558" s="2" t="s">
        <v>126</v>
      </c>
      <c r="BS558" s="2" t="s">
        <v>127</v>
      </c>
      <c r="BT558" s="2" t="s">
        <v>207</v>
      </c>
      <c r="BU558" s="2" t="s">
        <v>208</v>
      </c>
      <c r="BV558" s="2" t="s">
        <v>150</v>
      </c>
      <c r="BW558" s="2" t="s">
        <v>151</v>
      </c>
      <c r="BX558" s="2" t="s">
        <v>91</v>
      </c>
      <c r="BY55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58" s="2">
        <f>IF(AND(Cases[[#This Row],[Priority Level]]&gt;=3,Cases[[#This Row],[System Role]]&lt;&gt;"Productive"),1,0)</f>
        <v>0</v>
      </c>
      <c r="CA558" s="2">
        <f>IFERROR(IF(Cases[[#This Row],[Days at Customer]]&gt;MAX(1,Cases[[#This Row],[Days at SAP]]*2),1,0),0)</f>
        <v>1</v>
      </c>
      <c r="CB558" s="2">
        <f>IF(AND(Cases[[#This Row],[Initial Component]]&lt;&gt;"",Cases[[#This Row],[Component]]&lt;&gt;"",Cases[[#This Row],[Initial Component]]&lt;&gt;Cases[[#This Row],[Component]]),1,0)</f>
        <v>0</v>
      </c>
      <c r="CC558" s="2">
        <f>IF(OR(Cases[[#This Row],[Is Reopened]]="X",Cases[[#This Row],[No. of Reopenings]]&gt;0),1,0)</f>
        <v>0</v>
      </c>
      <c r="CD558" s="2">
        <f>IF(Cases[[#This Row],[Confirmation Type]]="Automatic",1,0)</f>
        <v>1</v>
      </c>
      <c r="CE55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59" spans="1:83" x14ac:dyDescent="0.2">
      <c r="A559" s="1" t="s">
        <v>3176</v>
      </c>
      <c r="B559" s="2" t="s">
        <v>2386</v>
      </c>
      <c r="C559" s="2" t="s">
        <v>1596</v>
      </c>
      <c r="D559" s="2" t="s">
        <v>238</v>
      </c>
      <c r="E559" s="3">
        <v>4.43</v>
      </c>
      <c r="F559" s="3">
        <v>21.14</v>
      </c>
      <c r="G559" s="2" t="s">
        <v>79</v>
      </c>
      <c r="H559" s="2" t="s">
        <v>178</v>
      </c>
      <c r="I559" s="3" t="s">
        <v>81</v>
      </c>
      <c r="J559" s="3">
        <v>188</v>
      </c>
      <c r="K559" s="2" t="s">
        <v>3177</v>
      </c>
      <c r="L559" s="4">
        <v>45970</v>
      </c>
      <c r="M559" s="4">
        <v>45964</v>
      </c>
      <c r="N559" s="2" t="s">
        <v>2274</v>
      </c>
      <c r="O559" s="2" t="s">
        <v>1805</v>
      </c>
      <c r="P559" s="2" t="s">
        <v>2583</v>
      </c>
      <c r="Q559" s="2" t="s">
        <v>1806</v>
      </c>
      <c r="R559" s="2" t="s">
        <v>1598</v>
      </c>
      <c r="S559" s="4">
        <v>45939</v>
      </c>
      <c r="T559" s="2" t="s">
        <v>2727</v>
      </c>
      <c r="U559" s="2" t="s">
        <v>1805</v>
      </c>
      <c r="V559" s="2" t="s">
        <v>3126</v>
      </c>
      <c r="W559" s="2" t="s">
        <v>1806</v>
      </c>
      <c r="X559" s="2" t="s">
        <v>88</v>
      </c>
      <c r="Y559" s="3" t="s">
        <v>89</v>
      </c>
      <c r="Z559" s="3">
        <v>25.56</v>
      </c>
      <c r="AA559" s="2" t="s">
        <v>90</v>
      </c>
      <c r="AB559" s="2" t="s">
        <v>1598</v>
      </c>
      <c r="AC559" s="2" t="s">
        <v>1596</v>
      </c>
      <c r="AD559" t="str" cm="1">
        <f t="array" ref="AD55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OTC</v>
      </c>
      <c r="AE559" s="2" t="s">
        <v>91</v>
      </c>
      <c r="AF559" s="2" t="s">
        <v>92</v>
      </c>
      <c r="AG559" s="2" t="s">
        <v>93</v>
      </c>
      <c r="AH559" s="2" t="s">
        <v>94</v>
      </c>
      <c r="AK559" s="2" t="s">
        <v>3178</v>
      </c>
      <c r="AN559" s="3">
        <v>1</v>
      </c>
      <c r="AO559" s="3">
        <v>1</v>
      </c>
      <c r="AP559" s="3">
        <v>1</v>
      </c>
      <c r="AQ559" s="3">
        <v>1</v>
      </c>
      <c r="AR559" s="3">
        <v>1</v>
      </c>
      <c r="AS559" s="3">
        <v>0</v>
      </c>
      <c r="AT559" s="3">
        <v>0</v>
      </c>
      <c r="AU559" s="3">
        <v>0</v>
      </c>
      <c r="AV559" s="3">
        <v>1</v>
      </c>
      <c r="AW559" s="3">
        <v>0</v>
      </c>
      <c r="AX559" s="3">
        <v>1</v>
      </c>
      <c r="AY559" s="3">
        <v>0</v>
      </c>
      <c r="AZ559" s="3">
        <v>0</v>
      </c>
      <c r="BA559" s="3">
        <v>0</v>
      </c>
      <c r="BB559" s="3">
        <v>0</v>
      </c>
      <c r="BC559" s="3">
        <v>1</v>
      </c>
      <c r="BD559" s="3">
        <v>0</v>
      </c>
      <c r="BE559" s="3">
        <v>0</v>
      </c>
      <c r="BG559" s="2" t="s">
        <v>91</v>
      </c>
      <c r="BH559" s="3">
        <v>3</v>
      </c>
      <c r="BJ559" s="2" t="s">
        <v>96</v>
      </c>
      <c r="BL559" s="2" t="s">
        <v>184</v>
      </c>
      <c r="BM559" s="2" t="s">
        <v>184</v>
      </c>
      <c r="BN559" s="2" t="s">
        <v>124</v>
      </c>
      <c r="BO559" s="2" t="s">
        <v>125</v>
      </c>
      <c r="BP559" s="2" t="s">
        <v>242</v>
      </c>
      <c r="BQ559" s="2" t="s">
        <v>124</v>
      </c>
      <c r="BR559" s="2" t="s">
        <v>126</v>
      </c>
      <c r="BS559" s="2" t="s">
        <v>127</v>
      </c>
      <c r="BT559" s="2" t="s">
        <v>185</v>
      </c>
      <c r="BU559" s="2" t="s">
        <v>186</v>
      </c>
      <c r="BV559" s="2" t="s">
        <v>150</v>
      </c>
      <c r="BW559" s="2" t="s">
        <v>151</v>
      </c>
      <c r="BX559" s="2" t="s">
        <v>91</v>
      </c>
      <c r="BY55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59" s="2">
        <f>IF(AND(Cases[[#This Row],[Priority Level]]&gt;=3,Cases[[#This Row],[System Role]]&lt;&gt;"Productive"),1,0)</f>
        <v>0</v>
      </c>
      <c r="CA559" s="2">
        <f>IFERROR(IF(Cases[[#This Row],[Days at Customer]]&gt;MAX(1,Cases[[#This Row],[Days at SAP]]*2),1,0),0)</f>
        <v>1</v>
      </c>
      <c r="CB559" s="2">
        <f>IF(AND(Cases[[#This Row],[Initial Component]]&lt;&gt;"",Cases[[#This Row],[Component]]&lt;&gt;"",Cases[[#This Row],[Initial Component]]&lt;&gt;Cases[[#This Row],[Component]]),1,0)</f>
        <v>0</v>
      </c>
      <c r="CC559" s="2">
        <f>IF(OR(Cases[[#This Row],[Is Reopened]]="X",Cases[[#This Row],[No. of Reopenings]]&gt;0),1,0)</f>
        <v>0</v>
      </c>
      <c r="CD559" s="2">
        <f>IF(Cases[[#This Row],[Confirmation Type]]="Automatic",1,0)</f>
        <v>1</v>
      </c>
      <c r="CE559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60" spans="1:83" x14ac:dyDescent="0.2">
      <c r="A560" s="1" t="s">
        <v>3179</v>
      </c>
      <c r="B560" s="2" t="s">
        <v>3180</v>
      </c>
      <c r="C560" s="2" t="s">
        <v>1865</v>
      </c>
      <c r="D560" s="2" t="s">
        <v>238</v>
      </c>
      <c r="E560" s="3">
        <v>25.42</v>
      </c>
      <c r="F560" s="3">
        <v>44.22</v>
      </c>
      <c r="G560" s="2" t="s">
        <v>79</v>
      </c>
      <c r="H560" s="2" t="s">
        <v>290</v>
      </c>
      <c r="I560" s="3" t="s">
        <v>114</v>
      </c>
      <c r="J560" s="3">
        <v>188</v>
      </c>
      <c r="K560" s="2" t="s">
        <v>3181</v>
      </c>
      <c r="L560" s="4">
        <v>46012</v>
      </c>
      <c r="M560" s="4">
        <v>46009</v>
      </c>
      <c r="N560" s="2" t="s">
        <v>1804</v>
      </c>
      <c r="O560" s="2" t="s">
        <v>1805</v>
      </c>
      <c r="P560" s="2" t="s">
        <v>1930</v>
      </c>
      <c r="Q560" s="2" t="s">
        <v>1806</v>
      </c>
      <c r="R560" s="2" t="s">
        <v>1867</v>
      </c>
      <c r="S560" s="4">
        <v>45939</v>
      </c>
      <c r="T560" s="2" t="s">
        <v>2727</v>
      </c>
      <c r="U560" s="2" t="s">
        <v>1805</v>
      </c>
      <c r="V560" s="2" t="s">
        <v>3126</v>
      </c>
      <c r="W560" s="2" t="s">
        <v>1806</v>
      </c>
      <c r="X560" s="2" t="s">
        <v>117</v>
      </c>
      <c r="Y560" s="3" t="s">
        <v>118</v>
      </c>
      <c r="Z560" s="3">
        <v>69.650000000000006</v>
      </c>
      <c r="AA560" s="2" t="s">
        <v>90</v>
      </c>
      <c r="AB560" s="2" t="s">
        <v>434</v>
      </c>
      <c r="AC560" s="2" t="s">
        <v>432</v>
      </c>
      <c r="AD560" t="str" cm="1">
        <f t="array" ref="AD56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560" s="2" t="s">
        <v>139</v>
      </c>
      <c r="AF560" s="2" t="s">
        <v>92</v>
      </c>
      <c r="AG560" s="2" t="s">
        <v>119</v>
      </c>
      <c r="AH560" s="2" t="s">
        <v>120</v>
      </c>
      <c r="AK560" s="2" t="s">
        <v>3182</v>
      </c>
      <c r="AN560" s="3">
        <v>1</v>
      </c>
      <c r="AO560" s="3">
        <v>1</v>
      </c>
      <c r="AP560" s="3">
        <v>1</v>
      </c>
      <c r="AQ560" s="3">
        <v>1</v>
      </c>
      <c r="AR560" s="3">
        <v>1</v>
      </c>
      <c r="AS560" s="3">
        <v>0</v>
      </c>
      <c r="AT560" s="3">
        <v>0</v>
      </c>
      <c r="AU560" s="3">
        <v>0</v>
      </c>
      <c r="AV560" s="3">
        <v>1</v>
      </c>
      <c r="AW560" s="3">
        <v>0</v>
      </c>
      <c r="AX560" s="3">
        <v>1</v>
      </c>
      <c r="AY560" s="3">
        <v>0</v>
      </c>
      <c r="AZ560" s="3">
        <v>0</v>
      </c>
      <c r="BA560" s="3">
        <v>1</v>
      </c>
      <c r="BB560" s="3">
        <v>0</v>
      </c>
      <c r="BC560" s="3">
        <v>0</v>
      </c>
      <c r="BD560" s="3">
        <v>0</v>
      </c>
      <c r="BE560" s="3">
        <v>0</v>
      </c>
      <c r="BG560" s="2" t="s">
        <v>91</v>
      </c>
      <c r="BH560" s="3">
        <v>3</v>
      </c>
      <c r="BJ560" s="2" t="s">
        <v>96</v>
      </c>
      <c r="BL560" s="2" t="s">
        <v>123</v>
      </c>
      <c r="BM560" s="2" t="s">
        <v>123</v>
      </c>
      <c r="BN560" s="2" t="s">
        <v>124</v>
      </c>
      <c r="BO560" s="2" t="s">
        <v>125</v>
      </c>
      <c r="BP560" s="2" t="s">
        <v>242</v>
      </c>
      <c r="BQ560" s="2" t="s">
        <v>124</v>
      </c>
      <c r="BR560" s="2" t="s">
        <v>126</v>
      </c>
      <c r="BS560" s="2" t="s">
        <v>127</v>
      </c>
      <c r="BT560" s="2" t="s">
        <v>199</v>
      </c>
      <c r="BU560" s="2" t="s">
        <v>200</v>
      </c>
      <c r="BV560" s="2" t="s">
        <v>166</v>
      </c>
      <c r="BW560" s="2" t="s">
        <v>167</v>
      </c>
      <c r="BX560" s="2" t="s">
        <v>91</v>
      </c>
      <c r="BY56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60" s="2">
        <f>IF(AND(Cases[[#This Row],[Priority Level]]&gt;=3,Cases[[#This Row],[System Role]]&lt;&gt;"Productive"),1,0)</f>
        <v>1</v>
      </c>
      <c r="CA560" s="2">
        <f>IFERROR(IF(Cases[[#This Row],[Days at Customer]]&gt;MAX(1,Cases[[#This Row],[Days at SAP]]*2),1,0),0)</f>
        <v>0</v>
      </c>
      <c r="CB560" s="2">
        <f>IF(AND(Cases[[#This Row],[Initial Component]]&lt;&gt;"",Cases[[#This Row],[Component]]&lt;&gt;"",Cases[[#This Row],[Initial Component]]&lt;&gt;Cases[[#This Row],[Component]]),1,0)</f>
        <v>1</v>
      </c>
      <c r="CC560" s="2">
        <f>IF(OR(Cases[[#This Row],[Is Reopened]]="X",Cases[[#This Row],[No. of Reopenings]]&gt;0),1,0)</f>
        <v>0</v>
      </c>
      <c r="CD560" s="2">
        <f>IF(Cases[[#This Row],[Confirmation Type]]="Automatic",1,0)</f>
        <v>1</v>
      </c>
      <c r="CE560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561" spans="1:83" x14ac:dyDescent="0.2">
      <c r="A561" s="1" t="s">
        <v>3183</v>
      </c>
      <c r="B561" s="2" t="s">
        <v>3184</v>
      </c>
      <c r="C561" s="2" t="s">
        <v>1610</v>
      </c>
      <c r="D561" s="2" t="s">
        <v>78</v>
      </c>
      <c r="E561" s="3">
        <v>0.08</v>
      </c>
      <c r="F561" s="3">
        <v>6.14</v>
      </c>
      <c r="G561" s="2" t="s">
        <v>112</v>
      </c>
      <c r="H561" s="2" t="s">
        <v>113</v>
      </c>
      <c r="I561" s="3" t="s">
        <v>114</v>
      </c>
      <c r="J561" s="3">
        <v>188</v>
      </c>
      <c r="K561" s="2" t="s">
        <v>3185</v>
      </c>
      <c r="L561" s="4">
        <v>46040</v>
      </c>
      <c r="M561" s="4">
        <v>45946</v>
      </c>
      <c r="N561" s="2" t="s">
        <v>2727</v>
      </c>
      <c r="O561" s="2" t="s">
        <v>1805</v>
      </c>
      <c r="P561" s="2" t="s">
        <v>2936</v>
      </c>
      <c r="Q561" s="2" t="s">
        <v>1806</v>
      </c>
      <c r="R561" s="2" t="s">
        <v>1612</v>
      </c>
      <c r="S561" s="4">
        <v>45939</v>
      </c>
      <c r="T561" s="2" t="s">
        <v>2727</v>
      </c>
      <c r="U561" s="2" t="s">
        <v>1805</v>
      </c>
      <c r="V561" s="2" t="s">
        <v>3126</v>
      </c>
      <c r="W561" s="2" t="s">
        <v>1806</v>
      </c>
      <c r="X561" s="2" t="s">
        <v>117</v>
      </c>
      <c r="Y561" s="3" t="s">
        <v>118</v>
      </c>
      <c r="Z561" s="3">
        <v>6.21</v>
      </c>
      <c r="AA561" s="2" t="s">
        <v>138</v>
      </c>
      <c r="AB561" s="2" t="s">
        <v>1612</v>
      </c>
      <c r="AC561" s="2" t="s">
        <v>1610</v>
      </c>
      <c r="AD561" t="str" cm="1">
        <f t="array" ref="AD56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561" s="2" t="s">
        <v>139</v>
      </c>
      <c r="AF561" s="2" t="s">
        <v>92</v>
      </c>
      <c r="AG561" s="2" t="s">
        <v>575</v>
      </c>
      <c r="AH561" s="2" t="s">
        <v>576</v>
      </c>
      <c r="AK561" s="2" t="s">
        <v>3186</v>
      </c>
      <c r="AN561" s="3">
        <v>1</v>
      </c>
      <c r="AO561" s="3">
        <v>1</v>
      </c>
      <c r="AP561" s="3">
        <v>1</v>
      </c>
      <c r="AQ561" s="3">
        <v>1</v>
      </c>
      <c r="AR561" s="3">
        <v>0</v>
      </c>
      <c r="AS561" s="3">
        <v>0</v>
      </c>
      <c r="AT561" s="3">
        <v>1</v>
      </c>
      <c r="AU561" s="3">
        <v>0</v>
      </c>
      <c r="AV561" s="3">
        <v>0</v>
      </c>
      <c r="AW561" s="3">
        <v>1</v>
      </c>
      <c r="AX561" s="3">
        <v>0</v>
      </c>
      <c r="AY561" s="3">
        <v>0</v>
      </c>
      <c r="AZ561" s="3">
        <v>1</v>
      </c>
      <c r="BA561" s="3">
        <v>0</v>
      </c>
      <c r="BB561" s="3">
        <v>0</v>
      </c>
      <c r="BC561" s="3">
        <v>1</v>
      </c>
      <c r="BD561" s="3">
        <v>0</v>
      </c>
      <c r="BE561" s="3">
        <v>0</v>
      </c>
      <c r="BG561" s="2" t="s">
        <v>139</v>
      </c>
      <c r="BH561" s="3">
        <v>2</v>
      </c>
      <c r="BI561" s="2" t="s">
        <v>122</v>
      </c>
      <c r="BJ561" s="2" t="s">
        <v>96</v>
      </c>
      <c r="BL561" s="2" t="s">
        <v>1614</v>
      </c>
      <c r="BM561" s="2" t="s">
        <v>1615</v>
      </c>
      <c r="BN561" s="2" t="s">
        <v>279</v>
      </c>
      <c r="BO561" s="2" t="s">
        <v>280</v>
      </c>
      <c r="BP561" s="2" t="s">
        <v>101</v>
      </c>
      <c r="BQ561" s="2" t="s">
        <v>1616</v>
      </c>
      <c r="BR561" s="2" t="s">
        <v>1617</v>
      </c>
      <c r="BS561" s="2" t="s">
        <v>450</v>
      </c>
      <c r="BT561" s="2" t="s">
        <v>148</v>
      </c>
      <c r="BU561" s="2" t="s">
        <v>1618</v>
      </c>
      <c r="BV561" s="2" t="s">
        <v>150</v>
      </c>
      <c r="BW561" s="2" t="s">
        <v>151</v>
      </c>
      <c r="BX561" s="2" t="s">
        <v>139</v>
      </c>
      <c r="BY56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61" s="2">
        <f>IF(AND(Cases[[#This Row],[Priority Level]]&gt;=3,Cases[[#This Row],[System Role]]&lt;&gt;"Productive"),1,0)</f>
        <v>0</v>
      </c>
      <c r="CA561" s="2">
        <f>IFERROR(IF(Cases[[#This Row],[Days at Customer]]&gt;MAX(1,Cases[[#This Row],[Days at SAP]]*2),1,0),0)</f>
        <v>1</v>
      </c>
      <c r="CB561" s="2">
        <f>IF(AND(Cases[[#This Row],[Initial Component]]&lt;&gt;"",Cases[[#This Row],[Component]]&lt;&gt;"",Cases[[#This Row],[Initial Component]]&lt;&gt;Cases[[#This Row],[Component]]),1,0)</f>
        <v>0</v>
      </c>
      <c r="CC561" s="2">
        <f>IF(OR(Cases[[#This Row],[Is Reopened]]="X",Cases[[#This Row],[No. of Reopenings]]&gt;0),1,0)</f>
        <v>0</v>
      </c>
      <c r="CD561" s="2">
        <f>IF(Cases[[#This Row],[Confirmation Type]]="Automatic",1,0)</f>
        <v>0</v>
      </c>
      <c r="CE561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62" spans="1:83" x14ac:dyDescent="0.2">
      <c r="A562" s="1" t="s">
        <v>1724</v>
      </c>
      <c r="B562" s="2" t="s">
        <v>1725</v>
      </c>
      <c r="C562" s="2" t="s">
        <v>203</v>
      </c>
      <c r="D562" s="2" t="s">
        <v>238</v>
      </c>
      <c r="E562" s="3">
        <v>0</v>
      </c>
      <c r="F562" s="3">
        <v>50.36</v>
      </c>
      <c r="G562" s="2" t="s">
        <v>112</v>
      </c>
      <c r="H562" s="2" t="s">
        <v>113</v>
      </c>
      <c r="I562" s="3" t="s">
        <v>114</v>
      </c>
      <c r="J562" s="3">
        <v>98</v>
      </c>
      <c r="K562" s="2" t="s">
        <v>1726</v>
      </c>
      <c r="L562" s="4">
        <v>46110</v>
      </c>
      <c r="M562" s="4">
        <v>46108</v>
      </c>
      <c r="N562" s="2" t="s">
        <v>180</v>
      </c>
      <c r="O562" s="2" t="s">
        <v>181</v>
      </c>
      <c r="P562" s="2" t="s">
        <v>195</v>
      </c>
      <c r="Q562" s="2" t="s">
        <v>86</v>
      </c>
      <c r="R562" s="2" t="s">
        <v>205</v>
      </c>
      <c r="S562" s="4">
        <v>46029</v>
      </c>
      <c r="T562" s="2" t="s">
        <v>1334</v>
      </c>
      <c r="U562" s="2" t="s">
        <v>181</v>
      </c>
      <c r="V562" s="2" t="s">
        <v>677</v>
      </c>
      <c r="W562" s="2" t="s">
        <v>86</v>
      </c>
      <c r="X562" s="2" t="s">
        <v>117</v>
      </c>
      <c r="Y562" s="3" t="s">
        <v>118</v>
      </c>
      <c r="Z562" s="3">
        <v>50.36</v>
      </c>
      <c r="AA562" s="2" t="s">
        <v>90</v>
      </c>
      <c r="AB562" s="2" t="s">
        <v>205</v>
      </c>
      <c r="AC562" s="2" t="s">
        <v>203</v>
      </c>
      <c r="AD562" t="str" cm="1">
        <f t="array" ref="AD56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562" s="2" t="s">
        <v>91</v>
      </c>
      <c r="AF562" s="2" t="s">
        <v>92</v>
      </c>
      <c r="AG562" s="2" t="s">
        <v>119</v>
      </c>
      <c r="AH562" s="2" t="s">
        <v>120</v>
      </c>
      <c r="AK562" s="2" t="s">
        <v>1727</v>
      </c>
      <c r="AN562" s="3">
        <v>1</v>
      </c>
      <c r="AO562" s="3">
        <v>1</v>
      </c>
      <c r="AP562" s="3">
        <v>1</v>
      </c>
      <c r="AQ562" s="3">
        <v>1</v>
      </c>
      <c r="AR562" s="3">
        <v>1</v>
      </c>
      <c r="AS562" s="3">
        <v>0</v>
      </c>
      <c r="AT562" s="3">
        <v>0</v>
      </c>
      <c r="AU562" s="3">
        <v>0</v>
      </c>
      <c r="AV562" s="3">
        <v>1</v>
      </c>
      <c r="AW562" s="3">
        <v>0</v>
      </c>
      <c r="AX562" s="3">
        <v>1</v>
      </c>
      <c r="AY562" s="3">
        <v>0</v>
      </c>
      <c r="AZ562" s="3">
        <v>0</v>
      </c>
      <c r="BA562" s="3">
        <v>0</v>
      </c>
      <c r="BB562" s="3">
        <v>0</v>
      </c>
      <c r="BC562" s="3">
        <v>1</v>
      </c>
      <c r="BD562" s="3">
        <v>0</v>
      </c>
      <c r="BE562" s="3">
        <v>0</v>
      </c>
      <c r="BG562" s="2" t="s">
        <v>91</v>
      </c>
      <c r="BH562" s="3">
        <v>3</v>
      </c>
      <c r="BI562" s="2" t="s">
        <v>122</v>
      </c>
      <c r="BJ562" s="2" t="s">
        <v>96</v>
      </c>
      <c r="BL562" s="2" t="s">
        <v>123</v>
      </c>
      <c r="BM562" s="2" t="s">
        <v>123</v>
      </c>
      <c r="BN562" s="2" t="s">
        <v>124</v>
      </c>
      <c r="BO562" s="2" t="s">
        <v>125</v>
      </c>
      <c r="BP562" s="2" t="s">
        <v>242</v>
      </c>
      <c r="BQ562" s="2" t="s">
        <v>124</v>
      </c>
      <c r="BR562" s="2" t="s">
        <v>126</v>
      </c>
      <c r="BS562" s="2" t="s">
        <v>127</v>
      </c>
      <c r="BT562" s="2" t="s">
        <v>207</v>
      </c>
      <c r="BU562" s="2" t="s">
        <v>208</v>
      </c>
      <c r="BV562" s="2" t="s">
        <v>150</v>
      </c>
      <c r="BW562" s="2" t="s">
        <v>151</v>
      </c>
      <c r="BX562" s="2" t="s">
        <v>91</v>
      </c>
      <c r="BY56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62" s="2">
        <f>IF(AND(Cases[[#This Row],[Priority Level]]&gt;=3,Cases[[#This Row],[System Role]]&lt;&gt;"Productive"),1,0)</f>
        <v>0</v>
      </c>
      <c r="CA562" s="2">
        <f>IFERROR(IF(Cases[[#This Row],[Days at Customer]]&gt;MAX(1,Cases[[#This Row],[Days at SAP]]*2),1,0),0)</f>
        <v>1</v>
      </c>
      <c r="CB562" s="2">
        <f>IF(AND(Cases[[#This Row],[Initial Component]]&lt;&gt;"",Cases[[#This Row],[Component]]&lt;&gt;"",Cases[[#This Row],[Initial Component]]&lt;&gt;Cases[[#This Row],[Component]]),1,0)</f>
        <v>0</v>
      </c>
      <c r="CC562" s="2">
        <f>IF(OR(Cases[[#This Row],[Is Reopened]]="X",Cases[[#This Row],[No. of Reopenings]]&gt;0),1,0)</f>
        <v>0</v>
      </c>
      <c r="CD562" s="2">
        <f>IF(Cases[[#This Row],[Confirmation Type]]="Automatic",1,0)</f>
        <v>1</v>
      </c>
      <c r="CE562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63" spans="1:83" x14ac:dyDescent="0.2">
      <c r="A563" s="1" t="s">
        <v>3191</v>
      </c>
      <c r="B563" s="2" t="s">
        <v>3192</v>
      </c>
      <c r="C563" s="2" t="s">
        <v>221</v>
      </c>
      <c r="D563" s="2" t="s">
        <v>238</v>
      </c>
      <c r="E563" s="3">
        <v>9.83</v>
      </c>
      <c r="F563" s="3">
        <v>23.67</v>
      </c>
      <c r="G563" s="2" t="s">
        <v>79</v>
      </c>
      <c r="H563" s="2" t="s">
        <v>732</v>
      </c>
      <c r="I563" s="3" t="s">
        <v>114</v>
      </c>
      <c r="J563" s="3">
        <v>189</v>
      </c>
      <c r="K563" s="2" t="s">
        <v>3193</v>
      </c>
      <c r="L563" s="4">
        <v>46064</v>
      </c>
      <c r="M563" s="4">
        <v>45972</v>
      </c>
      <c r="N563" s="2" t="s">
        <v>2274</v>
      </c>
      <c r="O563" s="2" t="s">
        <v>1805</v>
      </c>
      <c r="P563" s="2" t="s">
        <v>2467</v>
      </c>
      <c r="Q563" s="2" t="s">
        <v>1806</v>
      </c>
      <c r="R563" s="2" t="s">
        <v>220</v>
      </c>
      <c r="S563" s="4">
        <v>45938</v>
      </c>
      <c r="T563" s="2" t="s">
        <v>2727</v>
      </c>
      <c r="U563" s="2" t="s">
        <v>1805</v>
      </c>
      <c r="V563" s="2" t="s">
        <v>3126</v>
      </c>
      <c r="W563" s="2" t="s">
        <v>1806</v>
      </c>
      <c r="X563" s="2" t="s">
        <v>117</v>
      </c>
      <c r="Y563" s="3" t="s">
        <v>118</v>
      </c>
      <c r="Z563" s="3">
        <v>33.5</v>
      </c>
      <c r="AA563" s="2" t="s">
        <v>90</v>
      </c>
      <c r="AB563" s="2" t="s">
        <v>220</v>
      </c>
      <c r="AC563" s="2" t="s">
        <v>221</v>
      </c>
      <c r="AD563" t="str" cm="1">
        <f t="array" ref="AD56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OTC</v>
      </c>
      <c r="AE563" s="2" t="s">
        <v>91</v>
      </c>
      <c r="AF563" s="2" t="s">
        <v>92</v>
      </c>
      <c r="AG563" s="2" t="s">
        <v>119</v>
      </c>
      <c r="AH563" s="2" t="s">
        <v>120</v>
      </c>
      <c r="AK563" s="2" t="s">
        <v>3194</v>
      </c>
      <c r="AN563" s="3">
        <v>1</v>
      </c>
      <c r="AO563" s="3">
        <v>1</v>
      </c>
      <c r="AP563" s="3">
        <v>1</v>
      </c>
      <c r="AQ563" s="3">
        <v>1</v>
      </c>
      <c r="AR563" s="3">
        <v>1</v>
      </c>
      <c r="AS563" s="3">
        <v>0</v>
      </c>
      <c r="AT563" s="3">
        <v>0</v>
      </c>
      <c r="AU563" s="3">
        <v>0</v>
      </c>
      <c r="AV563" s="3">
        <v>1</v>
      </c>
      <c r="AW563" s="3">
        <v>0</v>
      </c>
      <c r="AX563" s="3">
        <v>1</v>
      </c>
      <c r="AY563" s="3">
        <v>0</v>
      </c>
      <c r="AZ563" s="3">
        <v>0</v>
      </c>
      <c r="BA563" s="3">
        <v>1</v>
      </c>
      <c r="BB563" s="3">
        <v>0</v>
      </c>
      <c r="BC563" s="3">
        <v>0</v>
      </c>
      <c r="BD563" s="3">
        <v>0</v>
      </c>
      <c r="BE563" s="3">
        <v>0</v>
      </c>
      <c r="BG563" s="2" t="s">
        <v>91</v>
      </c>
      <c r="BH563" s="3">
        <v>3</v>
      </c>
      <c r="BJ563" s="2" t="s">
        <v>96</v>
      </c>
      <c r="BL563" s="2" t="s">
        <v>123</v>
      </c>
      <c r="BM563" s="2" t="s">
        <v>123</v>
      </c>
      <c r="BN563" s="2" t="s">
        <v>124</v>
      </c>
      <c r="BO563" s="2" t="s">
        <v>125</v>
      </c>
      <c r="BP563" s="2" t="s">
        <v>242</v>
      </c>
      <c r="BQ563" s="2" t="s">
        <v>124</v>
      </c>
      <c r="BR563" s="2" t="s">
        <v>126</v>
      </c>
      <c r="BS563" s="2" t="s">
        <v>127</v>
      </c>
      <c r="BT563" s="2" t="s">
        <v>128</v>
      </c>
      <c r="BU563" s="2" t="s">
        <v>129</v>
      </c>
      <c r="BV563" s="2" t="s">
        <v>107</v>
      </c>
      <c r="BW563" s="2" t="s">
        <v>108</v>
      </c>
      <c r="BX563" s="2" t="s">
        <v>91</v>
      </c>
      <c r="BY56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63" s="2">
        <f>IF(AND(Cases[[#This Row],[Priority Level]]&gt;=3,Cases[[#This Row],[System Role]]&lt;&gt;"Productive"),1,0)</f>
        <v>1</v>
      </c>
      <c r="CA563" s="2">
        <f>IFERROR(IF(Cases[[#This Row],[Days at Customer]]&gt;MAX(1,Cases[[#This Row],[Days at SAP]]*2),1,0),0)</f>
        <v>1</v>
      </c>
      <c r="CB563" s="2">
        <f>IF(AND(Cases[[#This Row],[Initial Component]]&lt;&gt;"",Cases[[#This Row],[Component]]&lt;&gt;"",Cases[[#This Row],[Initial Component]]&lt;&gt;Cases[[#This Row],[Component]]),1,0)</f>
        <v>0</v>
      </c>
      <c r="CC563" s="2">
        <f>IF(OR(Cases[[#This Row],[Is Reopened]]="X",Cases[[#This Row],[No. of Reopenings]]&gt;0),1,0)</f>
        <v>0</v>
      </c>
      <c r="CD563" s="2">
        <f>IF(Cases[[#This Row],[Confirmation Type]]="Automatic",1,0)</f>
        <v>1</v>
      </c>
      <c r="CE563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64" spans="1:83" x14ac:dyDescent="0.2">
      <c r="A564" s="1" t="s">
        <v>1808</v>
      </c>
      <c r="B564" s="2" t="s">
        <v>1809</v>
      </c>
      <c r="C564" s="2" t="s">
        <v>111</v>
      </c>
      <c r="D564" s="2" t="s">
        <v>238</v>
      </c>
      <c r="E564" s="3">
        <v>0</v>
      </c>
      <c r="F564" s="3">
        <v>48.21</v>
      </c>
      <c r="G564" s="2" t="s">
        <v>112</v>
      </c>
      <c r="H564" s="2" t="s">
        <v>113</v>
      </c>
      <c r="I564" s="3" t="s">
        <v>114</v>
      </c>
      <c r="J564" s="3">
        <v>105</v>
      </c>
      <c r="K564" s="2" t="s">
        <v>1810</v>
      </c>
      <c r="L564" s="4">
        <v>46110</v>
      </c>
      <c r="M564" s="4">
        <v>46108</v>
      </c>
      <c r="N564" s="2" t="s">
        <v>180</v>
      </c>
      <c r="O564" s="2" t="s">
        <v>181</v>
      </c>
      <c r="P564" s="2" t="s">
        <v>195</v>
      </c>
      <c r="Q564" s="2" t="s">
        <v>86</v>
      </c>
      <c r="R564" s="2" t="s">
        <v>116</v>
      </c>
      <c r="S564" s="4">
        <v>46022</v>
      </c>
      <c r="T564" s="2" t="s">
        <v>1804</v>
      </c>
      <c r="U564" s="2" t="s">
        <v>1805</v>
      </c>
      <c r="V564" s="2" t="s">
        <v>1334</v>
      </c>
      <c r="W564" s="2" t="s">
        <v>1806</v>
      </c>
      <c r="X564" s="2" t="s">
        <v>117</v>
      </c>
      <c r="Y564" s="3" t="s">
        <v>118</v>
      </c>
      <c r="Z564" s="3">
        <v>48.21</v>
      </c>
      <c r="AA564" s="2" t="s">
        <v>90</v>
      </c>
      <c r="AB564" s="2" t="s">
        <v>116</v>
      </c>
      <c r="AC564" s="2" t="s">
        <v>111</v>
      </c>
      <c r="AD564" t="str" cm="1">
        <f t="array" ref="AD56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564" s="2" t="s">
        <v>139</v>
      </c>
      <c r="AF564" s="2" t="s">
        <v>92</v>
      </c>
      <c r="AG564" s="2" t="s">
        <v>119</v>
      </c>
      <c r="AH564" s="2" t="s">
        <v>120</v>
      </c>
      <c r="AK564" s="2" t="s">
        <v>1811</v>
      </c>
      <c r="AN564" s="3">
        <v>1</v>
      </c>
      <c r="AO564" s="3">
        <v>1</v>
      </c>
      <c r="AP564" s="3">
        <v>1</v>
      </c>
      <c r="AQ564" s="3">
        <v>1</v>
      </c>
      <c r="AR564" s="3">
        <v>1</v>
      </c>
      <c r="AS564" s="3">
        <v>0</v>
      </c>
      <c r="AT564" s="3">
        <v>0</v>
      </c>
      <c r="AU564" s="3">
        <v>0</v>
      </c>
      <c r="AV564" s="3">
        <v>1</v>
      </c>
      <c r="AW564" s="3">
        <v>0</v>
      </c>
      <c r="AX564" s="3">
        <v>1</v>
      </c>
      <c r="AY564" s="3">
        <v>0</v>
      </c>
      <c r="AZ564" s="3">
        <v>0</v>
      </c>
      <c r="BA564" s="3">
        <v>0</v>
      </c>
      <c r="BB564" s="3">
        <v>0</v>
      </c>
      <c r="BC564" s="3">
        <v>1</v>
      </c>
      <c r="BD564" s="3">
        <v>0</v>
      </c>
      <c r="BE564" s="3">
        <v>0</v>
      </c>
      <c r="BG564" s="2" t="s">
        <v>91</v>
      </c>
      <c r="BH564" s="3">
        <v>3</v>
      </c>
      <c r="BI564" s="2" t="s">
        <v>122</v>
      </c>
      <c r="BJ564" s="2" t="s">
        <v>96</v>
      </c>
      <c r="BL564" s="2" t="s">
        <v>123</v>
      </c>
      <c r="BM564" s="2" t="s">
        <v>123</v>
      </c>
      <c r="BN564" s="2" t="s">
        <v>124</v>
      </c>
      <c r="BO564" s="2" t="s">
        <v>125</v>
      </c>
      <c r="BP564" s="2" t="s">
        <v>242</v>
      </c>
      <c r="BQ564" s="2" t="s">
        <v>124</v>
      </c>
      <c r="BR564" s="2" t="s">
        <v>126</v>
      </c>
      <c r="BS564" s="2" t="s">
        <v>127</v>
      </c>
      <c r="BT564" s="2" t="s">
        <v>207</v>
      </c>
      <c r="BU564" s="2" t="s">
        <v>208</v>
      </c>
      <c r="BV564" s="2" t="s">
        <v>150</v>
      </c>
      <c r="BW564" s="2" t="s">
        <v>151</v>
      </c>
      <c r="BX564" s="2" t="s">
        <v>91</v>
      </c>
      <c r="BY56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64" s="2">
        <f>IF(AND(Cases[[#This Row],[Priority Level]]&gt;=3,Cases[[#This Row],[System Role]]&lt;&gt;"Productive"),1,0)</f>
        <v>0</v>
      </c>
      <c r="CA564" s="2">
        <f>IFERROR(IF(Cases[[#This Row],[Days at Customer]]&gt;MAX(1,Cases[[#This Row],[Days at SAP]]*2),1,0),0)</f>
        <v>1</v>
      </c>
      <c r="CB564" s="2">
        <f>IF(AND(Cases[[#This Row],[Initial Component]]&lt;&gt;"",Cases[[#This Row],[Component]]&lt;&gt;"",Cases[[#This Row],[Initial Component]]&lt;&gt;Cases[[#This Row],[Component]]),1,0)</f>
        <v>0</v>
      </c>
      <c r="CC564" s="2">
        <f>IF(OR(Cases[[#This Row],[Is Reopened]]="X",Cases[[#This Row],[No. of Reopenings]]&gt;0),1,0)</f>
        <v>0</v>
      </c>
      <c r="CD564" s="2">
        <f>IF(Cases[[#This Row],[Confirmation Type]]="Automatic",1,0)</f>
        <v>1</v>
      </c>
      <c r="CE56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65" spans="1:83" x14ac:dyDescent="0.2">
      <c r="A565" s="1" t="s">
        <v>3199</v>
      </c>
      <c r="B565" s="2" t="s">
        <v>3200</v>
      </c>
      <c r="C565" s="2" t="s">
        <v>203</v>
      </c>
      <c r="D565" s="2" t="s">
        <v>238</v>
      </c>
      <c r="E565" s="3">
        <v>0.48</v>
      </c>
      <c r="F565" s="3">
        <v>22.46</v>
      </c>
      <c r="G565" s="2" t="s">
        <v>112</v>
      </c>
      <c r="H565" s="2" t="s">
        <v>113</v>
      </c>
      <c r="I565" s="3" t="s">
        <v>114</v>
      </c>
      <c r="J565" s="3">
        <v>190</v>
      </c>
      <c r="K565" s="2" t="s">
        <v>3201</v>
      </c>
      <c r="L565" s="4">
        <v>46054</v>
      </c>
      <c r="M565" s="4">
        <v>45960</v>
      </c>
      <c r="N565" s="2" t="s">
        <v>2727</v>
      </c>
      <c r="O565" s="2" t="s">
        <v>1805</v>
      </c>
      <c r="P565" s="2" t="s">
        <v>2717</v>
      </c>
      <c r="Q565" s="2" t="s">
        <v>1806</v>
      </c>
      <c r="R565" s="2" t="s">
        <v>205</v>
      </c>
      <c r="S565" s="4">
        <v>45937</v>
      </c>
      <c r="T565" s="2" t="s">
        <v>2727</v>
      </c>
      <c r="U565" s="2" t="s">
        <v>1805</v>
      </c>
      <c r="V565" s="2" t="s">
        <v>3126</v>
      </c>
      <c r="W565" s="2" t="s">
        <v>1806</v>
      </c>
      <c r="X565" s="2" t="s">
        <v>117</v>
      </c>
      <c r="Y565" s="3" t="s">
        <v>118</v>
      </c>
      <c r="Z565" s="3">
        <v>22.94</v>
      </c>
      <c r="AA565" s="2" t="s">
        <v>90</v>
      </c>
      <c r="AB565" s="2" t="s">
        <v>3202</v>
      </c>
      <c r="AC565" s="2" t="s">
        <v>3203</v>
      </c>
      <c r="AD565" t="str" cm="1">
        <f t="array" ref="AD56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565" s="2" t="s">
        <v>91</v>
      </c>
      <c r="AF565" s="2" t="s">
        <v>92</v>
      </c>
      <c r="AG565" s="2" t="s">
        <v>119</v>
      </c>
      <c r="AH565" s="2" t="s">
        <v>120</v>
      </c>
      <c r="AK565" s="2" t="s">
        <v>3204</v>
      </c>
      <c r="AN565" s="3">
        <v>1</v>
      </c>
      <c r="AO565" s="3">
        <v>1</v>
      </c>
      <c r="AP565" s="3">
        <v>1</v>
      </c>
      <c r="AQ565" s="3">
        <v>1</v>
      </c>
      <c r="AR565" s="3">
        <v>1</v>
      </c>
      <c r="AS565" s="3">
        <v>0</v>
      </c>
      <c r="AT565" s="3">
        <v>0</v>
      </c>
      <c r="AU565" s="3">
        <v>0</v>
      </c>
      <c r="AV565" s="3">
        <v>1</v>
      </c>
      <c r="AW565" s="3">
        <v>0</v>
      </c>
      <c r="AX565" s="3">
        <v>1</v>
      </c>
      <c r="AY565" s="3">
        <v>0</v>
      </c>
      <c r="AZ565" s="3">
        <v>0</v>
      </c>
      <c r="BA565" s="3">
        <v>0</v>
      </c>
      <c r="BB565" s="3">
        <v>0</v>
      </c>
      <c r="BC565" s="3">
        <v>1</v>
      </c>
      <c r="BD565" s="3">
        <v>0</v>
      </c>
      <c r="BE565" s="3">
        <v>0</v>
      </c>
      <c r="BG565" s="2" t="s">
        <v>91</v>
      </c>
      <c r="BH565" s="3">
        <v>3</v>
      </c>
      <c r="BI565" s="2" t="s">
        <v>122</v>
      </c>
      <c r="BJ565" s="2" t="s">
        <v>96</v>
      </c>
      <c r="BL565" s="2" t="s">
        <v>123</v>
      </c>
      <c r="BM565" s="2" t="s">
        <v>123</v>
      </c>
      <c r="BN565" s="2" t="s">
        <v>124</v>
      </c>
      <c r="BO565" s="2" t="s">
        <v>125</v>
      </c>
      <c r="BP565" s="2" t="s">
        <v>242</v>
      </c>
      <c r="BQ565" s="2" t="s">
        <v>124</v>
      </c>
      <c r="BR565" s="2" t="s">
        <v>126</v>
      </c>
      <c r="BS565" s="2" t="s">
        <v>127</v>
      </c>
      <c r="BT565" s="2" t="s">
        <v>207</v>
      </c>
      <c r="BU565" s="2" t="s">
        <v>208</v>
      </c>
      <c r="BV565" s="2" t="s">
        <v>150</v>
      </c>
      <c r="BW565" s="2" t="s">
        <v>151</v>
      </c>
      <c r="BX565" s="2" t="s">
        <v>91</v>
      </c>
      <c r="BY56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65" s="2">
        <f>IF(AND(Cases[[#This Row],[Priority Level]]&gt;=3,Cases[[#This Row],[System Role]]&lt;&gt;"Productive"),1,0)</f>
        <v>0</v>
      </c>
      <c r="CA565" s="2">
        <f>IFERROR(IF(Cases[[#This Row],[Days at Customer]]&gt;MAX(1,Cases[[#This Row],[Days at SAP]]*2),1,0),0)</f>
        <v>1</v>
      </c>
      <c r="CB565" s="2">
        <f>IF(AND(Cases[[#This Row],[Initial Component]]&lt;&gt;"",Cases[[#This Row],[Component]]&lt;&gt;"",Cases[[#This Row],[Initial Component]]&lt;&gt;Cases[[#This Row],[Component]]),1,0)</f>
        <v>1</v>
      </c>
      <c r="CC565" s="2">
        <f>IF(OR(Cases[[#This Row],[Is Reopened]]="X",Cases[[#This Row],[No. of Reopenings]]&gt;0),1,0)</f>
        <v>0</v>
      </c>
      <c r="CD565" s="2">
        <f>IF(Cases[[#This Row],[Confirmation Type]]="Automatic",1,0)</f>
        <v>1</v>
      </c>
      <c r="CE565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66" spans="1:83" x14ac:dyDescent="0.2">
      <c r="A566" s="1" t="s">
        <v>3205</v>
      </c>
      <c r="B566" s="2" t="s">
        <v>3206</v>
      </c>
      <c r="C566" s="2" t="s">
        <v>3207</v>
      </c>
      <c r="D566" s="2" t="s">
        <v>238</v>
      </c>
      <c r="E566" s="3">
        <v>5.36</v>
      </c>
      <c r="F566" s="3">
        <v>62.05</v>
      </c>
      <c r="G566" s="2" t="s">
        <v>588</v>
      </c>
      <c r="H566" s="2" t="s">
        <v>113</v>
      </c>
      <c r="I566" s="3" t="s">
        <v>114</v>
      </c>
      <c r="J566" s="3">
        <v>191</v>
      </c>
      <c r="K566" s="2" t="s">
        <v>3208</v>
      </c>
      <c r="L566" s="4">
        <v>46009</v>
      </c>
      <c r="M566" s="4">
        <v>46004</v>
      </c>
      <c r="N566" s="2" t="s">
        <v>1804</v>
      </c>
      <c r="O566" s="2" t="s">
        <v>1805</v>
      </c>
      <c r="P566" s="2" t="s">
        <v>2037</v>
      </c>
      <c r="Q566" s="2" t="s">
        <v>1806</v>
      </c>
      <c r="R566" s="2" t="s">
        <v>3209</v>
      </c>
      <c r="S566" s="4">
        <v>45936</v>
      </c>
      <c r="T566" s="2" t="s">
        <v>2727</v>
      </c>
      <c r="U566" s="2" t="s">
        <v>1805</v>
      </c>
      <c r="V566" s="2" t="s">
        <v>3126</v>
      </c>
      <c r="W566" s="2" t="s">
        <v>1806</v>
      </c>
      <c r="X566" s="2" t="s">
        <v>117</v>
      </c>
      <c r="Y566" s="3" t="s">
        <v>118</v>
      </c>
      <c r="Z566" s="3">
        <v>67.400000000000006</v>
      </c>
      <c r="AA566" s="2" t="s">
        <v>90</v>
      </c>
      <c r="AB566" s="2" t="s">
        <v>3209</v>
      </c>
      <c r="AC566" s="2" t="s">
        <v>3207</v>
      </c>
      <c r="AD566" t="str" cm="1">
        <f t="array" ref="AD56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566" s="2" t="s">
        <v>91</v>
      </c>
      <c r="AF566" s="2" t="s">
        <v>998</v>
      </c>
      <c r="AG566" s="2" t="s">
        <v>527</v>
      </c>
      <c r="AH566" s="2" t="s">
        <v>528</v>
      </c>
      <c r="AK566" s="2" t="s">
        <v>3210</v>
      </c>
      <c r="AN566" s="3">
        <v>1</v>
      </c>
      <c r="AO566" s="3">
        <v>1</v>
      </c>
      <c r="AP566" s="3">
        <v>1</v>
      </c>
      <c r="AQ566" s="3">
        <v>1</v>
      </c>
      <c r="AR566" s="3">
        <v>1</v>
      </c>
      <c r="AS566" s="3">
        <v>0</v>
      </c>
      <c r="AT566" s="3">
        <v>0</v>
      </c>
      <c r="AU566" s="3">
        <v>0</v>
      </c>
      <c r="AV566" s="3">
        <v>1</v>
      </c>
      <c r="AW566" s="3">
        <v>0</v>
      </c>
      <c r="AX566" s="3">
        <v>1</v>
      </c>
      <c r="AY566" s="3">
        <v>0</v>
      </c>
      <c r="AZ566" s="3">
        <v>0</v>
      </c>
      <c r="BA566" s="3">
        <v>0</v>
      </c>
      <c r="BB566" s="3">
        <v>0</v>
      </c>
      <c r="BC566" s="3">
        <v>1</v>
      </c>
      <c r="BD566" s="3">
        <v>0</v>
      </c>
      <c r="BE566" s="3">
        <v>0</v>
      </c>
      <c r="BG566" s="2" t="s">
        <v>91</v>
      </c>
      <c r="BH566" s="3">
        <v>3</v>
      </c>
      <c r="BJ566" s="2" t="s">
        <v>96</v>
      </c>
      <c r="BL566" s="2" t="s">
        <v>184</v>
      </c>
      <c r="BM566" s="2" t="s">
        <v>184</v>
      </c>
      <c r="BN566" s="2" t="s">
        <v>124</v>
      </c>
      <c r="BO566" s="2" t="s">
        <v>125</v>
      </c>
      <c r="BP566" s="2" t="s">
        <v>242</v>
      </c>
      <c r="BQ566" s="2" t="s">
        <v>124</v>
      </c>
      <c r="BR566" s="2" t="s">
        <v>126</v>
      </c>
      <c r="BS566" s="2" t="s">
        <v>127</v>
      </c>
      <c r="BT566" s="2" t="s">
        <v>185</v>
      </c>
      <c r="BU566" s="2" t="s">
        <v>530</v>
      </c>
      <c r="BV566" s="2" t="s">
        <v>150</v>
      </c>
      <c r="BW566" s="2" t="s">
        <v>151</v>
      </c>
      <c r="BX566" s="2" t="s">
        <v>91</v>
      </c>
      <c r="BY56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66" s="2">
        <f>IF(AND(Cases[[#This Row],[Priority Level]]&gt;=3,Cases[[#This Row],[System Role]]&lt;&gt;"Productive"),1,0)</f>
        <v>0</v>
      </c>
      <c r="CA566" s="2">
        <f>IFERROR(IF(Cases[[#This Row],[Days at Customer]]&gt;MAX(1,Cases[[#This Row],[Days at SAP]]*2),1,0),0)</f>
        <v>1</v>
      </c>
      <c r="CB566" s="2">
        <f>IF(AND(Cases[[#This Row],[Initial Component]]&lt;&gt;"",Cases[[#This Row],[Component]]&lt;&gt;"",Cases[[#This Row],[Initial Component]]&lt;&gt;Cases[[#This Row],[Component]]),1,0)</f>
        <v>0</v>
      </c>
      <c r="CC566" s="2">
        <f>IF(OR(Cases[[#This Row],[Is Reopened]]="X",Cases[[#This Row],[No. of Reopenings]]&gt;0),1,0)</f>
        <v>0</v>
      </c>
      <c r="CD566" s="2">
        <f>IF(Cases[[#This Row],[Confirmation Type]]="Automatic",1,0)</f>
        <v>1</v>
      </c>
      <c r="CE566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67" spans="1:83" x14ac:dyDescent="0.2">
      <c r="A567" s="1" t="s">
        <v>3211</v>
      </c>
      <c r="B567" s="2" t="s">
        <v>3212</v>
      </c>
      <c r="C567" s="2" t="s">
        <v>3213</v>
      </c>
      <c r="D567" s="2" t="s">
        <v>238</v>
      </c>
      <c r="E567" s="3">
        <v>0.42</v>
      </c>
      <c r="F567" s="3">
        <v>21.4</v>
      </c>
      <c r="G567" s="2" t="s">
        <v>79</v>
      </c>
      <c r="H567" s="2" t="s">
        <v>155</v>
      </c>
      <c r="I567" s="3" t="s">
        <v>114</v>
      </c>
      <c r="J567" s="3">
        <v>191</v>
      </c>
      <c r="K567" s="2" t="s">
        <v>3214</v>
      </c>
      <c r="L567" s="4">
        <v>46054</v>
      </c>
      <c r="M567" s="4">
        <v>45958</v>
      </c>
      <c r="N567" s="2" t="s">
        <v>2727</v>
      </c>
      <c r="O567" s="2" t="s">
        <v>1805</v>
      </c>
      <c r="P567" s="2" t="s">
        <v>2717</v>
      </c>
      <c r="Q567" s="2" t="s">
        <v>1806</v>
      </c>
      <c r="R567" s="2" t="s">
        <v>3215</v>
      </c>
      <c r="S567" s="4">
        <v>45936</v>
      </c>
      <c r="T567" s="2" t="s">
        <v>2727</v>
      </c>
      <c r="U567" s="2" t="s">
        <v>1805</v>
      </c>
      <c r="V567" s="2" t="s">
        <v>3126</v>
      </c>
      <c r="W567" s="2" t="s">
        <v>1806</v>
      </c>
      <c r="X567" s="2" t="s">
        <v>117</v>
      </c>
      <c r="Y567" s="3" t="s">
        <v>118</v>
      </c>
      <c r="Z567" s="3">
        <v>21.82</v>
      </c>
      <c r="AA567" s="2" t="s">
        <v>138</v>
      </c>
      <c r="AB567" s="2" t="s">
        <v>443</v>
      </c>
      <c r="AC567" s="2" t="s">
        <v>444</v>
      </c>
      <c r="AD567" t="str" cm="1">
        <f t="array" ref="AD56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567" s="2" t="s">
        <v>139</v>
      </c>
      <c r="AF567" s="2" t="s">
        <v>92</v>
      </c>
      <c r="AG567" s="2" t="s">
        <v>274</v>
      </c>
      <c r="AH567" s="2" t="s">
        <v>275</v>
      </c>
      <c r="AK567" s="2" t="s">
        <v>3216</v>
      </c>
      <c r="AN567" s="3">
        <v>1</v>
      </c>
      <c r="AO567" s="3">
        <v>1</v>
      </c>
      <c r="AP567" s="3">
        <v>1</v>
      </c>
      <c r="AQ567" s="3">
        <v>1</v>
      </c>
      <c r="AR567" s="3">
        <v>0</v>
      </c>
      <c r="AS567" s="3">
        <v>0</v>
      </c>
      <c r="AT567" s="3">
        <v>1</v>
      </c>
      <c r="AU567" s="3">
        <v>0</v>
      </c>
      <c r="AV567" s="3">
        <v>1</v>
      </c>
      <c r="AW567" s="3">
        <v>0</v>
      </c>
      <c r="AX567" s="3">
        <v>0</v>
      </c>
      <c r="AY567" s="3">
        <v>0</v>
      </c>
      <c r="AZ567" s="3">
        <v>1</v>
      </c>
      <c r="BA567" s="3">
        <v>1</v>
      </c>
      <c r="BB567" s="3">
        <v>0</v>
      </c>
      <c r="BC567" s="3">
        <v>0</v>
      </c>
      <c r="BD567" s="3">
        <v>0</v>
      </c>
      <c r="BE567" s="3">
        <v>0</v>
      </c>
      <c r="BG567" s="2" t="s">
        <v>139</v>
      </c>
      <c r="BH567" s="3">
        <v>2</v>
      </c>
      <c r="BJ567" s="2" t="s">
        <v>96</v>
      </c>
      <c r="BL567" s="2" t="s">
        <v>446</v>
      </c>
      <c r="BM567" s="2" t="s">
        <v>447</v>
      </c>
      <c r="BN567" s="2" t="s">
        <v>279</v>
      </c>
      <c r="BO567" s="2" t="s">
        <v>280</v>
      </c>
      <c r="BP567" s="2" t="s">
        <v>242</v>
      </c>
      <c r="BQ567" s="2" t="s">
        <v>448</v>
      </c>
      <c r="BR567" s="2" t="s">
        <v>449</v>
      </c>
      <c r="BS567" s="2" t="s">
        <v>450</v>
      </c>
      <c r="BT567" s="2" t="s">
        <v>1030</v>
      </c>
      <c r="BU567" s="2" t="s">
        <v>1031</v>
      </c>
      <c r="BV567" s="2" t="s">
        <v>166</v>
      </c>
      <c r="BW567" s="2" t="s">
        <v>167</v>
      </c>
      <c r="BX567" s="2" t="s">
        <v>139</v>
      </c>
      <c r="BY56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67" s="2">
        <f>IF(AND(Cases[[#This Row],[Priority Level]]&gt;=3,Cases[[#This Row],[System Role]]&lt;&gt;"Productive"),1,0)</f>
        <v>0</v>
      </c>
      <c r="CA567" s="2">
        <f>IFERROR(IF(Cases[[#This Row],[Days at Customer]]&gt;MAX(1,Cases[[#This Row],[Days at SAP]]*2),1,0),0)</f>
        <v>1</v>
      </c>
      <c r="CB567" s="2">
        <f>IF(AND(Cases[[#This Row],[Initial Component]]&lt;&gt;"",Cases[[#This Row],[Component]]&lt;&gt;"",Cases[[#This Row],[Initial Component]]&lt;&gt;Cases[[#This Row],[Component]]),1,0)</f>
        <v>1</v>
      </c>
      <c r="CC567" s="2">
        <f>IF(OR(Cases[[#This Row],[Is Reopened]]="X",Cases[[#This Row],[No. of Reopenings]]&gt;0),1,0)</f>
        <v>0</v>
      </c>
      <c r="CD567" s="2">
        <f>IF(Cases[[#This Row],[Confirmation Type]]="Automatic",1,0)</f>
        <v>1</v>
      </c>
      <c r="CE567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568" spans="1:83" x14ac:dyDescent="0.2">
      <c r="A568" s="1" t="s">
        <v>3217</v>
      </c>
      <c r="B568" s="2" t="s">
        <v>3218</v>
      </c>
      <c r="C568" s="2" t="s">
        <v>604</v>
      </c>
      <c r="D568" s="2" t="s">
        <v>238</v>
      </c>
      <c r="E568" s="3">
        <v>0.89</v>
      </c>
      <c r="F568" s="3">
        <v>21.89</v>
      </c>
      <c r="G568" s="2" t="s">
        <v>113</v>
      </c>
      <c r="H568" s="2" t="s">
        <v>113</v>
      </c>
      <c r="I568" s="3" t="s">
        <v>114</v>
      </c>
      <c r="J568" s="3">
        <v>191</v>
      </c>
      <c r="K568" s="2" t="s">
        <v>3219</v>
      </c>
      <c r="L568" s="4">
        <v>46054</v>
      </c>
      <c r="M568" s="4">
        <v>45959</v>
      </c>
      <c r="N568" s="2" t="s">
        <v>2727</v>
      </c>
      <c r="O568" s="2" t="s">
        <v>1805</v>
      </c>
      <c r="P568" s="2" t="s">
        <v>2717</v>
      </c>
      <c r="Q568" s="2" t="s">
        <v>1806</v>
      </c>
      <c r="R568" s="2" t="s">
        <v>606</v>
      </c>
      <c r="S568" s="4">
        <v>45936</v>
      </c>
      <c r="T568" s="2" t="s">
        <v>2727</v>
      </c>
      <c r="U568" s="2" t="s">
        <v>1805</v>
      </c>
      <c r="V568" s="2" t="s">
        <v>3126</v>
      </c>
      <c r="W568" s="2" t="s">
        <v>1806</v>
      </c>
      <c r="X568" s="2" t="s">
        <v>117</v>
      </c>
      <c r="Y568" s="3" t="s">
        <v>118</v>
      </c>
      <c r="Z568" s="3">
        <v>22.78</v>
      </c>
      <c r="AA568" s="2" t="s">
        <v>90</v>
      </c>
      <c r="AB568" s="2" t="s">
        <v>606</v>
      </c>
      <c r="AC568" s="2" t="s">
        <v>604</v>
      </c>
      <c r="AD568" t="str" cm="1">
        <f t="array" ref="AD56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568" s="2" t="s">
        <v>91</v>
      </c>
      <c r="AF568" s="2" t="s">
        <v>92</v>
      </c>
      <c r="AG568" s="2" t="s">
        <v>119</v>
      </c>
      <c r="AH568" s="2" t="s">
        <v>120</v>
      </c>
      <c r="AK568" s="2" t="s">
        <v>3220</v>
      </c>
      <c r="AN568" s="3">
        <v>1</v>
      </c>
      <c r="AO568" s="3">
        <v>1</v>
      </c>
      <c r="AP568" s="3">
        <v>1</v>
      </c>
      <c r="AQ568" s="3">
        <v>1</v>
      </c>
      <c r="AR568" s="3">
        <v>1</v>
      </c>
      <c r="AS568" s="3">
        <v>0</v>
      </c>
      <c r="AT568" s="3">
        <v>0</v>
      </c>
      <c r="AU568" s="3">
        <v>0</v>
      </c>
      <c r="AV568" s="3">
        <v>1</v>
      </c>
      <c r="AW568" s="3">
        <v>0</v>
      </c>
      <c r="AX568" s="3">
        <v>1</v>
      </c>
      <c r="AY568" s="3">
        <v>0</v>
      </c>
      <c r="AZ568" s="3">
        <v>0</v>
      </c>
      <c r="BA568" s="3">
        <v>1</v>
      </c>
      <c r="BB568" s="3">
        <v>0</v>
      </c>
      <c r="BC568" s="3">
        <v>0</v>
      </c>
      <c r="BD568" s="3">
        <v>0</v>
      </c>
      <c r="BE568" s="3">
        <v>0</v>
      </c>
      <c r="BG568" s="2" t="s">
        <v>91</v>
      </c>
      <c r="BH568" s="3">
        <v>3</v>
      </c>
      <c r="BJ568" s="2" t="s">
        <v>96</v>
      </c>
      <c r="BL568" s="2" t="s">
        <v>123</v>
      </c>
      <c r="BM568" s="2" t="s">
        <v>123</v>
      </c>
      <c r="BN568" s="2" t="s">
        <v>124</v>
      </c>
      <c r="BO568" s="2" t="s">
        <v>125</v>
      </c>
      <c r="BP568" s="2" t="s">
        <v>242</v>
      </c>
      <c r="BQ568" s="2" t="s">
        <v>124</v>
      </c>
      <c r="BR568" s="2" t="s">
        <v>126</v>
      </c>
      <c r="BS568" s="2" t="s">
        <v>127</v>
      </c>
      <c r="BT568" s="2" t="s">
        <v>199</v>
      </c>
      <c r="BU568" s="2" t="s">
        <v>200</v>
      </c>
      <c r="BV568" s="2" t="s">
        <v>166</v>
      </c>
      <c r="BW568" s="2" t="s">
        <v>167</v>
      </c>
      <c r="BX568" s="2" t="s">
        <v>91</v>
      </c>
      <c r="BY56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68" s="2">
        <f>IF(AND(Cases[[#This Row],[Priority Level]]&gt;=3,Cases[[#This Row],[System Role]]&lt;&gt;"Productive"),1,0)</f>
        <v>1</v>
      </c>
      <c r="CA568" s="2">
        <f>IFERROR(IF(Cases[[#This Row],[Days at Customer]]&gt;MAX(1,Cases[[#This Row],[Days at SAP]]*2),1,0),0)</f>
        <v>1</v>
      </c>
      <c r="CB568" s="2">
        <f>IF(AND(Cases[[#This Row],[Initial Component]]&lt;&gt;"",Cases[[#This Row],[Component]]&lt;&gt;"",Cases[[#This Row],[Initial Component]]&lt;&gt;Cases[[#This Row],[Component]]),1,0)</f>
        <v>0</v>
      </c>
      <c r="CC568" s="2">
        <f>IF(OR(Cases[[#This Row],[Is Reopened]]="X",Cases[[#This Row],[No. of Reopenings]]&gt;0),1,0)</f>
        <v>0</v>
      </c>
      <c r="CD568" s="2">
        <f>IF(Cases[[#This Row],[Confirmation Type]]="Automatic",1,0)</f>
        <v>1</v>
      </c>
      <c r="CE568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69" spans="1:83" x14ac:dyDescent="0.2">
      <c r="A569" s="1" t="s">
        <v>3221</v>
      </c>
      <c r="B569" s="2" t="s">
        <v>3222</v>
      </c>
      <c r="C569" s="2" t="s">
        <v>911</v>
      </c>
      <c r="D569" s="2" t="s">
        <v>238</v>
      </c>
      <c r="E569" s="3">
        <v>9.7100000000000009</v>
      </c>
      <c r="F569" s="3">
        <v>21.94</v>
      </c>
      <c r="G569" s="2" t="s">
        <v>113</v>
      </c>
      <c r="H569" s="2" t="s">
        <v>113</v>
      </c>
      <c r="I569" s="3" t="s">
        <v>114</v>
      </c>
      <c r="J569" s="3">
        <v>193</v>
      </c>
      <c r="K569" s="2" t="s">
        <v>3223</v>
      </c>
      <c r="L569" s="4">
        <v>46061</v>
      </c>
      <c r="M569" s="4">
        <v>45966</v>
      </c>
      <c r="N569" s="2" t="s">
        <v>2274</v>
      </c>
      <c r="O569" s="2" t="s">
        <v>1805</v>
      </c>
      <c r="P569" s="2" t="s">
        <v>2583</v>
      </c>
      <c r="Q569" s="2" t="s">
        <v>1806</v>
      </c>
      <c r="R569" s="2" t="s">
        <v>913</v>
      </c>
      <c r="S569" s="4">
        <v>45934</v>
      </c>
      <c r="T569" s="2" t="s">
        <v>2727</v>
      </c>
      <c r="U569" s="2" t="s">
        <v>1805</v>
      </c>
      <c r="V569" s="2" t="s">
        <v>3224</v>
      </c>
      <c r="W569" s="2" t="s">
        <v>1806</v>
      </c>
      <c r="X569" s="2" t="s">
        <v>117</v>
      </c>
      <c r="Y569" s="3" t="s">
        <v>118</v>
      </c>
      <c r="Z569" s="3">
        <v>31.65</v>
      </c>
      <c r="AA569" s="2" t="s">
        <v>90</v>
      </c>
      <c r="AB569" s="2" t="s">
        <v>913</v>
      </c>
      <c r="AC569" s="2" t="s">
        <v>911</v>
      </c>
      <c r="AD569" t="str" cm="1">
        <f t="array" ref="AD56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569" s="2" t="s">
        <v>139</v>
      </c>
      <c r="AF569" s="2" t="s">
        <v>92</v>
      </c>
      <c r="AG569" s="2" t="s">
        <v>119</v>
      </c>
      <c r="AH569" s="2" t="s">
        <v>120</v>
      </c>
      <c r="AK569" s="2" t="s">
        <v>3225</v>
      </c>
      <c r="AN569" s="3">
        <v>1</v>
      </c>
      <c r="AO569" s="3">
        <v>1</v>
      </c>
      <c r="AP569" s="3">
        <v>1</v>
      </c>
      <c r="AQ569" s="3">
        <v>1</v>
      </c>
      <c r="AR569" s="3">
        <v>0</v>
      </c>
      <c r="AS569" s="3">
        <v>0</v>
      </c>
      <c r="AT569" s="3">
        <v>1</v>
      </c>
      <c r="AU569" s="3">
        <v>0</v>
      </c>
      <c r="AV569" s="3">
        <v>1</v>
      </c>
      <c r="AW569" s="3">
        <v>0</v>
      </c>
      <c r="AX569" s="3">
        <v>0</v>
      </c>
      <c r="AY569" s="3">
        <v>0</v>
      </c>
      <c r="AZ569" s="3">
        <v>1</v>
      </c>
      <c r="BA569" s="3">
        <v>1</v>
      </c>
      <c r="BB569" s="3">
        <v>0</v>
      </c>
      <c r="BC569" s="3">
        <v>0</v>
      </c>
      <c r="BD569" s="3">
        <v>0</v>
      </c>
      <c r="BE569" s="3">
        <v>0</v>
      </c>
      <c r="BG569" s="2" t="s">
        <v>139</v>
      </c>
      <c r="BH569" s="3">
        <v>2</v>
      </c>
      <c r="BJ569" s="2" t="s">
        <v>96</v>
      </c>
      <c r="BL569" s="2" t="s">
        <v>123</v>
      </c>
      <c r="BM569" s="2" t="s">
        <v>123</v>
      </c>
      <c r="BN569" s="2" t="s">
        <v>124</v>
      </c>
      <c r="BO569" s="2" t="s">
        <v>125</v>
      </c>
      <c r="BP569" s="2" t="s">
        <v>242</v>
      </c>
      <c r="BQ569" s="2" t="s">
        <v>124</v>
      </c>
      <c r="BR569" s="2" t="s">
        <v>126</v>
      </c>
      <c r="BS569" s="2" t="s">
        <v>127</v>
      </c>
      <c r="BT569" s="2" t="s">
        <v>199</v>
      </c>
      <c r="BU569" s="2" t="s">
        <v>200</v>
      </c>
      <c r="BV569" s="2" t="s">
        <v>166</v>
      </c>
      <c r="BW569" s="2" t="s">
        <v>167</v>
      </c>
      <c r="BX569" s="2" t="s">
        <v>139</v>
      </c>
      <c r="BY56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69" s="2">
        <f>IF(AND(Cases[[#This Row],[Priority Level]]&gt;=3,Cases[[#This Row],[System Role]]&lt;&gt;"Productive"),1,0)</f>
        <v>0</v>
      </c>
      <c r="CA569" s="2">
        <f>IFERROR(IF(Cases[[#This Row],[Days at Customer]]&gt;MAX(1,Cases[[#This Row],[Days at SAP]]*2),1,0),0)</f>
        <v>1</v>
      </c>
      <c r="CB569" s="2">
        <f>IF(AND(Cases[[#This Row],[Initial Component]]&lt;&gt;"",Cases[[#This Row],[Component]]&lt;&gt;"",Cases[[#This Row],[Initial Component]]&lt;&gt;Cases[[#This Row],[Component]]),1,0)</f>
        <v>0</v>
      </c>
      <c r="CC569" s="2">
        <f>IF(OR(Cases[[#This Row],[Is Reopened]]="X",Cases[[#This Row],[No. of Reopenings]]&gt;0),1,0)</f>
        <v>0</v>
      </c>
      <c r="CD569" s="2">
        <f>IF(Cases[[#This Row],[Confirmation Type]]="Automatic",1,0)</f>
        <v>1</v>
      </c>
      <c r="CE569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70" spans="1:83" x14ac:dyDescent="0.2">
      <c r="A570" s="1" t="s">
        <v>3226</v>
      </c>
      <c r="B570" s="2" t="s">
        <v>3227</v>
      </c>
      <c r="C570" s="2" t="s">
        <v>479</v>
      </c>
      <c r="D570" s="2" t="s">
        <v>238</v>
      </c>
      <c r="E570" s="3">
        <v>0.2</v>
      </c>
      <c r="F570" s="3">
        <v>21.79</v>
      </c>
      <c r="G570" s="2" t="s">
        <v>190</v>
      </c>
      <c r="H570" s="2" t="s">
        <v>308</v>
      </c>
      <c r="I570" s="3" t="s">
        <v>114</v>
      </c>
      <c r="J570" s="3">
        <v>194</v>
      </c>
      <c r="K570" s="2" t="s">
        <v>3228</v>
      </c>
      <c r="L570" s="4">
        <v>46047</v>
      </c>
      <c r="M570" s="4">
        <v>45955</v>
      </c>
      <c r="N570" s="2" t="s">
        <v>2727</v>
      </c>
      <c r="O570" s="2" t="s">
        <v>1805</v>
      </c>
      <c r="P570" s="2" t="s">
        <v>2887</v>
      </c>
      <c r="Q570" s="2" t="s">
        <v>1806</v>
      </c>
      <c r="R570" s="2" t="s">
        <v>478</v>
      </c>
      <c r="S570" s="4">
        <v>45933</v>
      </c>
      <c r="T570" s="2" t="s">
        <v>2727</v>
      </c>
      <c r="U570" s="2" t="s">
        <v>1805</v>
      </c>
      <c r="V570" s="2" t="s">
        <v>3224</v>
      </c>
      <c r="W570" s="2" t="s">
        <v>1806</v>
      </c>
      <c r="X570" s="2" t="s">
        <v>117</v>
      </c>
      <c r="Y570" s="3" t="s">
        <v>118</v>
      </c>
      <c r="Z570" s="3">
        <v>21.99</v>
      </c>
      <c r="AA570" s="2" t="s">
        <v>138</v>
      </c>
      <c r="AB570" s="2" t="s">
        <v>478</v>
      </c>
      <c r="AC570" s="2" t="s">
        <v>479</v>
      </c>
      <c r="AD570" t="str" cm="1">
        <f t="array" ref="AD57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570" s="2" t="s">
        <v>158</v>
      </c>
      <c r="AF570" s="2" t="s">
        <v>1638</v>
      </c>
      <c r="AG570" s="2" t="s">
        <v>140</v>
      </c>
      <c r="AH570" s="2" t="s">
        <v>141</v>
      </c>
      <c r="AK570" s="2" t="s">
        <v>3229</v>
      </c>
      <c r="AN570" s="3">
        <v>1</v>
      </c>
      <c r="AO570" s="3">
        <v>1</v>
      </c>
      <c r="AP570" s="3">
        <v>1</v>
      </c>
      <c r="AQ570" s="3">
        <v>1</v>
      </c>
      <c r="AR570" s="3">
        <v>0</v>
      </c>
      <c r="AS570" s="3">
        <v>0</v>
      </c>
      <c r="AT570" s="3">
        <v>1</v>
      </c>
      <c r="AU570" s="3">
        <v>0</v>
      </c>
      <c r="AV570" s="3">
        <v>1</v>
      </c>
      <c r="AW570" s="3">
        <v>0</v>
      </c>
      <c r="AX570" s="3">
        <v>0</v>
      </c>
      <c r="AY570" s="3">
        <v>0</v>
      </c>
      <c r="AZ570" s="3">
        <v>1</v>
      </c>
      <c r="BA570" s="3">
        <v>0</v>
      </c>
      <c r="BB570" s="3">
        <v>0</v>
      </c>
      <c r="BC570" s="3">
        <v>1</v>
      </c>
      <c r="BD570" s="3">
        <v>0</v>
      </c>
      <c r="BE570" s="3">
        <v>0</v>
      </c>
      <c r="BG570" s="2" t="s">
        <v>139</v>
      </c>
      <c r="BH570" s="3">
        <v>2</v>
      </c>
      <c r="BJ570" s="2" t="s">
        <v>96</v>
      </c>
      <c r="BL570" s="2" t="s">
        <v>143</v>
      </c>
      <c r="BM570" s="2" t="s">
        <v>144</v>
      </c>
      <c r="BN570" s="2" t="s">
        <v>99</v>
      </c>
      <c r="BO570" s="2" t="s">
        <v>100</v>
      </c>
      <c r="BP570" s="2" t="s">
        <v>242</v>
      </c>
      <c r="BQ570" s="2" t="s">
        <v>145</v>
      </c>
      <c r="BR570" s="2" t="s">
        <v>146</v>
      </c>
      <c r="BS570" s="2" t="s">
        <v>147</v>
      </c>
      <c r="BT570" s="2" t="s">
        <v>148</v>
      </c>
      <c r="BU570" s="2" t="s">
        <v>149</v>
      </c>
      <c r="BV570" s="2" t="s">
        <v>150</v>
      </c>
      <c r="BW570" s="2" t="s">
        <v>151</v>
      </c>
      <c r="BX570" s="2" t="s">
        <v>139</v>
      </c>
      <c r="BY57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70" s="2">
        <f>IF(AND(Cases[[#This Row],[Priority Level]]&gt;=3,Cases[[#This Row],[System Role]]&lt;&gt;"Productive"),1,0)</f>
        <v>0</v>
      </c>
      <c r="CA570" s="2">
        <f>IFERROR(IF(Cases[[#This Row],[Days at Customer]]&gt;MAX(1,Cases[[#This Row],[Days at SAP]]*2),1,0),0)</f>
        <v>1</v>
      </c>
      <c r="CB570" s="2">
        <f>IF(AND(Cases[[#This Row],[Initial Component]]&lt;&gt;"",Cases[[#This Row],[Component]]&lt;&gt;"",Cases[[#This Row],[Initial Component]]&lt;&gt;Cases[[#This Row],[Component]]),1,0)</f>
        <v>0</v>
      </c>
      <c r="CC570" s="2">
        <f>IF(OR(Cases[[#This Row],[Is Reopened]]="X",Cases[[#This Row],[No. of Reopenings]]&gt;0),1,0)</f>
        <v>0</v>
      </c>
      <c r="CD570" s="2">
        <f>IF(Cases[[#This Row],[Confirmation Type]]="Automatic",1,0)</f>
        <v>1</v>
      </c>
      <c r="CE570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71" spans="1:83" x14ac:dyDescent="0.2">
      <c r="A571" s="1" t="s">
        <v>3230</v>
      </c>
      <c r="B571" s="2" t="s">
        <v>3231</v>
      </c>
      <c r="C571" s="2" t="s">
        <v>479</v>
      </c>
      <c r="D571" s="2" t="s">
        <v>238</v>
      </c>
      <c r="E571" s="3">
        <v>0.02</v>
      </c>
      <c r="F571" s="3">
        <v>21.41</v>
      </c>
      <c r="G571" s="2" t="s">
        <v>190</v>
      </c>
      <c r="H571" s="2" t="s">
        <v>308</v>
      </c>
      <c r="I571" s="3" t="s">
        <v>114</v>
      </c>
      <c r="J571" s="3">
        <v>194</v>
      </c>
      <c r="K571" s="2" t="s">
        <v>3232</v>
      </c>
      <c r="L571" s="4">
        <v>46047</v>
      </c>
      <c r="M571" s="4">
        <v>45955</v>
      </c>
      <c r="N571" s="2" t="s">
        <v>2727</v>
      </c>
      <c r="O571" s="2" t="s">
        <v>1805</v>
      </c>
      <c r="P571" s="2" t="s">
        <v>2887</v>
      </c>
      <c r="Q571" s="2" t="s">
        <v>1806</v>
      </c>
      <c r="R571" s="2" t="s">
        <v>478</v>
      </c>
      <c r="S571" s="4">
        <v>45933</v>
      </c>
      <c r="T571" s="2" t="s">
        <v>2727</v>
      </c>
      <c r="U571" s="2" t="s">
        <v>1805</v>
      </c>
      <c r="V571" s="2" t="s">
        <v>3224</v>
      </c>
      <c r="W571" s="2" t="s">
        <v>1806</v>
      </c>
      <c r="X571" s="2" t="s">
        <v>117</v>
      </c>
      <c r="Y571" s="3" t="s">
        <v>118</v>
      </c>
      <c r="Z571" s="3">
        <v>21.43</v>
      </c>
      <c r="AA571" s="2" t="s">
        <v>138</v>
      </c>
      <c r="AB571" s="2" t="s">
        <v>478</v>
      </c>
      <c r="AC571" s="2" t="s">
        <v>479</v>
      </c>
      <c r="AD571" t="str" cm="1">
        <f t="array" ref="AD57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571" s="2" t="s">
        <v>91</v>
      </c>
      <c r="AF571" s="2" t="s">
        <v>998</v>
      </c>
      <c r="AG571" s="2" t="s">
        <v>140</v>
      </c>
      <c r="AH571" s="2" t="s">
        <v>141</v>
      </c>
      <c r="AK571" s="2" t="s">
        <v>3233</v>
      </c>
      <c r="AN571" s="3">
        <v>1</v>
      </c>
      <c r="AO571" s="3">
        <v>1</v>
      </c>
      <c r="AP571" s="3">
        <v>1</v>
      </c>
      <c r="AQ571" s="3">
        <v>1</v>
      </c>
      <c r="AR571" s="3">
        <v>1</v>
      </c>
      <c r="AS571" s="3">
        <v>0</v>
      </c>
      <c r="AT571" s="3">
        <v>0</v>
      </c>
      <c r="AU571" s="3">
        <v>0</v>
      </c>
      <c r="AV571" s="3">
        <v>1</v>
      </c>
      <c r="AW571" s="3">
        <v>0</v>
      </c>
      <c r="AX571" s="3">
        <v>1</v>
      </c>
      <c r="AY571" s="3">
        <v>0</v>
      </c>
      <c r="AZ571" s="3">
        <v>0</v>
      </c>
      <c r="BA571" s="3">
        <v>1</v>
      </c>
      <c r="BB571" s="3">
        <v>0</v>
      </c>
      <c r="BC571" s="3">
        <v>0</v>
      </c>
      <c r="BD571" s="3">
        <v>0</v>
      </c>
      <c r="BE571" s="3">
        <v>0</v>
      </c>
      <c r="BG571" s="2" t="s">
        <v>91</v>
      </c>
      <c r="BH571" s="3">
        <v>3</v>
      </c>
      <c r="BJ571" s="2" t="s">
        <v>96</v>
      </c>
      <c r="BL571" s="2" t="s">
        <v>143</v>
      </c>
      <c r="BM571" s="2" t="s">
        <v>144</v>
      </c>
      <c r="BN571" s="2" t="s">
        <v>99</v>
      </c>
      <c r="BO571" s="2" t="s">
        <v>100</v>
      </c>
      <c r="BP571" s="2" t="s">
        <v>242</v>
      </c>
      <c r="BQ571" s="2" t="s">
        <v>145</v>
      </c>
      <c r="BR571" s="2" t="s">
        <v>146</v>
      </c>
      <c r="BS571" s="2" t="s">
        <v>147</v>
      </c>
      <c r="BT571" s="2" t="s">
        <v>148</v>
      </c>
      <c r="BU571" s="2" t="s">
        <v>262</v>
      </c>
      <c r="BV571" s="2" t="s">
        <v>107</v>
      </c>
      <c r="BW571" s="2" t="s">
        <v>108</v>
      </c>
      <c r="BX571" s="2" t="s">
        <v>91</v>
      </c>
      <c r="BY57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71" s="2">
        <f>IF(AND(Cases[[#This Row],[Priority Level]]&gt;=3,Cases[[#This Row],[System Role]]&lt;&gt;"Productive"),1,0)</f>
        <v>1</v>
      </c>
      <c r="CA571" s="2">
        <f>IFERROR(IF(Cases[[#This Row],[Days at Customer]]&gt;MAX(1,Cases[[#This Row],[Days at SAP]]*2),1,0),0)</f>
        <v>1</v>
      </c>
      <c r="CB571" s="2">
        <f>IF(AND(Cases[[#This Row],[Initial Component]]&lt;&gt;"",Cases[[#This Row],[Component]]&lt;&gt;"",Cases[[#This Row],[Initial Component]]&lt;&gt;Cases[[#This Row],[Component]]),1,0)</f>
        <v>0</v>
      </c>
      <c r="CC571" s="2">
        <f>IF(OR(Cases[[#This Row],[Is Reopened]]="X",Cases[[#This Row],[No. of Reopenings]]&gt;0),1,0)</f>
        <v>0</v>
      </c>
      <c r="CD571" s="2">
        <f>IF(Cases[[#This Row],[Confirmation Type]]="Automatic",1,0)</f>
        <v>1</v>
      </c>
      <c r="CE571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72" spans="1:83" x14ac:dyDescent="0.2">
      <c r="A572" s="1" t="s">
        <v>3234</v>
      </c>
      <c r="B572" s="2" t="s">
        <v>3235</v>
      </c>
      <c r="C572" s="2" t="s">
        <v>1645</v>
      </c>
      <c r="D572" s="2" t="s">
        <v>238</v>
      </c>
      <c r="E572" s="3">
        <v>32.520000000000003</v>
      </c>
      <c r="F572" s="3">
        <v>44.1</v>
      </c>
      <c r="G572" s="2" t="s">
        <v>190</v>
      </c>
      <c r="H572" s="2" t="s">
        <v>1205</v>
      </c>
      <c r="I572" s="3" t="s">
        <v>114</v>
      </c>
      <c r="J572" s="3">
        <v>194</v>
      </c>
      <c r="K572" s="2" t="s">
        <v>3236</v>
      </c>
      <c r="L572" s="4">
        <v>46012</v>
      </c>
      <c r="M572" s="4">
        <v>46010</v>
      </c>
      <c r="N572" s="2" t="s">
        <v>1804</v>
      </c>
      <c r="O572" s="2" t="s">
        <v>1805</v>
      </c>
      <c r="P572" s="2" t="s">
        <v>1930</v>
      </c>
      <c r="Q572" s="2" t="s">
        <v>1806</v>
      </c>
      <c r="R572" s="2" t="s">
        <v>1647</v>
      </c>
      <c r="S572" s="4">
        <v>45933</v>
      </c>
      <c r="T572" s="2" t="s">
        <v>2727</v>
      </c>
      <c r="U572" s="2" t="s">
        <v>1805</v>
      </c>
      <c r="V572" s="2" t="s">
        <v>3224</v>
      </c>
      <c r="W572" s="2" t="s">
        <v>1806</v>
      </c>
      <c r="X572" s="2" t="s">
        <v>117</v>
      </c>
      <c r="Y572" s="3" t="s">
        <v>118</v>
      </c>
      <c r="Z572" s="3">
        <v>76.63</v>
      </c>
      <c r="AA572" s="2" t="s">
        <v>90</v>
      </c>
      <c r="AB572" s="2" t="s">
        <v>1647</v>
      </c>
      <c r="AC572" s="2" t="s">
        <v>1645</v>
      </c>
      <c r="AD572" t="str" cm="1">
        <f t="array" ref="AD57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572" s="2" t="s">
        <v>91</v>
      </c>
      <c r="AF572" s="2" t="s">
        <v>92</v>
      </c>
      <c r="AG572" s="2" t="s">
        <v>119</v>
      </c>
      <c r="AH572" s="2" t="s">
        <v>120</v>
      </c>
      <c r="AK572" s="2" t="s">
        <v>3237</v>
      </c>
      <c r="AN572" s="3">
        <v>1</v>
      </c>
      <c r="AO572" s="3">
        <v>1</v>
      </c>
      <c r="AP572" s="3">
        <v>1</v>
      </c>
      <c r="AQ572" s="3">
        <v>1</v>
      </c>
      <c r="AR572" s="3">
        <v>1</v>
      </c>
      <c r="AS572" s="3">
        <v>0</v>
      </c>
      <c r="AT572" s="3">
        <v>0</v>
      </c>
      <c r="AU572" s="3">
        <v>0</v>
      </c>
      <c r="AV572" s="3">
        <v>1</v>
      </c>
      <c r="AW572" s="3">
        <v>0</v>
      </c>
      <c r="AX572" s="3">
        <v>1</v>
      </c>
      <c r="AY572" s="3">
        <v>0</v>
      </c>
      <c r="AZ572" s="3">
        <v>0</v>
      </c>
      <c r="BA572" s="3">
        <v>0</v>
      </c>
      <c r="BB572" s="3">
        <v>0</v>
      </c>
      <c r="BC572" s="3">
        <v>1</v>
      </c>
      <c r="BD572" s="3">
        <v>0</v>
      </c>
      <c r="BE572" s="3">
        <v>0</v>
      </c>
      <c r="BG572" s="2" t="s">
        <v>91</v>
      </c>
      <c r="BH572" s="3">
        <v>3</v>
      </c>
      <c r="BJ572" s="2" t="s">
        <v>96</v>
      </c>
      <c r="BL572" s="2" t="s">
        <v>123</v>
      </c>
      <c r="BM572" s="2" t="s">
        <v>123</v>
      </c>
      <c r="BN572" s="2" t="s">
        <v>124</v>
      </c>
      <c r="BO572" s="2" t="s">
        <v>125</v>
      </c>
      <c r="BP572" s="2" t="s">
        <v>242</v>
      </c>
      <c r="BQ572" s="2" t="s">
        <v>124</v>
      </c>
      <c r="BR572" s="2" t="s">
        <v>126</v>
      </c>
      <c r="BS572" s="2" t="s">
        <v>127</v>
      </c>
      <c r="BT572" s="2" t="s">
        <v>174</v>
      </c>
      <c r="BU572" s="2" t="s">
        <v>175</v>
      </c>
      <c r="BV572" s="2" t="s">
        <v>150</v>
      </c>
      <c r="BW572" s="2" t="s">
        <v>151</v>
      </c>
      <c r="BX572" s="2" t="s">
        <v>91</v>
      </c>
      <c r="BY57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72" s="2">
        <f>IF(AND(Cases[[#This Row],[Priority Level]]&gt;=3,Cases[[#This Row],[System Role]]&lt;&gt;"Productive"),1,0)</f>
        <v>0</v>
      </c>
      <c r="CA572" s="2">
        <f>IFERROR(IF(Cases[[#This Row],[Days at Customer]]&gt;MAX(1,Cases[[#This Row],[Days at SAP]]*2),1,0),0)</f>
        <v>0</v>
      </c>
      <c r="CB572" s="2">
        <f>IF(AND(Cases[[#This Row],[Initial Component]]&lt;&gt;"",Cases[[#This Row],[Component]]&lt;&gt;"",Cases[[#This Row],[Initial Component]]&lt;&gt;Cases[[#This Row],[Component]]),1,0)</f>
        <v>0</v>
      </c>
      <c r="CC572" s="2">
        <f>IF(OR(Cases[[#This Row],[Is Reopened]]="X",Cases[[#This Row],[No. of Reopenings]]&gt;0),1,0)</f>
        <v>0</v>
      </c>
      <c r="CD572" s="2">
        <f>IF(Cases[[#This Row],[Confirmation Type]]="Automatic",1,0)</f>
        <v>1</v>
      </c>
      <c r="CE572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573" spans="1:83" x14ac:dyDescent="0.2">
      <c r="A573" s="1" t="s">
        <v>3238</v>
      </c>
      <c r="B573" s="2" t="s">
        <v>3239</v>
      </c>
      <c r="C573" s="2" t="s">
        <v>3240</v>
      </c>
      <c r="D573" s="2" t="s">
        <v>238</v>
      </c>
      <c r="E573" s="3">
        <v>4.7</v>
      </c>
      <c r="F573" s="3">
        <v>21.66</v>
      </c>
      <c r="G573" s="2" t="s">
        <v>79</v>
      </c>
      <c r="H573" s="2" t="s">
        <v>80</v>
      </c>
      <c r="I573" s="3" t="s">
        <v>114</v>
      </c>
      <c r="J573" s="3">
        <v>195</v>
      </c>
      <c r="K573" s="2" t="s">
        <v>3241</v>
      </c>
      <c r="L573" s="4">
        <v>46054</v>
      </c>
      <c r="M573" s="4">
        <v>45959</v>
      </c>
      <c r="N573" s="2" t="s">
        <v>2727</v>
      </c>
      <c r="O573" s="2" t="s">
        <v>1805</v>
      </c>
      <c r="P573" s="2" t="s">
        <v>2717</v>
      </c>
      <c r="Q573" s="2" t="s">
        <v>1806</v>
      </c>
      <c r="R573" s="2" t="s">
        <v>3242</v>
      </c>
      <c r="S573" s="4">
        <v>45932</v>
      </c>
      <c r="T573" s="2" t="s">
        <v>2727</v>
      </c>
      <c r="U573" s="2" t="s">
        <v>1805</v>
      </c>
      <c r="V573" s="2" t="s">
        <v>3224</v>
      </c>
      <c r="W573" s="2" t="s">
        <v>1806</v>
      </c>
      <c r="X573" s="2" t="s">
        <v>117</v>
      </c>
      <c r="Y573" s="3" t="s">
        <v>118</v>
      </c>
      <c r="Z573" s="3">
        <v>26.36</v>
      </c>
      <c r="AA573" s="2" t="s">
        <v>138</v>
      </c>
      <c r="AB573" s="2" t="s">
        <v>3242</v>
      </c>
      <c r="AC573" s="2" t="s">
        <v>3240</v>
      </c>
      <c r="AD573" t="str" cm="1">
        <f t="array" ref="AD57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573" s="2" t="s">
        <v>91</v>
      </c>
      <c r="AF573" s="2" t="s">
        <v>92</v>
      </c>
      <c r="AG573" s="2" t="s">
        <v>274</v>
      </c>
      <c r="AH573" s="2" t="s">
        <v>275</v>
      </c>
      <c r="AK573" s="2" t="s">
        <v>3243</v>
      </c>
      <c r="AN573" s="3">
        <v>1</v>
      </c>
      <c r="AO573" s="3">
        <v>1</v>
      </c>
      <c r="AP573" s="3">
        <v>1</v>
      </c>
      <c r="AQ573" s="3">
        <v>1</v>
      </c>
      <c r="AR573" s="3">
        <v>1</v>
      </c>
      <c r="AS573" s="3">
        <v>0</v>
      </c>
      <c r="AT573" s="3">
        <v>0</v>
      </c>
      <c r="AU573" s="3">
        <v>0</v>
      </c>
      <c r="AV573" s="3">
        <v>1</v>
      </c>
      <c r="AW573" s="3">
        <v>0</v>
      </c>
      <c r="AX573" s="3">
        <v>1</v>
      </c>
      <c r="AY573" s="3">
        <v>0</v>
      </c>
      <c r="AZ573" s="3">
        <v>0</v>
      </c>
      <c r="BA573" s="3">
        <v>0</v>
      </c>
      <c r="BB573" s="3">
        <v>0</v>
      </c>
      <c r="BC573" s="3">
        <v>1</v>
      </c>
      <c r="BD573" s="3">
        <v>0</v>
      </c>
      <c r="BE573" s="3">
        <v>0</v>
      </c>
      <c r="BG573" s="2" t="s">
        <v>91</v>
      </c>
      <c r="BH573" s="3">
        <v>3</v>
      </c>
      <c r="BJ573" s="2" t="s">
        <v>96</v>
      </c>
      <c r="BL573" s="2" t="s">
        <v>2689</v>
      </c>
      <c r="BM573" s="2" t="s">
        <v>2690</v>
      </c>
      <c r="BN573" s="2" t="s">
        <v>2691</v>
      </c>
      <c r="BO573" s="2" t="s">
        <v>2692</v>
      </c>
      <c r="BP573" s="2" t="s">
        <v>242</v>
      </c>
      <c r="BQ573" s="2" t="s">
        <v>2693</v>
      </c>
      <c r="BR573" s="2" t="s">
        <v>2694</v>
      </c>
      <c r="BS573" s="2" t="s">
        <v>450</v>
      </c>
      <c r="BT573" s="2" t="s">
        <v>2695</v>
      </c>
      <c r="BU573" s="2" t="s">
        <v>2696</v>
      </c>
      <c r="BV573" s="2" t="s">
        <v>150</v>
      </c>
      <c r="BW573" s="2" t="s">
        <v>151</v>
      </c>
      <c r="BX573" s="2" t="s">
        <v>91</v>
      </c>
      <c r="BY57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73" s="2">
        <f>IF(AND(Cases[[#This Row],[Priority Level]]&gt;=3,Cases[[#This Row],[System Role]]&lt;&gt;"Productive"),1,0)</f>
        <v>0</v>
      </c>
      <c r="CA573" s="2">
        <f>IFERROR(IF(Cases[[#This Row],[Days at Customer]]&gt;MAX(1,Cases[[#This Row],[Days at SAP]]*2),1,0),0)</f>
        <v>1</v>
      </c>
      <c r="CB573" s="2">
        <f>IF(AND(Cases[[#This Row],[Initial Component]]&lt;&gt;"",Cases[[#This Row],[Component]]&lt;&gt;"",Cases[[#This Row],[Initial Component]]&lt;&gt;Cases[[#This Row],[Component]]),1,0)</f>
        <v>0</v>
      </c>
      <c r="CC573" s="2">
        <f>IF(OR(Cases[[#This Row],[Is Reopened]]="X",Cases[[#This Row],[No. of Reopenings]]&gt;0),1,0)</f>
        <v>0</v>
      </c>
      <c r="CD573" s="2">
        <f>IF(Cases[[#This Row],[Confirmation Type]]="Automatic",1,0)</f>
        <v>1</v>
      </c>
      <c r="CE573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74" spans="1:83" x14ac:dyDescent="0.2">
      <c r="A574" s="1" t="s">
        <v>3244</v>
      </c>
      <c r="B574" s="2" t="s">
        <v>3245</v>
      </c>
      <c r="C574" s="2" t="s">
        <v>2687</v>
      </c>
      <c r="D574" s="2" t="s">
        <v>78</v>
      </c>
      <c r="E574" s="3">
        <v>10.47</v>
      </c>
      <c r="F574" s="3">
        <v>23.58</v>
      </c>
      <c r="G574" s="2" t="s">
        <v>79</v>
      </c>
      <c r="H574" s="2" t="s">
        <v>178</v>
      </c>
      <c r="I574" s="3" t="s">
        <v>114</v>
      </c>
      <c r="J574" s="3">
        <v>195</v>
      </c>
      <c r="K574" s="2" t="s">
        <v>3246</v>
      </c>
      <c r="L574" s="4">
        <v>46061</v>
      </c>
      <c r="M574" s="4">
        <v>45966</v>
      </c>
      <c r="N574" s="2" t="s">
        <v>2274</v>
      </c>
      <c r="O574" s="2" t="s">
        <v>1805</v>
      </c>
      <c r="P574" s="2" t="s">
        <v>2583</v>
      </c>
      <c r="Q574" s="2" t="s">
        <v>1806</v>
      </c>
      <c r="R574" s="2" t="s">
        <v>2686</v>
      </c>
      <c r="S574" s="4">
        <v>45932</v>
      </c>
      <c r="T574" s="2" t="s">
        <v>2727</v>
      </c>
      <c r="U574" s="2" t="s">
        <v>1805</v>
      </c>
      <c r="V574" s="2" t="s">
        <v>3224</v>
      </c>
      <c r="W574" s="2" t="s">
        <v>1806</v>
      </c>
      <c r="X574" s="2" t="s">
        <v>117</v>
      </c>
      <c r="Y574" s="3" t="s">
        <v>118</v>
      </c>
      <c r="Z574" s="3">
        <v>34.04</v>
      </c>
      <c r="AA574" s="2" t="s">
        <v>138</v>
      </c>
      <c r="AB574" s="2" t="s">
        <v>3247</v>
      </c>
      <c r="AC574" s="2" t="s">
        <v>3248</v>
      </c>
      <c r="AD574" t="str" cm="1">
        <f t="array" ref="AD57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574" s="2" t="s">
        <v>139</v>
      </c>
      <c r="AF574" s="2" t="s">
        <v>92</v>
      </c>
      <c r="AG574" s="2" t="s">
        <v>274</v>
      </c>
      <c r="AH574" s="2" t="s">
        <v>275</v>
      </c>
      <c r="AJ574" s="2" t="s">
        <v>122</v>
      </c>
      <c r="AK574" s="2" t="s">
        <v>3249</v>
      </c>
      <c r="AN574" s="3">
        <v>1</v>
      </c>
      <c r="AO574" s="3">
        <v>1</v>
      </c>
      <c r="AP574" s="3">
        <v>1</v>
      </c>
      <c r="AQ574" s="3">
        <v>1</v>
      </c>
      <c r="AR574" s="3">
        <v>0</v>
      </c>
      <c r="AS574" s="3">
        <v>0</v>
      </c>
      <c r="AT574" s="3">
        <v>1</v>
      </c>
      <c r="AU574" s="3">
        <v>0</v>
      </c>
      <c r="AV574" s="3">
        <v>0</v>
      </c>
      <c r="AW574" s="3">
        <v>1</v>
      </c>
      <c r="AX574" s="3">
        <v>0</v>
      </c>
      <c r="AY574" s="3">
        <v>0</v>
      </c>
      <c r="AZ574" s="3">
        <v>1</v>
      </c>
      <c r="BA574" s="3">
        <v>0</v>
      </c>
      <c r="BB574" s="3">
        <v>0</v>
      </c>
      <c r="BC574" s="3">
        <v>1</v>
      </c>
      <c r="BD574" s="3">
        <v>3</v>
      </c>
      <c r="BE574" s="3">
        <v>0</v>
      </c>
      <c r="BG574" s="2" t="s">
        <v>139</v>
      </c>
      <c r="BH574" s="3">
        <v>2</v>
      </c>
      <c r="BJ574" s="2" t="s">
        <v>96</v>
      </c>
      <c r="BL574" s="2" t="s">
        <v>2689</v>
      </c>
      <c r="BM574" s="2" t="s">
        <v>2690</v>
      </c>
      <c r="BN574" s="2" t="s">
        <v>2691</v>
      </c>
      <c r="BO574" s="2" t="s">
        <v>2692</v>
      </c>
      <c r="BP574" s="2" t="s">
        <v>101</v>
      </c>
      <c r="BQ574" s="2" t="s">
        <v>2693</v>
      </c>
      <c r="BR574" s="2" t="s">
        <v>2694</v>
      </c>
      <c r="BS574" s="2" t="s">
        <v>450</v>
      </c>
      <c r="BT574" s="2" t="s">
        <v>2695</v>
      </c>
      <c r="BU574" s="2" t="s">
        <v>2696</v>
      </c>
      <c r="BV574" s="2" t="s">
        <v>150</v>
      </c>
      <c r="BW574" s="2" t="s">
        <v>151</v>
      </c>
      <c r="BX574" s="2" t="s">
        <v>139</v>
      </c>
      <c r="BY57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74" s="2">
        <f>IF(AND(Cases[[#This Row],[Priority Level]]&gt;=3,Cases[[#This Row],[System Role]]&lt;&gt;"Productive"),1,0)</f>
        <v>0</v>
      </c>
      <c r="CA574" s="2">
        <f>IFERROR(IF(Cases[[#This Row],[Days at Customer]]&gt;MAX(1,Cases[[#This Row],[Days at SAP]]*2),1,0),0)</f>
        <v>1</v>
      </c>
      <c r="CB574" s="2">
        <f>IF(AND(Cases[[#This Row],[Initial Component]]&lt;&gt;"",Cases[[#This Row],[Component]]&lt;&gt;"",Cases[[#This Row],[Initial Component]]&lt;&gt;Cases[[#This Row],[Component]]),1,0)</f>
        <v>1</v>
      </c>
      <c r="CC574" s="2">
        <f>IF(OR(Cases[[#This Row],[Is Reopened]]="X",Cases[[#This Row],[No. of Reopenings]]&gt;0),1,0)</f>
        <v>1</v>
      </c>
      <c r="CD574" s="2">
        <f>IF(Cases[[#This Row],[Confirmation Type]]="Automatic",1,0)</f>
        <v>0</v>
      </c>
      <c r="CE574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575" spans="1:83" x14ac:dyDescent="0.2">
      <c r="A575" s="1" t="s">
        <v>3250</v>
      </c>
      <c r="B575" s="2" t="s">
        <v>2184</v>
      </c>
      <c r="C575" s="2" t="s">
        <v>189</v>
      </c>
      <c r="D575" s="2" t="s">
        <v>238</v>
      </c>
      <c r="E575" s="3">
        <v>6.43</v>
      </c>
      <c r="F575" s="3">
        <v>43.14</v>
      </c>
      <c r="G575" s="2" t="s">
        <v>79</v>
      </c>
      <c r="H575" s="2" t="s">
        <v>80</v>
      </c>
      <c r="I575" s="3" t="s">
        <v>114</v>
      </c>
      <c r="J575" s="3">
        <v>196</v>
      </c>
      <c r="K575" s="2" t="s">
        <v>3251</v>
      </c>
      <c r="L575" s="4">
        <v>46009</v>
      </c>
      <c r="M575" s="4">
        <v>45980</v>
      </c>
      <c r="N575" s="2" t="s">
        <v>2274</v>
      </c>
      <c r="O575" s="2" t="s">
        <v>1805</v>
      </c>
      <c r="P575" s="2" t="s">
        <v>2404</v>
      </c>
      <c r="Q575" s="2" t="s">
        <v>1806</v>
      </c>
      <c r="R575" s="2" t="s">
        <v>194</v>
      </c>
      <c r="S575" s="4">
        <v>45931</v>
      </c>
      <c r="T575" s="2" t="s">
        <v>2727</v>
      </c>
      <c r="U575" s="2" t="s">
        <v>1805</v>
      </c>
      <c r="V575" s="2" t="s">
        <v>3224</v>
      </c>
      <c r="W575" s="2" t="s">
        <v>1806</v>
      </c>
      <c r="X575" s="2" t="s">
        <v>117</v>
      </c>
      <c r="Y575" s="3" t="s">
        <v>118</v>
      </c>
      <c r="Z575" s="3">
        <v>49.57</v>
      </c>
      <c r="AA575" s="2" t="s">
        <v>90</v>
      </c>
      <c r="AB575" s="2" t="s">
        <v>196</v>
      </c>
      <c r="AC575" s="2" t="s">
        <v>197</v>
      </c>
      <c r="AD575" t="str" cm="1">
        <f t="array" ref="AD57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575" s="2" t="s">
        <v>182</v>
      </c>
      <c r="AF575" s="2" t="s">
        <v>92</v>
      </c>
      <c r="AG575" s="2" t="s">
        <v>119</v>
      </c>
      <c r="AH575" s="2" t="s">
        <v>120</v>
      </c>
      <c r="AJ575" s="2" t="s">
        <v>122</v>
      </c>
      <c r="AK575" s="2" t="s">
        <v>3252</v>
      </c>
      <c r="AN575" s="3">
        <v>1</v>
      </c>
      <c r="AO575" s="3">
        <v>1</v>
      </c>
      <c r="AP575" s="3">
        <v>1</v>
      </c>
      <c r="AQ575" s="3">
        <v>1</v>
      </c>
      <c r="AR575" s="3">
        <v>1</v>
      </c>
      <c r="AS575" s="3">
        <v>0</v>
      </c>
      <c r="AT575" s="3">
        <v>0</v>
      </c>
      <c r="AU575" s="3">
        <v>0</v>
      </c>
      <c r="AV575" s="3">
        <v>1</v>
      </c>
      <c r="AW575" s="3">
        <v>0</v>
      </c>
      <c r="AX575" s="3">
        <v>1</v>
      </c>
      <c r="AY575" s="3">
        <v>0</v>
      </c>
      <c r="AZ575" s="3">
        <v>0</v>
      </c>
      <c r="BA575" s="3">
        <v>0</v>
      </c>
      <c r="BB575" s="3">
        <v>0</v>
      </c>
      <c r="BC575" s="3">
        <v>1</v>
      </c>
      <c r="BD575" s="3">
        <v>4</v>
      </c>
      <c r="BE575" s="3">
        <v>0</v>
      </c>
      <c r="BG575" s="2" t="s">
        <v>91</v>
      </c>
      <c r="BH575" s="3">
        <v>3</v>
      </c>
      <c r="BJ575" s="2" t="s">
        <v>96</v>
      </c>
      <c r="BL575" s="2" t="s">
        <v>123</v>
      </c>
      <c r="BM575" s="2" t="s">
        <v>123</v>
      </c>
      <c r="BN575" s="2" t="s">
        <v>124</v>
      </c>
      <c r="BO575" s="2" t="s">
        <v>125</v>
      </c>
      <c r="BP575" s="2" t="s">
        <v>242</v>
      </c>
      <c r="BQ575" s="2" t="s">
        <v>124</v>
      </c>
      <c r="BR575" s="2" t="s">
        <v>126</v>
      </c>
      <c r="BS575" s="2" t="s">
        <v>127</v>
      </c>
      <c r="BT575" s="2" t="s">
        <v>207</v>
      </c>
      <c r="BU575" s="2" t="s">
        <v>208</v>
      </c>
      <c r="BV575" s="2" t="s">
        <v>150</v>
      </c>
      <c r="BW575" s="2" t="s">
        <v>151</v>
      </c>
      <c r="BX575" s="2" t="s">
        <v>182</v>
      </c>
      <c r="BY57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75" s="2">
        <f>IF(AND(Cases[[#This Row],[Priority Level]]&gt;=3,Cases[[#This Row],[System Role]]&lt;&gt;"Productive"),1,0)</f>
        <v>0</v>
      </c>
      <c r="CA575" s="2">
        <f>IFERROR(IF(Cases[[#This Row],[Days at Customer]]&gt;MAX(1,Cases[[#This Row],[Days at SAP]]*2),1,0),0)</f>
        <v>1</v>
      </c>
      <c r="CB575" s="2">
        <f>IF(AND(Cases[[#This Row],[Initial Component]]&lt;&gt;"",Cases[[#This Row],[Component]]&lt;&gt;"",Cases[[#This Row],[Initial Component]]&lt;&gt;Cases[[#This Row],[Component]]),1,0)</f>
        <v>1</v>
      </c>
      <c r="CC575" s="2">
        <f>IF(OR(Cases[[#This Row],[Is Reopened]]="X",Cases[[#This Row],[No. of Reopenings]]&gt;0),1,0)</f>
        <v>1</v>
      </c>
      <c r="CD575" s="2">
        <f>IF(Cases[[#This Row],[Confirmation Type]]="Automatic",1,0)</f>
        <v>1</v>
      </c>
      <c r="CE575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576" spans="1:83" x14ac:dyDescent="0.2">
      <c r="A576" s="1" t="s">
        <v>3253</v>
      </c>
      <c r="B576" s="2" t="s">
        <v>3254</v>
      </c>
      <c r="C576" s="2" t="s">
        <v>674</v>
      </c>
      <c r="D576" s="2" t="s">
        <v>238</v>
      </c>
      <c r="E576" s="3">
        <v>8.17</v>
      </c>
      <c r="F576" s="3">
        <v>25.21</v>
      </c>
      <c r="G576" s="2" t="s">
        <v>79</v>
      </c>
      <c r="H576" s="2" t="s">
        <v>80</v>
      </c>
      <c r="I576" s="3" t="s">
        <v>114</v>
      </c>
      <c r="J576" s="3">
        <v>196</v>
      </c>
      <c r="K576" s="2" t="s">
        <v>3255</v>
      </c>
      <c r="L576" s="4">
        <v>46061</v>
      </c>
      <c r="M576" s="4">
        <v>45964</v>
      </c>
      <c r="N576" s="2" t="s">
        <v>2274</v>
      </c>
      <c r="O576" s="2" t="s">
        <v>1805</v>
      </c>
      <c r="P576" s="2" t="s">
        <v>2583</v>
      </c>
      <c r="Q576" s="2" t="s">
        <v>1806</v>
      </c>
      <c r="R576" s="2" t="s">
        <v>676</v>
      </c>
      <c r="S576" s="4">
        <v>45931</v>
      </c>
      <c r="T576" s="2" t="s">
        <v>2727</v>
      </c>
      <c r="U576" s="2" t="s">
        <v>1805</v>
      </c>
      <c r="V576" s="2" t="s">
        <v>3224</v>
      </c>
      <c r="W576" s="2" t="s">
        <v>1806</v>
      </c>
      <c r="X576" s="2" t="s">
        <v>117</v>
      </c>
      <c r="Y576" s="3" t="s">
        <v>118</v>
      </c>
      <c r="Z576" s="3">
        <v>33.39</v>
      </c>
      <c r="AA576" s="2" t="s">
        <v>90</v>
      </c>
      <c r="AB576" s="2" t="s">
        <v>734</v>
      </c>
      <c r="AC576" s="2" t="s">
        <v>731</v>
      </c>
      <c r="AD576" t="str" cm="1">
        <f t="array" ref="AD57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576" s="2" t="s">
        <v>91</v>
      </c>
      <c r="AF576" s="2" t="s">
        <v>92</v>
      </c>
      <c r="AG576" s="2" t="s">
        <v>527</v>
      </c>
      <c r="AH576" s="2" t="s">
        <v>528</v>
      </c>
      <c r="AK576" s="2" t="s">
        <v>3256</v>
      </c>
      <c r="AN576" s="3">
        <v>1</v>
      </c>
      <c r="AO576" s="3">
        <v>1</v>
      </c>
      <c r="AP576" s="3">
        <v>1</v>
      </c>
      <c r="AQ576" s="3">
        <v>1</v>
      </c>
      <c r="AR576" s="3">
        <v>1</v>
      </c>
      <c r="AS576" s="3">
        <v>0</v>
      </c>
      <c r="AT576" s="3">
        <v>0</v>
      </c>
      <c r="AU576" s="3">
        <v>0</v>
      </c>
      <c r="AV576" s="3">
        <v>1</v>
      </c>
      <c r="AW576" s="3">
        <v>0</v>
      </c>
      <c r="AX576" s="3">
        <v>1</v>
      </c>
      <c r="AY576" s="3">
        <v>0</v>
      </c>
      <c r="AZ576" s="3">
        <v>0</v>
      </c>
      <c r="BA576" s="3">
        <v>0</v>
      </c>
      <c r="BB576" s="3">
        <v>0</v>
      </c>
      <c r="BC576" s="3">
        <v>1</v>
      </c>
      <c r="BD576" s="3">
        <v>0</v>
      </c>
      <c r="BE576" s="3">
        <v>0</v>
      </c>
      <c r="BG576" s="2" t="s">
        <v>91</v>
      </c>
      <c r="BH576" s="3">
        <v>3</v>
      </c>
      <c r="BJ576" s="2" t="s">
        <v>96</v>
      </c>
      <c r="BL576" s="2" t="s">
        <v>184</v>
      </c>
      <c r="BM576" s="2" t="s">
        <v>184</v>
      </c>
      <c r="BN576" s="2" t="s">
        <v>124</v>
      </c>
      <c r="BO576" s="2" t="s">
        <v>125</v>
      </c>
      <c r="BP576" s="2" t="s">
        <v>242</v>
      </c>
      <c r="BQ576" s="2" t="s">
        <v>124</v>
      </c>
      <c r="BR576" s="2" t="s">
        <v>126</v>
      </c>
      <c r="BS576" s="2" t="s">
        <v>127</v>
      </c>
      <c r="BT576" s="2" t="s">
        <v>185</v>
      </c>
      <c r="BU576" s="2" t="s">
        <v>530</v>
      </c>
      <c r="BV576" s="2" t="s">
        <v>150</v>
      </c>
      <c r="BW576" s="2" t="s">
        <v>151</v>
      </c>
      <c r="BX576" s="2" t="s">
        <v>91</v>
      </c>
      <c r="BY57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76" s="2">
        <f>IF(AND(Cases[[#This Row],[Priority Level]]&gt;=3,Cases[[#This Row],[System Role]]&lt;&gt;"Productive"),1,0)</f>
        <v>0</v>
      </c>
      <c r="CA576" s="2">
        <f>IFERROR(IF(Cases[[#This Row],[Days at Customer]]&gt;MAX(1,Cases[[#This Row],[Days at SAP]]*2),1,0),0)</f>
        <v>1</v>
      </c>
      <c r="CB576" s="2">
        <f>IF(AND(Cases[[#This Row],[Initial Component]]&lt;&gt;"",Cases[[#This Row],[Component]]&lt;&gt;"",Cases[[#This Row],[Initial Component]]&lt;&gt;Cases[[#This Row],[Component]]),1,0)</f>
        <v>1</v>
      </c>
      <c r="CC576" s="2">
        <f>IF(OR(Cases[[#This Row],[Is Reopened]]="X",Cases[[#This Row],[No. of Reopenings]]&gt;0),1,0)</f>
        <v>0</v>
      </c>
      <c r="CD576" s="2">
        <f>IF(Cases[[#This Row],[Confirmation Type]]="Automatic",1,0)</f>
        <v>1</v>
      </c>
      <c r="CE57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77" spans="1:83" x14ac:dyDescent="0.2">
      <c r="A577" s="1" t="s">
        <v>3257</v>
      </c>
      <c r="B577" s="2" t="s">
        <v>3258</v>
      </c>
      <c r="C577" s="2" t="s">
        <v>2921</v>
      </c>
      <c r="D577" s="2" t="s">
        <v>238</v>
      </c>
      <c r="E577" s="3">
        <v>1.5</v>
      </c>
      <c r="F577" s="3">
        <v>21.14</v>
      </c>
      <c r="G577" s="2" t="s">
        <v>79</v>
      </c>
      <c r="H577" s="2" t="s">
        <v>178</v>
      </c>
      <c r="I577" s="3" t="s">
        <v>114</v>
      </c>
      <c r="J577" s="3">
        <v>196</v>
      </c>
      <c r="K577" s="2" t="s">
        <v>3259</v>
      </c>
      <c r="L577" s="4">
        <v>46047</v>
      </c>
      <c r="M577" s="4">
        <v>45953</v>
      </c>
      <c r="N577" s="2" t="s">
        <v>2727</v>
      </c>
      <c r="O577" s="2" t="s">
        <v>1805</v>
      </c>
      <c r="P577" s="2" t="s">
        <v>2887</v>
      </c>
      <c r="Q577" s="2" t="s">
        <v>1806</v>
      </c>
      <c r="R577" s="2" t="s">
        <v>2923</v>
      </c>
      <c r="S577" s="4">
        <v>45931</v>
      </c>
      <c r="T577" s="2" t="s">
        <v>2727</v>
      </c>
      <c r="U577" s="2" t="s">
        <v>1805</v>
      </c>
      <c r="V577" s="2" t="s">
        <v>3224</v>
      </c>
      <c r="W577" s="2" t="s">
        <v>1806</v>
      </c>
      <c r="X577" s="2" t="s">
        <v>117</v>
      </c>
      <c r="Y577" s="3" t="s">
        <v>118</v>
      </c>
      <c r="Z577" s="3">
        <v>22.65</v>
      </c>
      <c r="AA577" s="2" t="s">
        <v>90</v>
      </c>
      <c r="AB577" s="2" t="s">
        <v>2923</v>
      </c>
      <c r="AC577" s="2" t="s">
        <v>2921</v>
      </c>
      <c r="AD577" t="str" cm="1">
        <f t="array" ref="AD57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577" s="2" t="s">
        <v>91</v>
      </c>
      <c r="AF577" s="2" t="s">
        <v>92</v>
      </c>
      <c r="AG577" s="2" t="s">
        <v>119</v>
      </c>
      <c r="AH577" s="2" t="s">
        <v>120</v>
      </c>
      <c r="AK577" s="2" t="s">
        <v>3260</v>
      </c>
      <c r="AN577" s="3">
        <v>1</v>
      </c>
      <c r="AO577" s="3">
        <v>1</v>
      </c>
      <c r="AP577" s="3">
        <v>1</v>
      </c>
      <c r="AQ577" s="3">
        <v>1</v>
      </c>
      <c r="AR577" s="3">
        <v>1</v>
      </c>
      <c r="AS577" s="3">
        <v>0</v>
      </c>
      <c r="AT577" s="3">
        <v>0</v>
      </c>
      <c r="AU577" s="3">
        <v>0</v>
      </c>
      <c r="AV577" s="3">
        <v>1</v>
      </c>
      <c r="AW577" s="3">
        <v>0</v>
      </c>
      <c r="AX577" s="3">
        <v>1</v>
      </c>
      <c r="AY577" s="3">
        <v>0</v>
      </c>
      <c r="AZ577" s="3">
        <v>0</v>
      </c>
      <c r="BA577" s="3">
        <v>1</v>
      </c>
      <c r="BB577" s="3">
        <v>0</v>
      </c>
      <c r="BC577" s="3">
        <v>0</v>
      </c>
      <c r="BD577" s="3">
        <v>0</v>
      </c>
      <c r="BE577" s="3">
        <v>0</v>
      </c>
      <c r="BG577" s="2" t="s">
        <v>91</v>
      </c>
      <c r="BH577" s="3">
        <v>3</v>
      </c>
      <c r="BJ577" s="2" t="s">
        <v>96</v>
      </c>
      <c r="BL577" s="2" t="s">
        <v>123</v>
      </c>
      <c r="BM577" s="2" t="s">
        <v>123</v>
      </c>
      <c r="BN577" s="2" t="s">
        <v>124</v>
      </c>
      <c r="BO577" s="2" t="s">
        <v>125</v>
      </c>
      <c r="BP577" s="2" t="s">
        <v>242</v>
      </c>
      <c r="BQ577" s="2" t="s">
        <v>124</v>
      </c>
      <c r="BR577" s="2" t="s">
        <v>126</v>
      </c>
      <c r="BS577" s="2" t="s">
        <v>127</v>
      </c>
      <c r="BT577" s="2" t="s">
        <v>199</v>
      </c>
      <c r="BU577" s="2" t="s">
        <v>200</v>
      </c>
      <c r="BV577" s="2" t="s">
        <v>166</v>
      </c>
      <c r="BW577" s="2" t="s">
        <v>167</v>
      </c>
      <c r="BX577" s="2" t="s">
        <v>91</v>
      </c>
      <c r="BY57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77" s="2">
        <f>IF(AND(Cases[[#This Row],[Priority Level]]&gt;=3,Cases[[#This Row],[System Role]]&lt;&gt;"Productive"),1,0)</f>
        <v>1</v>
      </c>
      <c r="CA577" s="2">
        <f>IFERROR(IF(Cases[[#This Row],[Days at Customer]]&gt;MAX(1,Cases[[#This Row],[Days at SAP]]*2),1,0),0)</f>
        <v>1</v>
      </c>
      <c r="CB577" s="2">
        <f>IF(AND(Cases[[#This Row],[Initial Component]]&lt;&gt;"",Cases[[#This Row],[Component]]&lt;&gt;"",Cases[[#This Row],[Initial Component]]&lt;&gt;Cases[[#This Row],[Component]]),1,0)</f>
        <v>0</v>
      </c>
      <c r="CC577" s="2">
        <f>IF(OR(Cases[[#This Row],[Is Reopened]]="X",Cases[[#This Row],[No. of Reopenings]]&gt;0),1,0)</f>
        <v>0</v>
      </c>
      <c r="CD577" s="2">
        <f>IF(Cases[[#This Row],[Confirmation Type]]="Automatic",1,0)</f>
        <v>1</v>
      </c>
      <c r="CE577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578" spans="1:83" x14ac:dyDescent="0.2">
      <c r="A578" s="1" t="s">
        <v>3261</v>
      </c>
      <c r="B578" s="2" t="s">
        <v>3262</v>
      </c>
      <c r="C578" s="2" t="s">
        <v>1576</v>
      </c>
      <c r="D578" s="2" t="s">
        <v>78</v>
      </c>
      <c r="E578" s="3">
        <v>0.24</v>
      </c>
      <c r="F578" s="3">
        <v>1.01</v>
      </c>
      <c r="G578" s="2" t="s">
        <v>190</v>
      </c>
      <c r="H578" s="2" t="s">
        <v>191</v>
      </c>
      <c r="I578" s="3" t="s">
        <v>81</v>
      </c>
      <c r="J578" s="3">
        <v>197</v>
      </c>
      <c r="K578" s="2" t="s">
        <v>3263</v>
      </c>
      <c r="L578" s="4">
        <v>46026</v>
      </c>
      <c r="M578" s="4">
        <v>45931</v>
      </c>
      <c r="N578" s="2" t="s">
        <v>2727</v>
      </c>
      <c r="O578" s="2" t="s">
        <v>1805</v>
      </c>
      <c r="P578" s="2" t="s">
        <v>3224</v>
      </c>
      <c r="Q578" s="2" t="s">
        <v>1806</v>
      </c>
      <c r="R578" s="2" t="s">
        <v>1578</v>
      </c>
      <c r="S578" s="4">
        <v>45930</v>
      </c>
      <c r="T578" s="2" t="s">
        <v>3264</v>
      </c>
      <c r="U578" s="2" t="s">
        <v>3265</v>
      </c>
      <c r="V578" s="2" t="s">
        <v>3224</v>
      </c>
      <c r="W578" s="2" t="s">
        <v>1806</v>
      </c>
      <c r="X578" s="2" t="s">
        <v>88</v>
      </c>
      <c r="Y578" s="3" t="s">
        <v>89</v>
      </c>
      <c r="Z578" s="3">
        <v>1.25</v>
      </c>
      <c r="AA578" s="2" t="s">
        <v>90</v>
      </c>
      <c r="AB578" s="2" t="s">
        <v>1578</v>
      </c>
      <c r="AC578" s="2" t="s">
        <v>1576</v>
      </c>
      <c r="AD578" t="str" cm="1">
        <f t="array" ref="AD57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OTC</v>
      </c>
      <c r="AE578" s="2" t="s">
        <v>91</v>
      </c>
      <c r="AF578" s="2" t="s">
        <v>92</v>
      </c>
      <c r="AG578" s="2" t="s">
        <v>93</v>
      </c>
      <c r="AH578" s="2" t="s">
        <v>94</v>
      </c>
      <c r="AK578" s="2" t="s">
        <v>3266</v>
      </c>
      <c r="AN578" s="3">
        <v>1</v>
      </c>
      <c r="AO578" s="3">
        <v>0</v>
      </c>
      <c r="AP578" s="3">
        <v>1</v>
      </c>
      <c r="AQ578" s="3">
        <v>1</v>
      </c>
      <c r="AR578" s="3">
        <v>1</v>
      </c>
      <c r="AS578" s="3">
        <v>0</v>
      </c>
      <c r="AT578" s="3">
        <v>0</v>
      </c>
      <c r="AU578" s="3">
        <v>0</v>
      </c>
      <c r="AV578" s="3">
        <v>0</v>
      </c>
      <c r="AW578" s="3">
        <v>1</v>
      </c>
      <c r="AX578" s="3">
        <v>1</v>
      </c>
      <c r="AY578" s="3">
        <v>0</v>
      </c>
      <c r="AZ578" s="3">
        <v>0</v>
      </c>
      <c r="BA578" s="3">
        <v>0</v>
      </c>
      <c r="BB578" s="3">
        <v>0</v>
      </c>
      <c r="BC578" s="3">
        <v>1</v>
      </c>
      <c r="BD578" s="3">
        <v>0</v>
      </c>
      <c r="BE578" s="3">
        <v>0</v>
      </c>
      <c r="BG578" s="2" t="s">
        <v>91</v>
      </c>
      <c r="BH578" s="3">
        <v>3</v>
      </c>
      <c r="BJ578" s="2" t="s">
        <v>96</v>
      </c>
      <c r="BL578" s="2" t="s">
        <v>184</v>
      </c>
      <c r="BM578" s="2" t="s">
        <v>184</v>
      </c>
      <c r="BN578" s="2" t="s">
        <v>124</v>
      </c>
      <c r="BO578" s="2" t="s">
        <v>125</v>
      </c>
      <c r="BP578" s="2" t="s">
        <v>101</v>
      </c>
      <c r="BQ578" s="2" t="s">
        <v>124</v>
      </c>
      <c r="BR578" s="2" t="s">
        <v>126</v>
      </c>
      <c r="BS578" s="2" t="s">
        <v>127</v>
      </c>
      <c r="BT578" s="2" t="s">
        <v>185</v>
      </c>
      <c r="BU578" s="2" t="s">
        <v>186</v>
      </c>
      <c r="BV578" s="2" t="s">
        <v>150</v>
      </c>
      <c r="BW578" s="2" t="s">
        <v>151</v>
      </c>
      <c r="BX578" s="2" t="s">
        <v>182</v>
      </c>
      <c r="BY57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78" s="2">
        <f>IF(AND(Cases[[#This Row],[Priority Level]]&gt;=3,Cases[[#This Row],[System Role]]&lt;&gt;"Productive"),1,0)</f>
        <v>0</v>
      </c>
      <c r="CA578" s="2">
        <f>IFERROR(IF(Cases[[#This Row],[Days at Customer]]&gt;MAX(1,Cases[[#This Row],[Days at SAP]]*2),1,0),0)</f>
        <v>1</v>
      </c>
      <c r="CB578" s="2">
        <f>IF(AND(Cases[[#This Row],[Initial Component]]&lt;&gt;"",Cases[[#This Row],[Component]]&lt;&gt;"",Cases[[#This Row],[Initial Component]]&lt;&gt;Cases[[#This Row],[Component]]),1,0)</f>
        <v>0</v>
      </c>
      <c r="CC578" s="2">
        <f>IF(OR(Cases[[#This Row],[Is Reopened]]="X",Cases[[#This Row],[No. of Reopenings]]&gt;0),1,0)</f>
        <v>0</v>
      </c>
      <c r="CD578" s="2">
        <f>IF(Cases[[#This Row],[Confirmation Type]]="Automatic",1,0)</f>
        <v>0</v>
      </c>
      <c r="CE57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79" spans="1:83" x14ac:dyDescent="0.2">
      <c r="A579" s="1" t="s">
        <v>3267</v>
      </c>
      <c r="B579" s="2" t="s">
        <v>245</v>
      </c>
      <c r="C579" s="2" t="s">
        <v>245</v>
      </c>
      <c r="D579" s="2" t="s">
        <v>238</v>
      </c>
      <c r="E579" s="3">
        <v>14.29</v>
      </c>
      <c r="F579" s="3">
        <v>21.49</v>
      </c>
      <c r="G579" s="2" t="s">
        <v>79</v>
      </c>
      <c r="H579" s="2" t="s">
        <v>178</v>
      </c>
      <c r="I579" s="3" t="s">
        <v>114</v>
      </c>
      <c r="J579" s="3">
        <v>197</v>
      </c>
      <c r="K579" s="2" t="s">
        <v>3268</v>
      </c>
      <c r="L579" s="4">
        <v>46061</v>
      </c>
      <c r="M579" s="4">
        <v>45966</v>
      </c>
      <c r="N579" s="2" t="s">
        <v>2274</v>
      </c>
      <c r="O579" s="2" t="s">
        <v>1805</v>
      </c>
      <c r="P579" s="2" t="s">
        <v>2583</v>
      </c>
      <c r="Q579" s="2" t="s">
        <v>1806</v>
      </c>
      <c r="R579" s="2" t="s">
        <v>247</v>
      </c>
      <c r="S579" s="4">
        <v>45930</v>
      </c>
      <c r="T579" s="2" t="s">
        <v>3264</v>
      </c>
      <c r="U579" s="2" t="s">
        <v>3265</v>
      </c>
      <c r="V579" s="2" t="s">
        <v>3224</v>
      </c>
      <c r="W579" s="2" t="s">
        <v>1806</v>
      </c>
      <c r="X579" s="2" t="s">
        <v>117</v>
      </c>
      <c r="Y579" s="3" t="s">
        <v>118</v>
      </c>
      <c r="Z579" s="3">
        <v>35.78</v>
      </c>
      <c r="AA579" s="2" t="s">
        <v>90</v>
      </c>
      <c r="AB579" s="2" t="s">
        <v>247</v>
      </c>
      <c r="AC579" s="2" t="s">
        <v>245</v>
      </c>
      <c r="AD579" t="str" cm="1">
        <f t="array" ref="AD57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579" s="2" t="s">
        <v>139</v>
      </c>
      <c r="AF579" s="2" t="s">
        <v>92</v>
      </c>
      <c r="AG579" s="2" t="s">
        <v>527</v>
      </c>
      <c r="AH579" s="2" t="s">
        <v>528</v>
      </c>
      <c r="AK579" s="2" t="s">
        <v>3269</v>
      </c>
      <c r="AN579" s="3">
        <v>1</v>
      </c>
      <c r="AO579" s="3">
        <v>0</v>
      </c>
      <c r="AP579" s="3">
        <v>1</v>
      </c>
      <c r="AQ579" s="3">
        <v>1</v>
      </c>
      <c r="AR579" s="3">
        <v>0</v>
      </c>
      <c r="AS579" s="3">
        <v>0</v>
      </c>
      <c r="AT579" s="3">
        <v>1</v>
      </c>
      <c r="AU579" s="3">
        <v>0</v>
      </c>
      <c r="AV579" s="3">
        <v>1</v>
      </c>
      <c r="AW579" s="3">
        <v>0</v>
      </c>
      <c r="AX579" s="3">
        <v>0</v>
      </c>
      <c r="AY579" s="3">
        <v>0</v>
      </c>
      <c r="AZ579" s="3">
        <v>1</v>
      </c>
      <c r="BA579" s="3">
        <v>0</v>
      </c>
      <c r="BB579" s="3">
        <v>0</v>
      </c>
      <c r="BC579" s="3">
        <v>1</v>
      </c>
      <c r="BD579" s="3">
        <v>0</v>
      </c>
      <c r="BE579" s="3">
        <v>0</v>
      </c>
      <c r="BG579" s="2" t="s">
        <v>139</v>
      </c>
      <c r="BH579" s="3">
        <v>2</v>
      </c>
      <c r="BJ579" s="2" t="s">
        <v>96</v>
      </c>
      <c r="BL579" s="2" t="s">
        <v>184</v>
      </c>
      <c r="BM579" s="2" t="s">
        <v>184</v>
      </c>
      <c r="BN579" s="2" t="s">
        <v>124</v>
      </c>
      <c r="BO579" s="2" t="s">
        <v>125</v>
      </c>
      <c r="BP579" s="2" t="s">
        <v>242</v>
      </c>
      <c r="BQ579" s="2" t="s">
        <v>124</v>
      </c>
      <c r="BR579" s="2" t="s">
        <v>126</v>
      </c>
      <c r="BS579" s="2" t="s">
        <v>127</v>
      </c>
      <c r="BT579" s="2" t="s">
        <v>185</v>
      </c>
      <c r="BU579" s="2" t="s">
        <v>530</v>
      </c>
      <c r="BV579" s="2" t="s">
        <v>150</v>
      </c>
      <c r="BW579" s="2" t="s">
        <v>151</v>
      </c>
      <c r="BX579" s="2" t="s">
        <v>139</v>
      </c>
      <c r="BY57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79" s="2">
        <f>IF(AND(Cases[[#This Row],[Priority Level]]&gt;=3,Cases[[#This Row],[System Role]]&lt;&gt;"Productive"),1,0)</f>
        <v>0</v>
      </c>
      <c r="CA579" s="2">
        <f>IFERROR(IF(Cases[[#This Row],[Days at Customer]]&gt;MAX(1,Cases[[#This Row],[Days at SAP]]*2),1,0),0)</f>
        <v>0</v>
      </c>
      <c r="CB579" s="2">
        <f>IF(AND(Cases[[#This Row],[Initial Component]]&lt;&gt;"",Cases[[#This Row],[Component]]&lt;&gt;"",Cases[[#This Row],[Initial Component]]&lt;&gt;Cases[[#This Row],[Component]]),1,0)</f>
        <v>0</v>
      </c>
      <c r="CC579" s="2">
        <f>IF(OR(Cases[[#This Row],[Is Reopened]]="X",Cases[[#This Row],[No. of Reopenings]]&gt;0),1,0)</f>
        <v>0</v>
      </c>
      <c r="CD579" s="2">
        <f>IF(Cases[[#This Row],[Confirmation Type]]="Automatic",1,0)</f>
        <v>1</v>
      </c>
      <c r="CE579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80" spans="1:83" x14ac:dyDescent="0.2">
      <c r="A580" s="1" t="s">
        <v>1836</v>
      </c>
      <c r="B580" s="2" t="s">
        <v>1837</v>
      </c>
      <c r="C580" s="2" t="s">
        <v>311</v>
      </c>
      <c r="D580" s="2" t="s">
        <v>238</v>
      </c>
      <c r="E580" s="3">
        <v>8.81</v>
      </c>
      <c r="F580" s="3">
        <v>71.09</v>
      </c>
      <c r="G580" s="2" t="s">
        <v>112</v>
      </c>
      <c r="H580" s="2" t="s">
        <v>113</v>
      </c>
      <c r="I580" s="3" t="s">
        <v>114</v>
      </c>
      <c r="J580" s="3">
        <v>107</v>
      </c>
      <c r="K580" s="2" t="s">
        <v>1838</v>
      </c>
      <c r="L580" s="4">
        <v>46110</v>
      </c>
      <c r="M580" s="4">
        <v>46102</v>
      </c>
      <c r="N580" s="2" t="s">
        <v>180</v>
      </c>
      <c r="O580" s="2" t="s">
        <v>181</v>
      </c>
      <c r="P580" s="2" t="s">
        <v>260</v>
      </c>
      <c r="Q580" s="2" t="s">
        <v>86</v>
      </c>
      <c r="R580" s="2" t="s">
        <v>310</v>
      </c>
      <c r="S580" s="4">
        <v>46020</v>
      </c>
      <c r="T580" s="2" t="s">
        <v>1804</v>
      </c>
      <c r="U580" s="2" t="s">
        <v>1805</v>
      </c>
      <c r="V580" s="2" t="s">
        <v>1334</v>
      </c>
      <c r="W580" s="2" t="s">
        <v>1806</v>
      </c>
      <c r="X580" s="2" t="s">
        <v>117</v>
      </c>
      <c r="Y580" s="3" t="s">
        <v>118</v>
      </c>
      <c r="Z580" s="3">
        <v>79.900000000000006</v>
      </c>
      <c r="AA580" s="2" t="s">
        <v>90</v>
      </c>
      <c r="AB580" s="2" t="s">
        <v>205</v>
      </c>
      <c r="AC580" s="2" t="s">
        <v>203</v>
      </c>
      <c r="AD580" t="str" cm="1">
        <f t="array" ref="AD58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580" s="2" t="s">
        <v>139</v>
      </c>
      <c r="AF580" s="2" t="s">
        <v>92</v>
      </c>
      <c r="AG580" s="2" t="s">
        <v>119</v>
      </c>
      <c r="AH580" s="2" t="s">
        <v>120</v>
      </c>
      <c r="AK580" s="2" t="s">
        <v>1839</v>
      </c>
      <c r="AN580" s="3">
        <v>1</v>
      </c>
      <c r="AO580" s="3">
        <v>1</v>
      </c>
      <c r="AP580" s="3">
        <v>1</v>
      </c>
      <c r="AQ580" s="3">
        <v>1</v>
      </c>
      <c r="AR580" s="3">
        <v>0</v>
      </c>
      <c r="AS580" s="3">
        <v>0</v>
      </c>
      <c r="AT580" s="3">
        <v>1</v>
      </c>
      <c r="AU580" s="3">
        <v>0</v>
      </c>
      <c r="AV580" s="3">
        <v>1</v>
      </c>
      <c r="AW580" s="3">
        <v>0</v>
      </c>
      <c r="AX580" s="3">
        <v>0</v>
      </c>
      <c r="AY580" s="3">
        <v>0</v>
      </c>
      <c r="AZ580" s="3">
        <v>1</v>
      </c>
      <c r="BA580" s="3">
        <v>0</v>
      </c>
      <c r="BB580" s="3">
        <v>0</v>
      </c>
      <c r="BC580" s="3">
        <v>1</v>
      </c>
      <c r="BD580" s="3">
        <v>0</v>
      </c>
      <c r="BE580" s="3">
        <v>0</v>
      </c>
      <c r="BG580" s="2" t="s">
        <v>139</v>
      </c>
      <c r="BH580" s="3">
        <v>2</v>
      </c>
      <c r="BI580" s="2" t="s">
        <v>122</v>
      </c>
      <c r="BJ580" s="2" t="s">
        <v>96</v>
      </c>
      <c r="BL580" s="2" t="s">
        <v>123</v>
      </c>
      <c r="BM580" s="2" t="s">
        <v>123</v>
      </c>
      <c r="BN580" s="2" t="s">
        <v>124</v>
      </c>
      <c r="BO580" s="2" t="s">
        <v>125</v>
      </c>
      <c r="BP580" s="2" t="s">
        <v>242</v>
      </c>
      <c r="BQ580" s="2" t="s">
        <v>124</v>
      </c>
      <c r="BR580" s="2" t="s">
        <v>126</v>
      </c>
      <c r="BS580" s="2" t="s">
        <v>127</v>
      </c>
      <c r="BT580" s="2" t="s">
        <v>207</v>
      </c>
      <c r="BU580" s="2" t="s">
        <v>208</v>
      </c>
      <c r="BV580" s="2" t="s">
        <v>150</v>
      </c>
      <c r="BW580" s="2" t="s">
        <v>151</v>
      </c>
      <c r="BX580" s="2" t="s">
        <v>139</v>
      </c>
      <c r="BY58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80" s="2">
        <f>IF(AND(Cases[[#This Row],[Priority Level]]&gt;=3,Cases[[#This Row],[System Role]]&lt;&gt;"Productive"),1,0)</f>
        <v>0</v>
      </c>
      <c r="CA580" s="2">
        <f>IFERROR(IF(Cases[[#This Row],[Days at Customer]]&gt;MAX(1,Cases[[#This Row],[Days at SAP]]*2),1,0),0)</f>
        <v>1</v>
      </c>
      <c r="CB580" s="2">
        <f>IF(AND(Cases[[#This Row],[Initial Component]]&lt;&gt;"",Cases[[#This Row],[Component]]&lt;&gt;"",Cases[[#This Row],[Initial Component]]&lt;&gt;Cases[[#This Row],[Component]]),1,0)</f>
        <v>1</v>
      </c>
      <c r="CC580" s="2">
        <f>IF(OR(Cases[[#This Row],[Is Reopened]]="X",Cases[[#This Row],[No. of Reopenings]]&gt;0),1,0)</f>
        <v>0</v>
      </c>
      <c r="CD580" s="2">
        <f>IF(Cases[[#This Row],[Confirmation Type]]="Automatic",1,0)</f>
        <v>1</v>
      </c>
      <c r="CE58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81" spans="1:83" x14ac:dyDescent="0.2">
      <c r="A581" s="1" t="s">
        <v>3274</v>
      </c>
      <c r="B581" s="2" t="s">
        <v>3275</v>
      </c>
      <c r="C581" s="2" t="s">
        <v>519</v>
      </c>
      <c r="D581" s="2" t="s">
        <v>238</v>
      </c>
      <c r="E581" s="3">
        <v>9.15</v>
      </c>
      <c r="F581" s="3">
        <v>62.61</v>
      </c>
      <c r="G581" s="2" t="s">
        <v>79</v>
      </c>
      <c r="H581" s="2" t="s">
        <v>290</v>
      </c>
      <c r="I581" s="3" t="s">
        <v>114</v>
      </c>
      <c r="J581" s="3">
        <v>197</v>
      </c>
      <c r="K581" s="2" t="s">
        <v>3276</v>
      </c>
      <c r="L581" s="4">
        <v>46009</v>
      </c>
      <c r="M581" s="4">
        <v>46002</v>
      </c>
      <c r="N581" s="2" t="s">
        <v>1804</v>
      </c>
      <c r="O581" s="2" t="s">
        <v>1805</v>
      </c>
      <c r="P581" s="2" t="s">
        <v>2037</v>
      </c>
      <c r="Q581" s="2" t="s">
        <v>1806</v>
      </c>
      <c r="R581" s="2" t="s">
        <v>521</v>
      </c>
      <c r="S581" s="4">
        <v>45930</v>
      </c>
      <c r="T581" s="2" t="s">
        <v>3264</v>
      </c>
      <c r="U581" s="2" t="s">
        <v>3265</v>
      </c>
      <c r="V581" s="2" t="s">
        <v>3224</v>
      </c>
      <c r="W581" s="2" t="s">
        <v>1806</v>
      </c>
      <c r="X581" s="2" t="s">
        <v>117</v>
      </c>
      <c r="Y581" s="3" t="s">
        <v>118</v>
      </c>
      <c r="Z581" s="3">
        <v>71.760000000000005</v>
      </c>
      <c r="AA581" s="2" t="s">
        <v>90</v>
      </c>
      <c r="AB581" s="2" t="s">
        <v>521</v>
      </c>
      <c r="AC581" s="2" t="s">
        <v>519</v>
      </c>
      <c r="AD581" t="str" cm="1">
        <f t="array" ref="AD58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581" s="2" t="s">
        <v>91</v>
      </c>
      <c r="AF581" s="2" t="s">
        <v>92</v>
      </c>
      <c r="AG581" s="2" t="s">
        <v>119</v>
      </c>
      <c r="AH581" s="2" t="s">
        <v>120</v>
      </c>
      <c r="AK581" s="2" t="s">
        <v>3277</v>
      </c>
      <c r="AN581" s="3">
        <v>1</v>
      </c>
      <c r="AO581" s="3">
        <v>0</v>
      </c>
      <c r="AP581" s="3">
        <v>1</v>
      </c>
      <c r="AQ581" s="3">
        <v>1</v>
      </c>
      <c r="AR581" s="3">
        <v>1</v>
      </c>
      <c r="AS581" s="3">
        <v>0</v>
      </c>
      <c r="AT581" s="3">
        <v>0</v>
      </c>
      <c r="AU581" s="3">
        <v>0</v>
      </c>
      <c r="AV581" s="3">
        <v>1</v>
      </c>
      <c r="AW581" s="3">
        <v>0</v>
      </c>
      <c r="AX581" s="3">
        <v>1</v>
      </c>
      <c r="AY581" s="3">
        <v>0</v>
      </c>
      <c r="AZ581" s="3">
        <v>0</v>
      </c>
      <c r="BA581" s="3">
        <v>1</v>
      </c>
      <c r="BB581" s="3">
        <v>0</v>
      </c>
      <c r="BC581" s="3">
        <v>0</v>
      </c>
      <c r="BD581" s="3">
        <v>0</v>
      </c>
      <c r="BE581" s="3">
        <v>0</v>
      </c>
      <c r="BG581" s="2" t="s">
        <v>91</v>
      </c>
      <c r="BH581" s="3">
        <v>3</v>
      </c>
      <c r="BJ581" s="2" t="s">
        <v>96</v>
      </c>
      <c r="BL581" s="2" t="s">
        <v>123</v>
      </c>
      <c r="BM581" s="2" t="s">
        <v>123</v>
      </c>
      <c r="BN581" s="2" t="s">
        <v>124</v>
      </c>
      <c r="BO581" s="2" t="s">
        <v>125</v>
      </c>
      <c r="BP581" s="2" t="s">
        <v>242</v>
      </c>
      <c r="BQ581" s="2" t="s">
        <v>124</v>
      </c>
      <c r="BR581" s="2" t="s">
        <v>126</v>
      </c>
      <c r="BS581" s="2" t="s">
        <v>127</v>
      </c>
      <c r="BT581" s="2" t="s">
        <v>199</v>
      </c>
      <c r="BU581" s="2" t="s">
        <v>200</v>
      </c>
      <c r="BV581" s="2" t="s">
        <v>166</v>
      </c>
      <c r="BW581" s="2" t="s">
        <v>167</v>
      </c>
      <c r="BX581" s="2" t="s">
        <v>91</v>
      </c>
      <c r="BY58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81" s="2">
        <f>IF(AND(Cases[[#This Row],[Priority Level]]&gt;=3,Cases[[#This Row],[System Role]]&lt;&gt;"Productive"),1,0)</f>
        <v>1</v>
      </c>
      <c r="CA581" s="2">
        <f>IFERROR(IF(Cases[[#This Row],[Days at Customer]]&gt;MAX(1,Cases[[#This Row],[Days at SAP]]*2),1,0),0)</f>
        <v>1</v>
      </c>
      <c r="CB581" s="2">
        <f>IF(AND(Cases[[#This Row],[Initial Component]]&lt;&gt;"",Cases[[#This Row],[Component]]&lt;&gt;"",Cases[[#This Row],[Initial Component]]&lt;&gt;Cases[[#This Row],[Component]]),1,0)</f>
        <v>0</v>
      </c>
      <c r="CC581" s="2">
        <f>IF(OR(Cases[[#This Row],[Is Reopened]]="X",Cases[[#This Row],[No. of Reopenings]]&gt;0),1,0)</f>
        <v>0</v>
      </c>
      <c r="CD581" s="2">
        <f>IF(Cases[[#This Row],[Confirmation Type]]="Automatic",1,0)</f>
        <v>1</v>
      </c>
      <c r="CE581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582" spans="1:83" x14ac:dyDescent="0.2">
      <c r="A582" s="1" t="s">
        <v>3278</v>
      </c>
      <c r="B582" s="2" t="s">
        <v>3279</v>
      </c>
      <c r="C582" s="2" t="s">
        <v>1576</v>
      </c>
      <c r="D582" s="2" t="s">
        <v>238</v>
      </c>
      <c r="E582" s="3">
        <v>6.03</v>
      </c>
      <c r="F582" s="3">
        <v>25.43</v>
      </c>
      <c r="G582" s="2" t="s">
        <v>113</v>
      </c>
      <c r="H582" s="2" t="s">
        <v>113</v>
      </c>
      <c r="I582" s="3" t="s">
        <v>114</v>
      </c>
      <c r="J582" s="3">
        <v>197</v>
      </c>
      <c r="K582" s="2" t="s">
        <v>3280</v>
      </c>
      <c r="L582" s="4">
        <v>46054</v>
      </c>
      <c r="M582" s="4">
        <v>45962</v>
      </c>
      <c r="N582" s="2" t="s">
        <v>2274</v>
      </c>
      <c r="O582" s="2" t="s">
        <v>1805</v>
      </c>
      <c r="P582" s="2" t="s">
        <v>2717</v>
      </c>
      <c r="Q582" s="2" t="s">
        <v>1806</v>
      </c>
      <c r="R582" s="2" t="s">
        <v>1578</v>
      </c>
      <c r="S582" s="4">
        <v>45930</v>
      </c>
      <c r="T582" s="2" t="s">
        <v>3264</v>
      </c>
      <c r="U582" s="2" t="s">
        <v>3265</v>
      </c>
      <c r="V582" s="2" t="s">
        <v>3224</v>
      </c>
      <c r="W582" s="2" t="s">
        <v>1806</v>
      </c>
      <c r="X582" s="2" t="s">
        <v>117</v>
      </c>
      <c r="Y582" s="3" t="s">
        <v>118</v>
      </c>
      <c r="Z582" s="3">
        <v>31.45</v>
      </c>
      <c r="AA582" s="2" t="s">
        <v>90</v>
      </c>
      <c r="AB582" s="2" t="s">
        <v>1578</v>
      </c>
      <c r="AC582" s="2" t="s">
        <v>1576</v>
      </c>
      <c r="AD582" t="str" cm="1">
        <f t="array" ref="AD58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OTC</v>
      </c>
      <c r="AE582" s="2" t="s">
        <v>91</v>
      </c>
      <c r="AF582" s="2" t="s">
        <v>92</v>
      </c>
      <c r="AG582" s="2" t="s">
        <v>119</v>
      </c>
      <c r="AH582" s="2" t="s">
        <v>120</v>
      </c>
      <c r="AK582" s="2" t="s">
        <v>3281</v>
      </c>
      <c r="AN582" s="3">
        <v>1</v>
      </c>
      <c r="AO582" s="3">
        <v>0</v>
      </c>
      <c r="AP582" s="3">
        <v>1</v>
      </c>
      <c r="AQ582" s="3">
        <v>1</v>
      </c>
      <c r="AR582" s="3">
        <v>1</v>
      </c>
      <c r="AS582" s="3">
        <v>0</v>
      </c>
      <c r="AT582" s="3">
        <v>0</v>
      </c>
      <c r="AU582" s="3">
        <v>0</v>
      </c>
      <c r="AV582" s="3">
        <v>1</v>
      </c>
      <c r="AW582" s="3">
        <v>0</v>
      </c>
      <c r="AX582" s="3">
        <v>1</v>
      </c>
      <c r="AY582" s="3">
        <v>0</v>
      </c>
      <c r="AZ582" s="3">
        <v>0</v>
      </c>
      <c r="BA582" s="3">
        <v>1</v>
      </c>
      <c r="BB582" s="3">
        <v>0</v>
      </c>
      <c r="BC582" s="3">
        <v>0</v>
      </c>
      <c r="BD582" s="3">
        <v>0</v>
      </c>
      <c r="BE582" s="3">
        <v>0</v>
      </c>
      <c r="BG582" s="2" t="s">
        <v>91</v>
      </c>
      <c r="BH582" s="3">
        <v>3</v>
      </c>
      <c r="BJ582" s="2" t="s">
        <v>96</v>
      </c>
      <c r="BL582" s="2" t="s">
        <v>123</v>
      </c>
      <c r="BM582" s="2" t="s">
        <v>123</v>
      </c>
      <c r="BN582" s="2" t="s">
        <v>124</v>
      </c>
      <c r="BO582" s="2" t="s">
        <v>125</v>
      </c>
      <c r="BP582" s="2" t="s">
        <v>242</v>
      </c>
      <c r="BQ582" s="2" t="s">
        <v>124</v>
      </c>
      <c r="BR582" s="2" t="s">
        <v>126</v>
      </c>
      <c r="BS582" s="2" t="s">
        <v>127</v>
      </c>
      <c r="BT582" s="2" t="s">
        <v>2343</v>
      </c>
      <c r="BU582" s="2" t="s">
        <v>2344</v>
      </c>
      <c r="BV582" s="2" t="s">
        <v>107</v>
      </c>
      <c r="BW582" s="2" t="s">
        <v>108</v>
      </c>
      <c r="BX582" s="2" t="s">
        <v>91</v>
      </c>
      <c r="BY58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82" s="2">
        <f>IF(AND(Cases[[#This Row],[Priority Level]]&gt;=3,Cases[[#This Row],[System Role]]&lt;&gt;"Productive"),1,0)</f>
        <v>1</v>
      </c>
      <c r="CA582" s="2">
        <f>IFERROR(IF(Cases[[#This Row],[Days at Customer]]&gt;MAX(1,Cases[[#This Row],[Days at SAP]]*2),1,0),0)</f>
        <v>1</v>
      </c>
      <c r="CB582" s="2">
        <f>IF(AND(Cases[[#This Row],[Initial Component]]&lt;&gt;"",Cases[[#This Row],[Component]]&lt;&gt;"",Cases[[#This Row],[Initial Component]]&lt;&gt;Cases[[#This Row],[Component]]),1,0)</f>
        <v>0</v>
      </c>
      <c r="CC582" s="2">
        <f>IF(OR(Cases[[#This Row],[Is Reopened]]="X",Cases[[#This Row],[No. of Reopenings]]&gt;0),1,0)</f>
        <v>0</v>
      </c>
      <c r="CD582" s="2">
        <f>IF(Cases[[#This Row],[Confirmation Type]]="Automatic",1,0)</f>
        <v>1</v>
      </c>
      <c r="CE582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83" spans="1:83" x14ac:dyDescent="0.2">
      <c r="A583" s="1" t="s">
        <v>3282</v>
      </c>
      <c r="B583" s="2" t="s">
        <v>3283</v>
      </c>
      <c r="C583" s="2" t="s">
        <v>444</v>
      </c>
      <c r="D583" s="2" t="s">
        <v>78</v>
      </c>
      <c r="E583" s="3">
        <v>10.81</v>
      </c>
      <c r="F583" s="3">
        <v>16.97</v>
      </c>
      <c r="G583" s="2" t="s">
        <v>79</v>
      </c>
      <c r="H583" s="2" t="s">
        <v>155</v>
      </c>
      <c r="I583" s="3" t="s">
        <v>114</v>
      </c>
      <c r="J583" s="3">
        <v>198</v>
      </c>
      <c r="K583" s="2" t="s">
        <v>3284</v>
      </c>
      <c r="L583" s="4">
        <v>46054</v>
      </c>
      <c r="M583" s="4">
        <v>45957</v>
      </c>
      <c r="N583" s="2" t="s">
        <v>2727</v>
      </c>
      <c r="O583" s="2" t="s">
        <v>1805</v>
      </c>
      <c r="P583" s="2" t="s">
        <v>2717</v>
      </c>
      <c r="Q583" s="2" t="s">
        <v>1806</v>
      </c>
      <c r="R583" s="2" t="s">
        <v>443</v>
      </c>
      <c r="S583" s="4">
        <v>45929</v>
      </c>
      <c r="T583" s="2" t="s">
        <v>3264</v>
      </c>
      <c r="U583" s="2" t="s">
        <v>3265</v>
      </c>
      <c r="V583" s="2" t="s">
        <v>3224</v>
      </c>
      <c r="W583" s="2" t="s">
        <v>1806</v>
      </c>
      <c r="X583" s="2" t="s">
        <v>117</v>
      </c>
      <c r="Y583" s="3" t="s">
        <v>118</v>
      </c>
      <c r="Z583" s="3">
        <v>27.78</v>
      </c>
      <c r="AA583" s="2" t="s">
        <v>138</v>
      </c>
      <c r="AB583" s="2" t="s">
        <v>443</v>
      </c>
      <c r="AC583" s="2" t="s">
        <v>444</v>
      </c>
      <c r="AD583" t="str" cm="1">
        <f t="array" ref="AD58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583" s="2" t="s">
        <v>91</v>
      </c>
      <c r="AF583" s="2" t="s">
        <v>92</v>
      </c>
      <c r="AG583" s="2" t="s">
        <v>274</v>
      </c>
      <c r="AH583" s="2" t="s">
        <v>275</v>
      </c>
      <c r="AK583" s="2" t="s">
        <v>3285</v>
      </c>
      <c r="AN583" s="3">
        <v>1</v>
      </c>
      <c r="AO583" s="3">
        <v>0</v>
      </c>
      <c r="AP583" s="3">
        <v>1</v>
      </c>
      <c r="AQ583" s="3">
        <v>1</v>
      </c>
      <c r="AR583" s="3">
        <v>0</v>
      </c>
      <c r="AS583" s="3">
        <v>0</v>
      </c>
      <c r="AT583" s="3">
        <v>1</v>
      </c>
      <c r="AU583" s="3">
        <v>0</v>
      </c>
      <c r="AV583" s="3">
        <v>0</v>
      </c>
      <c r="AW583" s="3">
        <v>1</v>
      </c>
      <c r="AX583" s="3">
        <v>0</v>
      </c>
      <c r="AY583" s="3">
        <v>0</v>
      </c>
      <c r="AZ583" s="3">
        <v>1</v>
      </c>
      <c r="BA583" s="3">
        <v>1</v>
      </c>
      <c r="BB583" s="3">
        <v>0</v>
      </c>
      <c r="BC583" s="3">
        <v>0</v>
      </c>
      <c r="BD583" s="3">
        <v>0</v>
      </c>
      <c r="BE583" s="3">
        <v>0</v>
      </c>
      <c r="BG583" s="2" t="s">
        <v>139</v>
      </c>
      <c r="BH583" s="3">
        <v>2</v>
      </c>
      <c r="BJ583" s="2" t="s">
        <v>96</v>
      </c>
      <c r="BL583" s="2" t="s">
        <v>446</v>
      </c>
      <c r="BM583" s="2" t="s">
        <v>447</v>
      </c>
      <c r="BN583" s="2" t="s">
        <v>279</v>
      </c>
      <c r="BO583" s="2" t="s">
        <v>280</v>
      </c>
      <c r="BP583" s="2" t="s">
        <v>101</v>
      </c>
      <c r="BQ583" s="2" t="s">
        <v>448</v>
      </c>
      <c r="BR583" s="2" t="s">
        <v>449</v>
      </c>
      <c r="BS583" s="2" t="s">
        <v>450</v>
      </c>
      <c r="BT583" s="2" t="s">
        <v>1030</v>
      </c>
      <c r="BU583" s="2" t="s">
        <v>1031</v>
      </c>
      <c r="BV583" s="2" t="s">
        <v>166</v>
      </c>
      <c r="BW583" s="2" t="s">
        <v>167</v>
      </c>
      <c r="BX583" s="2" t="s">
        <v>91</v>
      </c>
      <c r="BY58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83" s="2">
        <f>IF(AND(Cases[[#This Row],[Priority Level]]&gt;=3,Cases[[#This Row],[System Role]]&lt;&gt;"Productive"),1,0)</f>
        <v>0</v>
      </c>
      <c r="CA583" s="2">
        <f>IFERROR(IF(Cases[[#This Row],[Days at Customer]]&gt;MAX(1,Cases[[#This Row],[Days at SAP]]*2),1,0),0)</f>
        <v>0</v>
      </c>
      <c r="CB583" s="2">
        <f>IF(AND(Cases[[#This Row],[Initial Component]]&lt;&gt;"",Cases[[#This Row],[Component]]&lt;&gt;"",Cases[[#This Row],[Initial Component]]&lt;&gt;Cases[[#This Row],[Component]]),1,0)</f>
        <v>0</v>
      </c>
      <c r="CC583" s="2">
        <f>IF(OR(Cases[[#This Row],[Is Reopened]]="X",Cases[[#This Row],[No. of Reopenings]]&gt;0),1,0)</f>
        <v>0</v>
      </c>
      <c r="CD583" s="2">
        <f>IF(Cases[[#This Row],[Confirmation Type]]="Automatic",1,0)</f>
        <v>0</v>
      </c>
      <c r="CE583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84" spans="1:83" x14ac:dyDescent="0.2">
      <c r="A584" s="1" t="s">
        <v>3286</v>
      </c>
      <c r="B584" s="2" t="s">
        <v>3287</v>
      </c>
      <c r="C584" s="2" t="s">
        <v>3288</v>
      </c>
      <c r="D584" s="2" t="s">
        <v>238</v>
      </c>
      <c r="E584" s="3">
        <v>0.62</v>
      </c>
      <c r="F584" s="3">
        <v>21.62</v>
      </c>
      <c r="G584" s="2" t="s">
        <v>133</v>
      </c>
      <c r="H584" s="2" t="s">
        <v>892</v>
      </c>
      <c r="I584" s="3" t="s">
        <v>114</v>
      </c>
      <c r="J584" s="3">
        <v>198</v>
      </c>
      <c r="K584" s="2" t="s">
        <v>3289</v>
      </c>
      <c r="L584" s="4">
        <v>46047</v>
      </c>
      <c r="M584" s="4">
        <v>45952</v>
      </c>
      <c r="N584" s="2" t="s">
        <v>2727</v>
      </c>
      <c r="O584" s="2" t="s">
        <v>1805</v>
      </c>
      <c r="P584" s="2" t="s">
        <v>2887</v>
      </c>
      <c r="Q584" s="2" t="s">
        <v>1806</v>
      </c>
      <c r="R584" s="2" t="s">
        <v>3290</v>
      </c>
      <c r="S584" s="4">
        <v>45929</v>
      </c>
      <c r="T584" s="2" t="s">
        <v>3264</v>
      </c>
      <c r="U584" s="2" t="s">
        <v>3265</v>
      </c>
      <c r="V584" s="2" t="s">
        <v>3224</v>
      </c>
      <c r="W584" s="2" t="s">
        <v>1806</v>
      </c>
      <c r="X584" s="2" t="s">
        <v>117</v>
      </c>
      <c r="Y584" s="3" t="s">
        <v>118</v>
      </c>
      <c r="Z584" s="3">
        <v>22.25</v>
      </c>
      <c r="AA584" s="2" t="s">
        <v>90</v>
      </c>
      <c r="AB584" s="2" t="s">
        <v>3290</v>
      </c>
      <c r="AC584" s="2" t="s">
        <v>3288</v>
      </c>
      <c r="AD584" t="str" cm="1">
        <f t="array" ref="AD58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584" s="2" t="s">
        <v>91</v>
      </c>
      <c r="AF584" s="2" t="s">
        <v>92</v>
      </c>
      <c r="AG584" s="2" t="s">
        <v>119</v>
      </c>
      <c r="AH584" s="2" t="s">
        <v>120</v>
      </c>
      <c r="AK584" s="2" t="s">
        <v>3291</v>
      </c>
      <c r="AN584" s="3">
        <v>1</v>
      </c>
      <c r="AO584" s="3">
        <v>0</v>
      </c>
      <c r="AP584" s="3">
        <v>1</v>
      </c>
      <c r="AQ584" s="3">
        <v>1</v>
      </c>
      <c r="AR584" s="3">
        <v>1</v>
      </c>
      <c r="AS584" s="3">
        <v>0</v>
      </c>
      <c r="AT584" s="3">
        <v>0</v>
      </c>
      <c r="AU584" s="3">
        <v>0</v>
      </c>
      <c r="AV584" s="3">
        <v>1</v>
      </c>
      <c r="AW584" s="3">
        <v>0</v>
      </c>
      <c r="AX584" s="3">
        <v>1</v>
      </c>
      <c r="AY584" s="3">
        <v>0</v>
      </c>
      <c r="AZ584" s="3">
        <v>0</v>
      </c>
      <c r="BA584" s="3">
        <v>0</v>
      </c>
      <c r="BB584" s="3">
        <v>0</v>
      </c>
      <c r="BC584" s="3">
        <v>1</v>
      </c>
      <c r="BD584" s="3">
        <v>0</v>
      </c>
      <c r="BE584" s="3">
        <v>0</v>
      </c>
      <c r="BG584" s="2" t="s">
        <v>91</v>
      </c>
      <c r="BH584" s="3">
        <v>3</v>
      </c>
      <c r="BJ584" s="2" t="s">
        <v>96</v>
      </c>
      <c r="BL584" s="2" t="s">
        <v>779</v>
      </c>
      <c r="BM584" s="2" t="s">
        <v>780</v>
      </c>
      <c r="BN584" s="2" t="s">
        <v>99</v>
      </c>
      <c r="BO584" s="2" t="s">
        <v>100</v>
      </c>
      <c r="BP584" s="2" t="s">
        <v>242</v>
      </c>
      <c r="BQ584" s="2" t="s">
        <v>102</v>
      </c>
      <c r="BR584" s="2" t="s">
        <v>103</v>
      </c>
      <c r="BS584" s="2" t="s">
        <v>713</v>
      </c>
      <c r="BT584" s="2" t="s">
        <v>781</v>
      </c>
      <c r="BU584" s="2" t="s">
        <v>3292</v>
      </c>
      <c r="BV584" s="2" t="s">
        <v>150</v>
      </c>
      <c r="BW584" s="2" t="s">
        <v>151</v>
      </c>
      <c r="BX584" s="2" t="s">
        <v>91</v>
      </c>
      <c r="BY58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84" s="2">
        <f>IF(AND(Cases[[#This Row],[Priority Level]]&gt;=3,Cases[[#This Row],[System Role]]&lt;&gt;"Productive"),1,0)</f>
        <v>0</v>
      </c>
      <c r="CA584" s="2">
        <f>IFERROR(IF(Cases[[#This Row],[Days at Customer]]&gt;MAX(1,Cases[[#This Row],[Days at SAP]]*2),1,0),0)</f>
        <v>1</v>
      </c>
      <c r="CB584" s="2">
        <f>IF(AND(Cases[[#This Row],[Initial Component]]&lt;&gt;"",Cases[[#This Row],[Component]]&lt;&gt;"",Cases[[#This Row],[Initial Component]]&lt;&gt;Cases[[#This Row],[Component]]),1,0)</f>
        <v>0</v>
      </c>
      <c r="CC584" s="2">
        <f>IF(OR(Cases[[#This Row],[Is Reopened]]="X",Cases[[#This Row],[No. of Reopenings]]&gt;0),1,0)</f>
        <v>0</v>
      </c>
      <c r="CD584" s="2">
        <f>IF(Cases[[#This Row],[Confirmation Type]]="Automatic",1,0)</f>
        <v>1</v>
      </c>
      <c r="CE58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85" spans="1:83" x14ac:dyDescent="0.2">
      <c r="A585" s="1" t="s">
        <v>3293</v>
      </c>
      <c r="B585" s="2" t="s">
        <v>3294</v>
      </c>
      <c r="C585" s="2" t="s">
        <v>217</v>
      </c>
      <c r="D585" s="2" t="s">
        <v>238</v>
      </c>
      <c r="E585" s="3">
        <v>3.1</v>
      </c>
      <c r="F585" s="3">
        <v>47.11</v>
      </c>
      <c r="G585" s="2" t="s">
        <v>79</v>
      </c>
      <c r="H585" s="2" t="s">
        <v>732</v>
      </c>
      <c r="I585" s="3" t="s">
        <v>114</v>
      </c>
      <c r="J585" s="3">
        <v>199</v>
      </c>
      <c r="K585" s="2" t="s">
        <v>3295</v>
      </c>
      <c r="L585" s="4">
        <v>46009</v>
      </c>
      <c r="M585" s="4">
        <v>45978</v>
      </c>
      <c r="N585" s="2" t="s">
        <v>2274</v>
      </c>
      <c r="O585" s="2" t="s">
        <v>1805</v>
      </c>
      <c r="P585" s="2" t="s">
        <v>2404</v>
      </c>
      <c r="Q585" s="2" t="s">
        <v>1806</v>
      </c>
      <c r="R585" s="2" t="s">
        <v>219</v>
      </c>
      <c r="S585" s="4">
        <v>45928</v>
      </c>
      <c r="T585" s="2" t="s">
        <v>3264</v>
      </c>
      <c r="U585" s="2" t="s">
        <v>3265</v>
      </c>
      <c r="V585" s="2" t="s">
        <v>3296</v>
      </c>
      <c r="W585" s="2" t="s">
        <v>1806</v>
      </c>
      <c r="X585" s="2" t="s">
        <v>117</v>
      </c>
      <c r="Y585" s="3" t="s">
        <v>118</v>
      </c>
      <c r="Z585" s="3">
        <v>50.21</v>
      </c>
      <c r="AA585" s="2" t="s">
        <v>138</v>
      </c>
      <c r="AB585" s="2" t="s">
        <v>443</v>
      </c>
      <c r="AC585" s="2" t="s">
        <v>444</v>
      </c>
      <c r="AD585" t="str" cm="1">
        <f t="array" ref="AD58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585" s="2" t="s">
        <v>91</v>
      </c>
      <c r="AF585" s="2" t="s">
        <v>92</v>
      </c>
      <c r="AG585" s="2" t="s">
        <v>274</v>
      </c>
      <c r="AH585" s="2" t="s">
        <v>275</v>
      </c>
      <c r="AJ585" s="2" t="s">
        <v>122</v>
      </c>
      <c r="AK585" s="2" t="s">
        <v>3297</v>
      </c>
      <c r="AN585" s="3">
        <v>1</v>
      </c>
      <c r="AO585" s="3">
        <v>0</v>
      </c>
      <c r="AP585" s="3">
        <v>1</v>
      </c>
      <c r="AQ585" s="3">
        <v>1</v>
      </c>
      <c r="AR585" s="3">
        <v>1</v>
      </c>
      <c r="AS585" s="3">
        <v>0</v>
      </c>
      <c r="AT585" s="3">
        <v>0</v>
      </c>
      <c r="AU585" s="3">
        <v>0</v>
      </c>
      <c r="AV585" s="3">
        <v>1</v>
      </c>
      <c r="AW585" s="3">
        <v>0</v>
      </c>
      <c r="AX585" s="3">
        <v>1</v>
      </c>
      <c r="AY585" s="3">
        <v>0</v>
      </c>
      <c r="AZ585" s="3">
        <v>0</v>
      </c>
      <c r="BA585" s="3">
        <v>1</v>
      </c>
      <c r="BB585" s="3">
        <v>0</v>
      </c>
      <c r="BC585" s="3">
        <v>0</v>
      </c>
      <c r="BD585" s="3">
        <v>3</v>
      </c>
      <c r="BE585" s="3">
        <v>0</v>
      </c>
      <c r="BG585" s="2" t="s">
        <v>91</v>
      </c>
      <c r="BH585" s="3">
        <v>3</v>
      </c>
      <c r="BJ585" s="2" t="s">
        <v>96</v>
      </c>
      <c r="BL585" s="2" t="s">
        <v>446</v>
      </c>
      <c r="BM585" s="2" t="s">
        <v>447</v>
      </c>
      <c r="BN585" s="2" t="s">
        <v>279</v>
      </c>
      <c r="BO585" s="2" t="s">
        <v>280</v>
      </c>
      <c r="BP585" s="2" t="s">
        <v>242</v>
      </c>
      <c r="BQ585" s="2" t="s">
        <v>448</v>
      </c>
      <c r="BR585" s="2" t="s">
        <v>449</v>
      </c>
      <c r="BS585" s="2" t="s">
        <v>450</v>
      </c>
      <c r="BT585" s="2" t="s">
        <v>1030</v>
      </c>
      <c r="BU585" s="2" t="s">
        <v>1031</v>
      </c>
      <c r="BV585" s="2" t="s">
        <v>166</v>
      </c>
      <c r="BW585" s="2" t="s">
        <v>167</v>
      </c>
      <c r="BX585" s="2" t="s">
        <v>91</v>
      </c>
      <c r="BY58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85" s="2">
        <f>IF(AND(Cases[[#This Row],[Priority Level]]&gt;=3,Cases[[#This Row],[System Role]]&lt;&gt;"Productive"),1,0)</f>
        <v>1</v>
      </c>
      <c r="CA585" s="2">
        <f>IFERROR(IF(Cases[[#This Row],[Days at Customer]]&gt;MAX(1,Cases[[#This Row],[Days at SAP]]*2),1,0),0)</f>
        <v>1</v>
      </c>
      <c r="CB585" s="2">
        <f>IF(AND(Cases[[#This Row],[Initial Component]]&lt;&gt;"",Cases[[#This Row],[Component]]&lt;&gt;"",Cases[[#This Row],[Initial Component]]&lt;&gt;Cases[[#This Row],[Component]]),1,0)</f>
        <v>1</v>
      </c>
      <c r="CC585" s="2">
        <f>IF(OR(Cases[[#This Row],[Is Reopened]]="X",Cases[[#This Row],[No. of Reopenings]]&gt;0),1,0)</f>
        <v>1</v>
      </c>
      <c r="CD585" s="2">
        <f>IF(Cases[[#This Row],[Confirmation Type]]="Automatic",1,0)</f>
        <v>1</v>
      </c>
      <c r="CE585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586" spans="1:83" x14ac:dyDescent="0.2">
      <c r="A586" s="1" t="s">
        <v>370</v>
      </c>
      <c r="B586" s="2" t="s">
        <v>371</v>
      </c>
      <c r="C586" s="2" t="s">
        <v>372</v>
      </c>
      <c r="D586" s="2" t="s">
        <v>238</v>
      </c>
      <c r="E586" s="3">
        <v>0.09</v>
      </c>
      <c r="F586" s="3">
        <v>21.6</v>
      </c>
      <c r="G586" s="2" t="s">
        <v>79</v>
      </c>
      <c r="H586" s="2" t="s">
        <v>80</v>
      </c>
      <c r="I586" s="3" t="s">
        <v>114</v>
      </c>
      <c r="J586" s="3">
        <v>33</v>
      </c>
      <c r="K586" s="2" t="s">
        <v>373</v>
      </c>
      <c r="L586" s="4">
        <v>46117</v>
      </c>
      <c r="M586" s="4">
        <v>46116</v>
      </c>
      <c r="N586" s="2" t="s">
        <v>83</v>
      </c>
      <c r="O586" s="2" t="s">
        <v>84</v>
      </c>
      <c r="P586" s="2" t="s">
        <v>136</v>
      </c>
      <c r="Q586" s="2" t="s">
        <v>86</v>
      </c>
      <c r="R586" s="2" t="s">
        <v>374</v>
      </c>
      <c r="S586" s="4">
        <v>46094</v>
      </c>
      <c r="T586" s="2" t="s">
        <v>180</v>
      </c>
      <c r="U586" s="2" t="s">
        <v>181</v>
      </c>
      <c r="V586" s="2" t="s">
        <v>350</v>
      </c>
      <c r="W586" s="2" t="s">
        <v>86</v>
      </c>
      <c r="X586" s="2" t="s">
        <v>117</v>
      </c>
      <c r="Y586" s="3" t="s">
        <v>118</v>
      </c>
      <c r="Z586" s="3">
        <v>21.69</v>
      </c>
      <c r="AA586" s="2" t="s">
        <v>90</v>
      </c>
      <c r="AB586" s="2" t="s">
        <v>374</v>
      </c>
      <c r="AC586" s="2" t="s">
        <v>372</v>
      </c>
      <c r="AD586" t="str" cm="1">
        <f t="array" ref="AD58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586" s="2" t="s">
        <v>91</v>
      </c>
      <c r="AF586" s="2" t="s">
        <v>92</v>
      </c>
      <c r="AG586" s="2" t="s">
        <v>119</v>
      </c>
      <c r="AH586" s="2" t="s">
        <v>120</v>
      </c>
      <c r="AK586" s="2" t="s">
        <v>375</v>
      </c>
      <c r="AN586" s="3">
        <v>1</v>
      </c>
      <c r="AO586" s="3">
        <v>1</v>
      </c>
      <c r="AP586" s="3">
        <v>1</v>
      </c>
      <c r="AQ586" s="3">
        <v>1</v>
      </c>
      <c r="AR586" s="3">
        <v>1</v>
      </c>
      <c r="AS586" s="3">
        <v>0</v>
      </c>
      <c r="AT586" s="3">
        <v>0</v>
      </c>
      <c r="AU586" s="3">
        <v>0</v>
      </c>
      <c r="AV586" s="3">
        <v>1</v>
      </c>
      <c r="AW586" s="3">
        <v>0</v>
      </c>
      <c r="AX586" s="3">
        <v>1</v>
      </c>
      <c r="AY586" s="3">
        <v>0</v>
      </c>
      <c r="AZ586" s="3">
        <v>0</v>
      </c>
      <c r="BA586" s="3">
        <v>1</v>
      </c>
      <c r="BB586" s="3">
        <v>0</v>
      </c>
      <c r="BC586" s="3">
        <v>0</v>
      </c>
      <c r="BD586" s="3">
        <v>0</v>
      </c>
      <c r="BE586" s="3">
        <v>0</v>
      </c>
      <c r="BG586" s="2" t="s">
        <v>91</v>
      </c>
      <c r="BH586" s="3">
        <v>3</v>
      </c>
      <c r="BJ586" s="2" t="s">
        <v>96</v>
      </c>
      <c r="BL586" s="2" t="s">
        <v>123</v>
      </c>
      <c r="BM586" s="2" t="s">
        <v>123</v>
      </c>
      <c r="BN586" s="2" t="s">
        <v>124</v>
      </c>
      <c r="BO586" s="2" t="s">
        <v>125</v>
      </c>
      <c r="BP586" s="2" t="s">
        <v>242</v>
      </c>
      <c r="BQ586" s="2" t="s">
        <v>124</v>
      </c>
      <c r="BR586" s="2" t="s">
        <v>126</v>
      </c>
      <c r="BS586" s="2" t="s">
        <v>127</v>
      </c>
      <c r="BT586" s="2" t="s">
        <v>199</v>
      </c>
      <c r="BU586" s="2" t="s">
        <v>200</v>
      </c>
      <c r="BV586" s="2" t="s">
        <v>166</v>
      </c>
      <c r="BW586" s="2" t="s">
        <v>167</v>
      </c>
      <c r="BX586" s="2" t="s">
        <v>91</v>
      </c>
      <c r="BY58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86" s="2">
        <f>IF(AND(Cases[[#This Row],[Priority Level]]&gt;=3,Cases[[#This Row],[System Role]]&lt;&gt;"Productive"),1,0)</f>
        <v>1</v>
      </c>
      <c r="CA586" s="2">
        <f>IFERROR(IF(Cases[[#This Row],[Days at Customer]]&gt;MAX(1,Cases[[#This Row],[Days at SAP]]*2),1,0),0)</f>
        <v>1</v>
      </c>
      <c r="CB586" s="2">
        <f>IF(AND(Cases[[#This Row],[Initial Component]]&lt;&gt;"",Cases[[#This Row],[Component]]&lt;&gt;"",Cases[[#This Row],[Initial Component]]&lt;&gt;Cases[[#This Row],[Component]]),1,0)</f>
        <v>0</v>
      </c>
      <c r="CC586" s="2">
        <f>IF(OR(Cases[[#This Row],[Is Reopened]]="X",Cases[[#This Row],[No. of Reopenings]]&gt;0),1,0)</f>
        <v>0</v>
      </c>
      <c r="CD586" s="2">
        <f>IF(Cases[[#This Row],[Confirmation Type]]="Automatic",1,0)</f>
        <v>1</v>
      </c>
      <c r="CE58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87" spans="1:83" x14ac:dyDescent="0.2">
      <c r="A587" s="1" t="s">
        <v>3302</v>
      </c>
      <c r="B587" s="2" t="s">
        <v>3303</v>
      </c>
      <c r="C587" s="2" t="s">
        <v>406</v>
      </c>
      <c r="D587" s="2" t="s">
        <v>78</v>
      </c>
      <c r="E587" s="3">
        <v>0.11</v>
      </c>
      <c r="F587" s="3">
        <v>9.6199999999999992</v>
      </c>
      <c r="G587" s="2" t="s">
        <v>79</v>
      </c>
      <c r="H587" s="2" t="s">
        <v>178</v>
      </c>
      <c r="I587" s="3" t="s">
        <v>114</v>
      </c>
      <c r="J587" s="3">
        <v>201</v>
      </c>
      <c r="K587" s="2" t="s">
        <v>3304</v>
      </c>
      <c r="L587" s="4">
        <v>46033</v>
      </c>
      <c r="M587" s="4">
        <v>45936</v>
      </c>
      <c r="N587" s="2" t="s">
        <v>2727</v>
      </c>
      <c r="O587" s="2" t="s">
        <v>1805</v>
      </c>
      <c r="P587" s="2" t="s">
        <v>3126</v>
      </c>
      <c r="Q587" s="2" t="s">
        <v>1806</v>
      </c>
      <c r="R587" s="2" t="s">
        <v>408</v>
      </c>
      <c r="S587" s="4">
        <v>45926</v>
      </c>
      <c r="T587" s="2" t="s">
        <v>3264</v>
      </c>
      <c r="U587" s="2" t="s">
        <v>3265</v>
      </c>
      <c r="V587" s="2" t="s">
        <v>3296</v>
      </c>
      <c r="W587" s="2" t="s">
        <v>1806</v>
      </c>
      <c r="X587" s="2" t="s">
        <v>117</v>
      </c>
      <c r="Y587" s="3" t="s">
        <v>118</v>
      </c>
      <c r="Z587" s="3">
        <v>9.73</v>
      </c>
      <c r="AA587" s="2" t="s">
        <v>90</v>
      </c>
      <c r="AB587" s="2" t="s">
        <v>408</v>
      </c>
      <c r="AC587" s="2" t="s">
        <v>406</v>
      </c>
      <c r="AD587" t="str" cm="1">
        <f t="array" ref="AD58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587" s="2" t="s">
        <v>139</v>
      </c>
      <c r="AF587" s="2" t="s">
        <v>92</v>
      </c>
      <c r="AG587" s="2" t="s">
        <v>119</v>
      </c>
      <c r="AH587" s="2" t="s">
        <v>120</v>
      </c>
      <c r="AK587" s="2" t="s">
        <v>3305</v>
      </c>
      <c r="AN587" s="3">
        <v>1</v>
      </c>
      <c r="AO587" s="3">
        <v>0</v>
      </c>
      <c r="AP587" s="3">
        <v>1</v>
      </c>
      <c r="AQ587" s="3">
        <v>1</v>
      </c>
      <c r="AR587" s="3">
        <v>0</v>
      </c>
      <c r="AS587" s="3">
        <v>0</v>
      </c>
      <c r="AT587" s="3">
        <v>1</v>
      </c>
      <c r="AU587" s="3">
        <v>0</v>
      </c>
      <c r="AV587" s="3">
        <v>0</v>
      </c>
      <c r="AW587" s="3">
        <v>1</v>
      </c>
      <c r="AX587" s="3">
        <v>0</v>
      </c>
      <c r="AY587" s="3">
        <v>0</v>
      </c>
      <c r="AZ587" s="3">
        <v>1</v>
      </c>
      <c r="BA587" s="3">
        <v>1</v>
      </c>
      <c r="BB587" s="3">
        <v>0</v>
      </c>
      <c r="BC587" s="3">
        <v>0</v>
      </c>
      <c r="BD587" s="3">
        <v>0</v>
      </c>
      <c r="BE587" s="3">
        <v>0</v>
      </c>
      <c r="BG587" s="2" t="s">
        <v>139</v>
      </c>
      <c r="BH587" s="3">
        <v>2</v>
      </c>
      <c r="BJ587" s="2" t="s">
        <v>96</v>
      </c>
      <c r="BL587" s="2" t="s">
        <v>123</v>
      </c>
      <c r="BM587" s="2" t="s">
        <v>123</v>
      </c>
      <c r="BN587" s="2" t="s">
        <v>124</v>
      </c>
      <c r="BO587" s="2" t="s">
        <v>125</v>
      </c>
      <c r="BP587" s="2" t="s">
        <v>101</v>
      </c>
      <c r="BQ587" s="2" t="s">
        <v>124</v>
      </c>
      <c r="BR587" s="2" t="s">
        <v>126</v>
      </c>
      <c r="BS587" s="2" t="s">
        <v>127</v>
      </c>
      <c r="BT587" s="2" t="s">
        <v>199</v>
      </c>
      <c r="BU587" s="2" t="s">
        <v>200</v>
      </c>
      <c r="BV587" s="2" t="s">
        <v>166</v>
      </c>
      <c r="BW587" s="2" t="s">
        <v>167</v>
      </c>
      <c r="BX587" s="2" t="s">
        <v>139</v>
      </c>
      <c r="BY58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87" s="2">
        <f>IF(AND(Cases[[#This Row],[Priority Level]]&gt;=3,Cases[[#This Row],[System Role]]&lt;&gt;"Productive"),1,0)</f>
        <v>0</v>
      </c>
      <c r="CA587" s="2">
        <f>IFERROR(IF(Cases[[#This Row],[Days at Customer]]&gt;MAX(1,Cases[[#This Row],[Days at SAP]]*2),1,0),0)</f>
        <v>1</v>
      </c>
      <c r="CB587" s="2">
        <f>IF(AND(Cases[[#This Row],[Initial Component]]&lt;&gt;"",Cases[[#This Row],[Component]]&lt;&gt;"",Cases[[#This Row],[Initial Component]]&lt;&gt;Cases[[#This Row],[Component]]),1,0)</f>
        <v>0</v>
      </c>
      <c r="CC587" s="2">
        <f>IF(OR(Cases[[#This Row],[Is Reopened]]="X",Cases[[#This Row],[No. of Reopenings]]&gt;0),1,0)</f>
        <v>0</v>
      </c>
      <c r="CD587" s="2">
        <f>IF(Cases[[#This Row],[Confirmation Type]]="Automatic",1,0)</f>
        <v>0</v>
      </c>
      <c r="CE58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88" spans="1:83" x14ac:dyDescent="0.2">
      <c r="A588" s="1" t="s">
        <v>3306</v>
      </c>
      <c r="B588" s="2" t="s">
        <v>3307</v>
      </c>
      <c r="C588" s="2" t="s">
        <v>1453</v>
      </c>
      <c r="D588" s="2" t="s">
        <v>238</v>
      </c>
      <c r="E588" s="3">
        <v>0.38</v>
      </c>
      <c r="F588" s="3">
        <v>33.17</v>
      </c>
      <c r="G588" s="2" t="s">
        <v>79</v>
      </c>
      <c r="H588" s="2" t="s">
        <v>80</v>
      </c>
      <c r="I588" s="3" t="s">
        <v>114</v>
      </c>
      <c r="J588" s="3">
        <v>201</v>
      </c>
      <c r="K588" s="2" t="s">
        <v>3308</v>
      </c>
      <c r="L588" s="4">
        <v>46054</v>
      </c>
      <c r="M588" s="4">
        <v>45960</v>
      </c>
      <c r="N588" s="2" t="s">
        <v>2727</v>
      </c>
      <c r="O588" s="2" t="s">
        <v>1805</v>
      </c>
      <c r="P588" s="2" t="s">
        <v>2717</v>
      </c>
      <c r="Q588" s="2" t="s">
        <v>1806</v>
      </c>
      <c r="R588" s="2" t="s">
        <v>1455</v>
      </c>
      <c r="S588" s="4">
        <v>45926</v>
      </c>
      <c r="T588" s="2" t="s">
        <v>3264</v>
      </c>
      <c r="U588" s="2" t="s">
        <v>3265</v>
      </c>
      <c r="V588" s="2" t="s">
        <v>3296</v>
      </c>
      <c r="W588" s="2" t="s">
        <v>1806</v>
      </c>
      <c r="X588" s="2" t="s">
        <v>117</v>
      </c>
      <c r="Y588" s="3" t="s">
        <v>118</v>
      </c>
      <c r="Z588" s="3">
        <v>33.549999999999997</v>
      </c>
      <c r="AA588" s="2" t="s">
        <v>90</v>
      </c>
      <c r="AB588" s="2" t="s">
        <v>657</v>
      </c>
      <c r="AC588" s="2" t="s">
        <v>655</v>
      </c>
      <c r="AD588" t="str" cm="1">
        <f t="array" ref="AD58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588" s="2" t="s">
        <v>182</v>
      </c>
      <c r="AF588" s="2" t="s">
        <v>92</v>
      </c>
      <c r="AG588" s="2" t="s">
        <v>119</v>
      </c>
      <c r="AH588" s="2" t="s">
        <v>120</v>
      </c>
      <c r="AJ588" s="2" t="s">
        <v>122</v>
      </c>
      <c r="AK588" s="2" t="s">
        <v>3309</v>
      </c>
      <c r="AN588" s="3">
        <v>1</v>
      </c>
      <c r="AO588" s="3">
        <v>0</v>
      </c>
      <c r="AP588" s="3">
        <v>1</v>
      </c>
      <c r="AQ588" s="3">
        <v>1</v>
      </c>
      <c r="AR588" s="3">
        <v>0</v>
      </c>
      <c r="AS588" s="3">
        <v>0</v>
      </c>
      <c r="AT588" s="3">
        <v>0</v>
      </c>
      <c r="AU588" s="3">
        <v>1</v>
      </c>
      <c r="AV588" s="3">
        <v>1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s="3">
        <v>0</v>
      </c>
      <c r="BC588" s="3">
        <v>1</v>
      </c>
      <c r="BD588" s="3">
        <v>1</v>
      </c>
      <c r="BE588" s="3">
        <v>1</v>
      </c>
      <c r="BG588" s="2" t="s">
        <v>182</v>
      </c>
      <c r="BH588" s="3">
        <v>4</v>
      </c>
      <c r="BJ588" s="2" t="s">
        <v>96</v>
      </c>
      <c r="BL588" s="2" t="s">
        <v>779</v>
      </c>
      <c r="BM588" s="2" t="s">
        <v>780</v>
      </c>
      <c r="BN588" s="2" t="s">
        <v>99</v>
      </c>
      <c r="BO588" s="2" t="s">
        <v>100</v>
      </c>
      <c r="BP588" s="2" t="s">
        <v>242</v>
      </c>
      <c r="BQ588" s="2" t="s">
        <v>102</v>
      </c>
      <c r="BR588" s="2" t="s">
        <v>103</v>
      </c>
      <c r="BS588" s="2" t="s">
        <v>713</v>
      </c>
      <c r="BT588" s="2" t="s">
        <v>781</v>
      </c>
      <c r="BU588" s="2" t="s">
        <v>3292</v>
      </c>
      <c r="BV588" s="2" t="s">
        <v>150</v>
      </c>
      <c r="BW588" s="2" t="s">
        <v>151</v>
      </c>
      <c r="BX588" s="2" t="s">
        <v>182</v>
      </c>
      <c r="BY58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88" s="2">
        <f>IF(AND(Cases[[#This Row],[Priority Level]]&gt;=3,Cases[[#This Row],[System Role]]&lt;&gt;"Productive"),1,0)</f>
        <v>0</v>
      </c>
      <c r="CA588" s="2">
        <f>IFERROR(IF(Cases[[#This Row],[Days at Customer]]&gt;MAX(1,Cases[[#This Row],[Days at SAP]]*2),1,0),0)</f>
        <v>1</v>
      </c>
      <c r="CB588" s="2">
        <f>IF(AND(Cases[[#This Row],[Initial Component]]&lt;&gt;"",Cases[[#This Row],[Component]]&lt;&gt;"",Cases[[#This Row],[Initial Component]]&lt;&gt;Cases[[#This Row],[Component]]),1,0)</f>
        <v>1</v>
      </c>
      <c r="CC588" s="2">
        <f>IF(OR(Cases[[#This Row],[Is Reopened]]="X",Cases[[#This Row],[No. of Reopenings]]&gt;0),1,0)</f>
        <v>1</v>
      </c>
      <c r="CD588" s="2">
        <f>IF(Cases[[#This Row],[Confirmation Type]]="Automatic",1,0)</f>
        <v>1</v>
      </c>
      <c r="CE588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589" spans="1:83" x14ac:dyDescent="0.2">
      <c r="A589" s="1" t="s">
        <v>3310</v>
      </c>
      <c r="B589" s="2" t="s">
        <v>3311</v>
      </c>
      <c r="C589" s="2" t="s">
        <v>617</v>
      </c>
      <c r="D589" s="2" t="s">
        <v>238</v>
      </c>
      <c r="E589" s="3">
        <v>0</v>
      </c>
      <c r="F589" s="3">
        <v>24.59</v>
      </c>
      <c r="G589" s="2" t="s">
        <v>79</v>
      </c>
      <c r="H589" s="2" t="s">
        <v>80</v>
      </c>
      <c r="I589" s="3" t="s">
        <v>81</v>
      </c>
      <c r="J589" s="3">
        <v>201</v>
      </c>
      <c r="K589" s="2" t="s">
        <v>3312</v>
      </c>
      <c r="L589" s="4">
        <v>46047</v>
      </c>
      <c r="M589" s="4">
        <v>45952</v>
      </c>
      <c r="N589" s="2" t="s">
        <v>2727</v>
      </c>
      <c r="O589" s="2" t="s">
        <v>1805</v>
      </c>
      <c r="P589" s="2" t="s">
        <v>2887</v>
      </c>
      <c r="Q589" s="2" t="s">
        <v>1806</v>
      </c>
      <c r="R589" s="2" t="s">
        <v>619</v>
      </c>
      <c r="S589" s="4">
        <v>45926</v>
      </c>
      <c r="T589" s="2" t="s">
        <v>3264</v>
      </c>
      <c r="U589" s="2" t="s">
        <v>3265</v>
      </c>
      <c r="V589" s="2" t="s">
        <v>3296</v>
      </c>
      <c r="W589" s="2" t="s">
        <v>1806</v>
      </c>
      <c r="X589" s="2" t="s">
        <v>88</v>
      </c>
      <c r="Y589" s="3" t="s">
        <v>89</v>
      </c>
      <c r="Z589" s="3">
        <v>24.59</v>
      </c>
      <c r="AA589" s="2" t="s">
        <v>90</v>
      </c>
      <c r="AB589" s="2" t="s">
        <v>619</v>
      </c>
      <c r="AC589" s="2" t="s">
        <v>617</v>
      </c>
      <c r="AD589" t="str" cm="1">
        <f t="array" ref="AD58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OTC</v>
      </c>
      <c r="AE589" s="2" t="s">
        <v>139</v>
      </c>
      <c r="AF589" s="2" t="s">
        <v>92</v>
      </c>
      <c r="AG589" s="2" t="s">
        <v>93</v>
      </c>
      <c r="AH589" s="2" t="s">
        <v>94</v>
      </c>
      <c r="AK589" s="2" t="s">
        <v>3313</v>
      </c>
      <c r="AN589" s="3">
        <v>1</v>
      </c>
      <c r="AO589" s="3">
        <v>0</v>
      </c>
      <c r="AP589" s="3">
        <v>1</v>
      </c>
      <c r="AQ589" s="3">
        <v>1</v>
      </c>
      <c r="AR589" s="3">
        <v>0</v>
      </c>
      <c r="AS589" s="3">
        <v>0</v>
      </c>
      <c r="AT589" s="3">
        <v>1</v>
      </c>
      <c r="AU589" s="3">
        <v>0</v>
      </c>
      <c r="AV589" s="3">
        <v>1</v>
      </c>
      <c r="AW589" s="3">
        <v>0</v>
      </c>
      <c r="AX589" s="3">
        <v>0</v>
      </c>
      <c r="AY589" s="3">
        <v>0</v>
      </c>
      <c r="AZ589" s="3">
        <v>1</v>
      </c>
      <c r="BA589" s="3">
        <v>0</v>
      </c>
      <c r="BB589" s="3">
        <v>0</v>
      </c>
      <c r="BC589" s="3">
        <v>1</v>
      </c>
      <c r="BD589" s="3">
        <v>0</v>
      </c>
      <c r="BE589" s="3">
        <v>0</v>
      </c>
      <c r="BG589" s="2" t="s">
        <v>139</v>
      </c>
      <c r="BH589" s="3">
        <v>2</v>
      </c>
      <c r="BJ589" s="2" t="s">
        <v>96</v>
      </c>
      <c r="BL589" s="2" t="s">
        <v>184</v>
      </c>
      <c r="BM589" s="2" t="s">
        <v>184</v>
      </c>
      <c r="BN589" s="2" t="s">
        <v>124</v>
      </c>
      <c r="BO589" s="2" t="s">
        <v>125</v>
      </c>
      <c r="BP589" s="2" t="s">
        <v>242</v>
      </c>
      <c r="BQ589" s="2" t="s">
        <v>124</v>
      </c>
      <c r="BR589" s="2" t="s">
        <v>126</v>
      </c>
      <c r="BS589" s="2" t="s">
        <v>127</v>
      </c>
      <c r="BT589" s="2" t="s">
        <v>185</v>
      </c>
      <c r="BU589" s="2" t="s">
        <v>186</v>
      </c>
      <c r="BV589" s="2" t="s">
        <v>150</v>
      </c>
      <c r="BW589" s="2" t="s">
        <v>151</v>
      </c>
      <c r="BX589" s="2" t="s">
        <v>139</v>
      </c>
      <c r="BY58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89" s="2">
        <f>IF(AND(Cases[[#This Row],[Priority Level]]&gt;=3,Cases[[#This Row],[System Role]]&lt;&gt;"Productive"),1,0)</f>
        <v>0</v>
      </c>
      <c r="CA589" s="2">
        <f>IFERROR(IF(Cases[[#This Row],[Days at Customer]]&gt;MAX(1,Cases[[#This Row],[Days at SAP]]*2),1,0),0)</f>
        <v>1</v>
      </c>
      <c r="CB589" s="2">
        <f>IF(AND(Cases[[#This Row],[Initial Component]]&lt;&gt;"",Cases[[#This Row],[Component]]&lt;&gt;"",Cases[[#This Row],[Initial Component]]&lt;&gt;Cases[[#This Row],[Component]]),1,0)</f>
        <v>0</v>
      </c>
      <c r="CC589" s="2">
        <f>IF(OR(Cases[[#This Row],[Is Reopened]]="X",Cases[[#This Row],[No. of Reopenings]]&gt;0),1,0)</f>
        <v>0</v>
      </c>
      <c r="CD589" s="2">
        <f>IF(Cases[[#This Row],[Confirmation Type]]="Automatic",1,0)</f>
        <v>1</v>
      </c>
      <c r="CE589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90" spans="1:83" x14ac:dyDescent="0.2">
      <c r="A590" s="1" t="s">
        <v>3314</v>
      </c>
      <c r="B590" s="2" t="s">
        <v>3315</v>
      </c>
      <c r="C590" s="2" t="s">
        <v>1560</v>
      </c>
      <c r="D590" s="2" t="s">
        <v>78</v>
      </c>
      <c r="E590" s="3">
        <v>15.99</v>
      </c>
      <c r="F590" s="3">
        <v>8.6</v>
      </c>
      <c r="G590" s="2" t="s">
        <v>79</v>
      </c>
      <c r="H590" s="2" t="s">
        <v>80</v>
      </c>
      <c r="I590" s="3" t="s">
        <v>114</v>
      </c>
      <c r="J590" s="3">
        <v>201</v>
      </c>
      <c r="K590" s="2" t="s">
        <v>3316</v>
      </c>
      <c r="L590" s="4">
        <v>46047</v>
      </c>
      <c r="M590" s="4">
        <v>45951</v>
      </c>
      <c r="N590" s="2" t="s">
        <v>2727</v>
      </c>
      <c r="O590" s="2" t="s">
        <v>1805</v>
      </c>
      <c r="P590" s="2" t="s">
        <v>2887</v>
      </c>
      <c r="Q590" s="2" t="s">
        <v>1806</v>
      </c>
      <c r="R590" s="2" t="s">
        <v>1562</v>
      </c>
      <c r="S590" s="4">
        <v>45926</v>
      </c>
      <c r="T590" s="2" t="s">
        <v>3264</v>
      </c>
      <c r="U590" s="2" t="s">
        <v>3265</v>
      </c>
      <c r="V590" s="2" t="s">
        <v>3296</v>
      </c>
      <c r="W590" s="2" t="s">
        <v>1806</v>
      </c>
      <c r="X590" s="2" t="s">
        <v>117</v>
      </c>
      <c r="Y590" s="3" t="s">
        <v>118</v>
      </c>
      <c r="Z590" s="3">
        <v>24.59</v>
      </c>
      <c r="AA590" s="2" t="s">
        <v>90</v>
      </c>
      <c r="AB590" s="2" t="s">
        <v>408</v>
      </c>
      <c r="AC590" s="2" t="s">
        <v>406</v>
      </c>
      <c r="AD590" t="str" cm="1">
        <f t="array" ref="AD59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590" s="2" t="s">
        <v>91</v>
      </c>
      <c r="AF590" s="2" t="s">
        <v>92</v>
      </c>
      <c r="AG590" s="2" t="s">
        <v>119</v>
      </c>
      <c r="AH590" s="2" t="s">
        <v>120</v>
      </c>
      <c r="AK590" s="2" t="s">
        <v>3317</v>
      </c>
      <c r="AN590" s="3">
        <v>1</v>
      </c>
      <c r="AO590" s="3">
        <v>0</v>
      </c>
      <c r="AP590" s="3">
        <v>1</v>
      </c>
      <c r="AQ590" s="3">
        <v>1</v>
      </c>
      <c r="AR590" s="3">
        <v>1</v>
      </c>
      <c r="AS590" s="3">
        <v>0</v>
      </c>
      <c r="AT590" s="3">
        <v>0</v>
      </c>
      <c r="AU590" s="3">
        <v>0</v>
      </c>
      <c r="AV590" s="3">
        <v>0</v>
      </c>
      <c r="AW590" s="3">
        <v>1</v>
      </c>
      <c r="AX590" s="3">
        <v>1</v>
      </c>
      <c r="AY590" s="3">
        <v>0</v>
      </c>
      <c r="AZ590" s="3">
        <v>0</v>
      </c>
      <c r="BA590" s="3">
        <v>1</v>
      </c>
      <c r="BB590" s="3">
        <v>0</v>
      </c>
      <c r="BC590" s="3">
        <v>0</v>
      </c>
      <c r="BD590" s="3">
        <v>0</v>
      </c>
      <c r="BE590" s="3">
        <v>0</v>
      </c>
      <c r="BG590" s="2" t="s">
        <v>91</v>
      </c>
      <c r="BH590" s="3">
        <v>3</v>
      </c>
      <c r="BJ590" s="2" t="s">
        <v>96</v>
      </c>
      <c r="BL590" s="2" t="s">
        <v>123</v>
      </c>
      <c r="BM590" s="2" t="s">
        <v>123</v>
      </c>
      <c r="BN590" s="2" t="s">
        <v>124</v>
      </c>
      <c r="BO590" s="2" t="s">
        <v>125</v>
      </c>
      <c r="BP590" s="2" t="s">
        <v>101</v>
      </c>
      <c r="BQ590" s="2" t="s">
        <v>124</v>
      </c>
      <c r="BR590" s="2" t="s">
        <v>126</v>
      </c>
      <c r="BS590" s="2" t="s">
        <v>127</v>
      </c>
      <c r="BT590" s="2" t="s">
        <v>199</v>
      </c>
      <c r="BU590" s="2" t="s">
        <v>200</v>
      </c>
      <c r="BV590" s="2" t="s">
        <v>166</v>
      </c>
      <c r="BW590" s="2" t="s">
        <v>167</v>
      </c>
      <c r="BX590" s="2" t="s">
        <v>91</v>
      </c>
      <c r="BY59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90" s="2">
        <f>IF(AND(Cases[[#This Row],[Priority Level]]&gt;=3,Cases[[#This Row],[System Role]]&lt;&gt;"Productive"),1,0)</f>
        <v>1</v>
      </c>
      <c r="CA590" s="2">
        <f>IFERROR(IF(Cases[[#This Row],[Days at Customer]]&gt;MAX(1,Cases[[#This Row],[Days at SAP]]*2),1,0),0)</f>
        <v>0</v>
      </c>
      <c r="CB590" s="2">
        <f>IF(AND(Cases[[#This Row],[Initial Component]]&lt;&gt;"",Cases[[#This Row],[Component]]&lt;&gt;"",Cases[[#This Row],[Initial Component]]&lt;&gt;Cases[[#This Row],[Component]]),1,0)</f>
        <v>1</v>
      </c>
      <c r="CC590" s="2">
        <f>IF(OR(Cases[[#This Row],[Is Reopened]]="X",Cases[[#This Row],[No. of Reopenings]]&gt;0),1,0)</f>
        <v>0</v>
      </c>
      <c r="CD590" s="2">
        <f>IF(Cases[[#This Row],[Confirmation Type]]="Automatic",1,0)</f>
        <v>0</v>
      </c>
      <c r="CE59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91" spans="1:83" x14ac:dyDescent="0.2">
      <c r="A591" s="1" t="s">
        <v>3318</v>
      </c>
      <c r="B591" s="2" t="s">
        <v>3319</v>
      </c>
      <c r="C591" s="2" t="s">
        <v>2236</v>
      </c>
      <c r="D591" s="2" t="s">
        <v>238</v>
      </c>
      <c r="E591" s="3">
        <v>2.93</v>
      </c>
      <c r="F591" s="3">
        <v>36.56</v>
      </c>
      <c r="G591" s="2" t="s">
        <v>190</v>
      </c>
      <c r="H591" s="2" t="s">
        <v>191</v>
      </c>
      <c r="I591" s="3" t="s">
        <v>114</v>
      </c>
      <c r="J591" s="3">
        <v>201</v>
      </c>
      <c r="K591" s="2" t="s">
        <v>3320</v>
      </c>
      <c r="L591" s="4">
        <v>46061</v>
      </c>
      <c r="M591" s="4">
        <v>45966</v>
      </c>
      <c r="N591" s="2" t="s">
        <v>2274</v>
      </c>
      <c r="O591" s="2" t="s">
        <v>1805</v>
      </c>
      <c r="P591" s="2" t="s">
        <v>2583</v>
      </c>
      <c r="Q591" s="2" t="s">
        <v>1806</v>
      </c>
      <c r="R591" s="2" t="s">
        <v>2238</v>
      </c>
      <c r="S591" s="4">
        <v>45926</v>
      </c>
      <c r="T591" s="2" t="s">
        <v>3264</v>
      </c>
      <c r="U591" s="2" t="s">
        <v>3265</v>
      </c>
      <c r="V591" s="2" t="s">
        <v>3296</v>
      </c>
      <c r="W591" s="2" t="s">
        <v>1806</v>
      </c>
      <c r="X591" s="2" t="s">
        <v>117</v>
      </c>
      <c r="Y591" s="3" t="s">
        <v>118</v>
      </c>
      <c r="Z591" s="3">
        <v>39.49</v>
      </c>
      <c r="AA591" s="2" t="s">
        <v>90</v>
      </c>
      <c r="AB591" s="2" t="s">
        <v>2238</v>
      </c>
      <c r="AC591" s="2" t="s">
        <v>2236</v>
      </c>
      <c r="AD591" t="str" cm="1">
        <f t="array" ref="AD59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591" s="2" t="s">
        <v>91</v>
      </c>
      <c r="AF591" s="2" t="s">
        <v>92</v>
      </c>
      <c r="AG591" s="2" t="s">
        <v>119</v>
      </c>
      <c r="AH591" s="2" t="s">
        <v>120</v>
      </c>
      <c r="AJ591" s="2" t="s">
        <v>122</v>
      </c>
      <c r="AK591" s="2" t="s">
        <v>3321</v>
      </c>
      <c r="AN591" s="3">
        <v>1</v>
      </c>
      <c r="AO591" s="3">
        <v>0</v>
      </c>
      <c r="AP591" s="3">
        <v>1</v>
      </c>
      <c r="AQ591" s="3">
        <v>1</v>
      </c>
      <c r="AR591" s="3">
        <v>1</v>
      </c>
      <c r="AS591" s="3">
        <v>0</v>
      </c>
      <c r="AT591" s="3">
        <v>0</v>
      </c>
      <c r="AU591" s="3">
        <v>0</v>
      </c>
      <c r="AV591" s="3">
        <v>1</v>
      </c>
      <c r="AW591" s="3">
        <v>0</v>
      </c>
      <c r="AX591" s="3">
        <v>1</v>
      </c>
      <c r="AY591" s="3">
        <v>0</v>
      </c>
      <c r="AZ591" s="3">
        <v>0</v>
      </c>
      <c r="BA591" s="3">
        <v>1</v>
      </c>
      <c r="BB591" s="3">
        <v>0</v>
      </c>
      <c r="BC591" s="3">
        <v>0</v>
      </c>
      <c r="BD591" s="3">
        <v>2</v>
      </c>
      <c r="BE591" s="3">
        <v>0</v>
      </c>
      <c r="BG591" s="2" t="s">
        <v>91</v>
      </c>
      <c r="BH591" s="3">
        <v>3</v>
      </c>
      <c r="BJ591" s="2" t="s">
        <v>96</v>
      </c>
      <c r="BL591" s="2" t="s">
        <v>123</v>
      </c>
      <c r="BM591" s="2" t="s">
        <v>123</v>
      </c>
      <c r="BN591" s="2" t="s">
        <v>124</v>
      </c>
      <c r="BO591" s="2" t="s">
        <v>125</v>
      </c>
      <c r="BP591" s="2" t="s">
        <v>242</v>
      </c>
      <c r="BQ591" s="2" t="s">
        <v>124</v>
      </c>
      <c r="BR591" s="2" t="s">
        <v>126</v>
      </c>
      <c r="BS591" s="2" t="s">
        <v>713</v>
      </c>
      <c r="BT591" s="2" t="s">
        <v>1550</v>
      </c>
      <c r="BU591" s="2" t="s">
        <v>3322</v>
      </c>
      <c r="BV591" s="2" t="s">
        <v>107</v>
      </c>
      <c r="BW591" s="2" t="s">
        <v>108</v>
      </c>
      <c r="BX591" s="2" t="s">
        <v>91</v>
      </c>
      <c r="BY59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91" s="2">
        <f>IF(AND(Cases[[#This Row],[Priority Level]]&gt;=3,Cases[[#This Row],[System Role]]&lt;&gt;"Productive"),1,0)</f>
        <v>1</v>
      </c>
      <c r="CA591" s="2">
        <f>IFERROR(IF(Cases[[#This Row],[Days at Customer]]&gt;MAX(1,Cases[[#This Row],[Days at SAP]]*2),1,0),0)</f>
        <v>1</v>
      </c>
      <c r="CB591" s="2">
        <f>IF(AND(Cases[[#This Row],[Initial Component]]&lt;&gt;"",Cases[[#This Row],[Component]]&lt;&gt;"",Cases[[#This Row],[Initial Component]]&lt;&gt;Cases[[#This Row],[Component]]),1,0)</f>
        <v>0</v>
      </c>
      <c r="CC591" s="2">
        <f>IF(OR(Cases[[#This Row],[Is Reopened]]="X",Cases[[#This Row],[No. of Reopenings]]&gt;0),1,0)</f>
        <v>1</v>
      </c>
      <c r="CD591" s="2">
        <f>IF(Cases[[#This Row],[Confirmation Type]]="Automatic",1,0)</f>
        <v>1</v>
      </c>
      <c r="CE591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592" spans="1:83" x14ac:dyDescent="0.2">
      <c r="A592" s="1" t="s">
        <v>3323</v>
      </c>
      <c r="B592" s="2" t="s">
        <v>3324</v>
      </c>
      <c r="C592" s="2" t="s">
        <v>3288</v>
      </c>
      <c r="D592" s="2" t="s">
        <v>238</v>
      </c>
      <c r="E592" s="3">
        <v>4.01</v>
      </c>
      <c r="F592" s="3">
        <v>21.76</v>
      </c>
      <c r="G592" s="2" t="s">
        <v>79</v>
      </c>
      <c r="H592" s="2" t="s">
        <v>80</v>
      </c>
      <c r="I592" s="3" t="s">
        <v>114</v>
      </c>
      <c r="J592" s="3">
        <v>202</v>
      </c>
      <c r="K592" s="2" t="s">
        <v>3325</v>
      </c>
      <c r="L592" s="4">
        <v>46047</v>
      </c>
      <c r="M592" s="4">
        <v>45951</v>
      </c>
      <c r="N592" s="2" t="s">
        <v>2727</v>
      </c>
      <c r="O592" s="2" t="s">
        <v>1805</v>
      </c>
      <c r="P592" s="2" t="s">
        <v>2887</v>
      </c>
      <c r="Q592" s="2" t="s">
        <v>1806</v>
      </c>
      <c r="R592" s="2" t="s">
        <v>3290</v>
      </c>
      <c r="S592" s="4">
        <v>45925</v>
      </c>
      <c r="T592" s="2" t="s">
        <v>3264</v>
      </c>
      <c r="U592" s="2" t="s">
        <v>3265</v>
      </c>
      <c r="V592" s="2" t="s">
        <v>3296</v>
      </c>
      <c r="W592" s="2" t="s">
        <v>1806</v>
      </c>
      <c r="X592" s="2" t="s">
        <v>117</v>
      </c>
      <c r="Y592" s="3" t="s">
        <v>118</v>
      </c>
      <c r="Z592" s="3">
        <v>25.77</v>
      </c>
      <c r="AA592" s="2" t="s">
        <v>90</v>
      </c>
      <c r="AB592" s="2" t="s">
        <v>3290</v>
      </c>
      <c r="AC592" s="2" t="s">
        <v>3288</v>
      </c>
      <c r="AD592" t="str" cm="1">
        <f t="array" ref="AD59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592" s="2" t="s">
        <v>91</v>
      </c>
      <c r="AF592" s="2" t="s">
        <v>92</v>
      </c>
      <c r="AG592" s="2" t="s">
        <v>119</v>
      </c>
      <c r="AH592" s="2" t="s">
        <v>120</v>
      </c>
      <c r="AK592" s="2" t="s">
        <v>3326</v>
      </c>
      <c r="AN592" s="3">
        <v>1</v>
      </c>
      <c r="AO592" s="3">
        <v>0</v>
      </c>
      <c r="AP592" s="3">
        <v>1</v>
      </c>
      <c r="AQ592" s="3">
        <v>1</v>
      </c>
      <c r="AR592" s="3">
        <v>0</v>
      </c>
      <c r="AS592" s="3">
        <v>1</v>
      </c>
      <c r="AT592" s="3">
        <v>0</v>
      </c>
      <c r="AU592" s="3">
        <v>0</v>
      </c>
      <c r="AV592" s="3">
        <v>1</v>
      </c>
      <c r="AW592" s="3">
        <v>0</v>
      </c>
      <c r="AX592" s="3">
        <v>0</v>
      </c>
      <c r="AY592" s="3">
        <v>1</v>
      </c>
      <c r="AZ592" s="3">
        <v>0</v>
      </c>
      <c r="BA592" s="3">
        <v>0</v>
      </c>
      <c r="BB592" s="3">
        <v>0</v>
      </c>
      <c r="BC592" s="3">
        <v>1</v>
      </c>
      <c r="BD592" s="3">
        <v>0</v>
      </c>
      <c r="BE592" s="3">
        <v>0</v>
      </c>
      <c r="BG592" s="2" t="s">
        <v>158</v>
      </c>
      <c r="BH592" s="3">
        <v>1</v>
      </c>
      <c r="BJ592" s="2" t="s">
        <v>96</v>
      </c>
      <c r="BL592" s="2" t="s">
        <v>779</v>
      </c>
      <c r="BM592" s="2" t="s">
        <v>780</v>
      </c>
      <c r="BN592" s="2" t="s">
        <v>99</v>
      </c>
      <c r="BO592" s="2" t="s">
        <v>100</v>
      </c>
      <c r="BP592" s="2" t="s">
        <v>242</v>
      </c>
      <c r="BQ592" s="2" t="s">
        <v>102</v>
      </c>
      <c r="BR592" s="2" t="s">
        <v>103</v>
      </c>
      <c r="BS592" s="2" t="s">
        <v>713</v>
      </c>
      <c r="BT592" s="2" t="s">
        <v>781</v>
      </c>
      <c r="BU592" s="2" t="s">
        <v>3292</v>
      </c>
      <c r="BV592" s="2" t="s">
        <v>150</v>
      </c>
      <c r="BW592" s="2" t="s">
        <v>151</v>
      </c>
      <c r="BX592" s="2" t="s">
        <v>91</v>
      </c>
      <c r="BY59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92" s="2">
        <f>IF(AND(Cases[[#This Row],[Priority Level]]&gt;=3,Cases[[#This Row],[System Role]]&lt;&gt;"Productive"),1,0)</f>
        <v>0</v>
      </c>
      <c r="CA592" s="2">
        <f>IFERROR(IF(Cases[[#This Row],[Days at Customer]]&gt;MAX(1,Cases[[#This Row],[Days at SAP]]*2),1,0),0)</f>
        <v>1</v>
      </c>
      <c r="CB592" s="2">
        <f>IF(AND(Cases[[#This Row],[Initial Component]]&lt;&gt;"",Cases[[#This Row],[Component]]&lt;&gt;"",Cases[[#This Row],[Initial Component]]&lt;&gt;Cases[[#This Row],[Component]]),1,0)</f>
        <v>0</v>
      </c>
      <c r="CC592" s="2">
        <f>IF(OR(Cases[[#This Row],[Is Reopened]]="X",Cases[[#This Row],[No. of Reopenings]]&gt;0),1,0)</f>
        <v>0</v>
      </c>
      <c r="CD592" s="2">
        <f>IF(Cases[[#This Row],[Confirmation Type]]="Automatic",1,0)</f>
        <v>1</v>
      </c>
      <c r="CE592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93" spans="1:83" x14ac:dyDescent="0.2">
      <c r="A593" s="1" t="s">
        <v>637</v>
      </c>
      <c r="B593" s="2" t="s">
        <v>638</v>
      </c>
      <c r="C593" s="2" t="s">
        <v>639</v>
      </c>
      <c r="D593" s="2" t="s">
        <v>238</v>
      </c>
      <c r="E593" s="3">
        <v>0.34</v>
      </c>
      <c r="F593" s="3">
        <v>28.11</v>
      </c>
      <c r="G593" s="2" t="s">
        <v>79</v>
      </c>
      <c r="H593" s="2" t="s">
        <v>178</v>
      </c>
      <c r="I593" s="3" t="s">
        <v>114</v>
      </c>
      <c r="J593" s="3">
        <v>44</v>
      </c>
      <c r="K593" s="2" t="s">
        <v>640</v>
      </c>
      <c r="L593" s="4">
        <v>46117</v>
      </c>
      <c r="M593" s="4">
        <v>46112</v>
      </c>
      <c r="N593" s="2" t="s">
        <v>180</v>
      </c>
      <c r="O593" s="2" t="s">
        <v>181</v>
      </c>
      <c r="P593" s="2" t="s">
        <v>136</v>
      </c>
      <c r="Q593" s="2" t="s">
        <v>86</v>
      </c>
      <c r="R593" s="2" t="s">
        <v>641</v>
      </c>
      <c r="S593" s="4">
        <v>46083</v>
      </c>
      <c r="T593" s="2" t="s">
        <v>180</v>
      </c>
      <c r="U593" s="2" t="s">
        <v>181</v>
      </c>
      <c r="V593" s="2" t="s">
        <v>526</v>
      </c>
      <c r="W593" s="2" t="s">
        <v>86</v>
      </c>
      <c r="X593" s="2" t="s">
        <v>117</v>
      </c>
      <c r="Y593" s="3" t="s">
        <v>118</v>
      </c>
      <c r="Z593" s="3">
        <v>28.45</v>
      </c>
      <c r="AA593" s="2" t="s">
        <v>90</v>
      </c>
      <c r="AB593" s="2" t="s">
        <v>641</v>
      </c>
      <c r="AC593" s="2" t="s">
        <v>639</v>
      </c>
      <c r="AD593" t="str" cm="1">
        <f t="array" ref="AD59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593" s="2" t="s">
        <v>91</v>
      </c>
      <c r="AF593" s="2" t="s">
        <v>92</v>
      </c>
      <c r="AG593" s="2" t="s">
        <v>159</v>
      </c>
      <c r="AH593" s="2" t="s">
        <v>160</v>
      </c>
      <c r="AJ593" s="2" t="s">
        <v>122</v>
      </c>
      <c r="AK593" s="2" t="s">
        <v>642</v>
      </c>
      <c r="AN593" s="3">
        <v>1</v>
      </c>
      <c r="AO593" s="3">
        <v>1</v>
      </c>
      <c r="AP593" s="3">
        <v>1</v>
      </c>
      <c r="AQ593" s="3">
        <v>1</v>
      </c>
      <c r="AR593" s="3">
        <v>1</v>
      </c>
      <c r="AS593" s="3">
        <v>0</v>
      </c>
      <c r="AT593" s="3">
        <v>0</v>
      </c>
      <c r="AU593" s="3">
        <v>0</v>
      </c>
      <c r="AV593" s="3">
        <v>1</v>
      </c>
      <c r="AW593" s="3">
        <v>0</v>
      </c>
      <c r="AX593" s="3">
        <v>1</v>
      </c>
      <c r="AY593" s="3">
        <v>0</v>
      </c>
      <c r="AZ593" s="3">
        <v>0</v>
      </c>
      <c r="BA593" s="3">
        <v>0</v>
      </c>
      <c r="BB593" s="3">
        <v>0</v>
      </c>
      <c r="BC593" s="3">
        <v>1</v>
      </c>
      <c r="BD593" s="3">
        <v>2</v>
      </c>
      <c r="BE593" s="3">
        <v>0</v>
      </c>
      <c r="BG593" s="2" t="s">
        <v>91</v>
      </c>
      <c r="BH593" s="3">
        <v>3</v>
      </c>
      <c r="BJ593" s="2" t="s">
        <v>96</v>
      </c>
      <c r="BL593" s="2" t="s">
        <v>643</v>
      </c>
      <c r="BM593" s="2" t="s">
        <v>644</v>
      </c>
      <c r="BN593" s="2" t="s">
        <v>99</v>
      </c>
      <c r="BO593" s="2" t="s">
        <v>100</v>
      </c>
      <c r="BP593" s="2" t="s">
        <v>242</v>
      </c>
      <c r="BQ593" s="2" t="s">
        <v>102</v>
      </c>
      <c r="BR593" s="2" t="s">
        <v>103</v>
      </c>
      <c r="BS593" s="2" t="s">
        <v>127</v>
      </c>
      <c r="BT593" s="2" t="s">
        <v>645</v>
      </c>
      <c r="BU593" s="2" t="s">
        <v>646</v>
      </c>
      <c r="BV593" s="2" t="s">
        <v>150</v>
      </c>
      <c r="BW593" s="2" t="s">
        <v>151</v>
      </c>
      <c r="BX593" s="2" t="s">
        <v>91</v>
      </c>
      <c r="BY59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93" s="2">
        <f>IF(AND(Cases[[#This Row],[Priority Level]]&gt;=3,Cases[[#This Row],[System Role]]&lt;&gt;"Productive"),1,0)</f>
        <v>0</v>
      </c>
      <c r="CA593" s="2">
        <f>IFERROR(IF(Cases[[#This Row],[Days at Customer]]&gt;MAX(1,Cases[[#This Row],[Days at SAP]]*2),1,0),0)</f>
        <v>1</v>
      </c>
      <c r="CB593" s="2">
        <f>IF(AND(Cases[[#This Row],[Initial Component]]&lt;&gt;"",Cases[[#This Row],[Component]]&lt;&gt;"",Cases[[#This Row],[Initial Component]]&lt;&gt;Cases[[#This Row],[Component]]),1,0)</f>
        <v>0</v>
      </c>
      <c r="CC593" s="2">
        <f>IF(OR(Cases[[#This Row],[Is Reopened]]="X",Cases[[#This Row],[No. of Reopenings]]&gt;0),1,0)</f>
        <v>1</v>
      </c>
      <c r="CD593" s="2">
        <f>IF(Cases[[#This Row],[Confirmation Type]]="Automatic",1,0)</f>
        <v>1</v>
      </c>
      <c r="CE593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594" spans="1:83" x14ac:dyDescent="0.2">
      <c r="A594" s="1" t="s">
        <v>3331</v>
      </c>
      <c r="B594" s="2" t="s">
        <v>3332</v>
      </c>
      <c r="C594" s="2" t="s">
        <v>1556</v>
      </c>
      <c r="D594" s="2" t="s">
        <v>238</v>
      </c>
      <c r="E594" s="3">
        <v>12.6</v>
      </c>
      <c r="F594" s="3">
        <v>35.630000000000003</v>
      </c>
      <c r="G594" s="2" t="s">
        <v>79</v>
      </c>
      <c r="H594" s="2" t="s">
        <v>80</v>
      </c>
      <c r="I594" s="3" t="s">
        <v>114</v>
      </c>
      <c r="J594" s="3">
        <v>202</v>
      </c>
      <c r="K594" s="2" t="s">
        <v>3333</v>
      </c>
      <c r="L594" s="4">
        <v>46065</v>
      </c>
      <c r="M594" s="4">
        <v>45973</v>
      </c>
      <c r="N594" s="2" t="s">
        <v>2274</v>
      </c>
      <c r="O594" s="2" t="s">
        <v>1805</v>
      </c>
      <c r="P594" s="2" t="s">
        <v>2467</v>
      </c>
      <c r="Q594" s="2" t="s">
        <v>1806</v>
      </c>
      <c r="R594" s="2" t="s">
        <v>1555</v>
      </c>
      <c r="S594" s="4">
        <v>45925</v>
      </c>
      <c r="T594" s="2" t="s">
        <v>3264</v>
      </c>
      <c r="U594" s="2" t="s">
        <v>3265</v>
      </c>
      <c r="V594" s="2" t="s">
        <v>3296</v>
      </c>
      <c r="W594" s="2" t="s">
        <v>1806</v>
      </c>
      <c r="X594" s="2" t="s">
        <v>117</v>
      </c>
      <c r="Y594" s="3" t="s">
        <v>118</v>
      </c>
      <c r="Z594" s="3">
        <v>48.22</v>
      </c>
      <c r="AA594" s="2" t="s">
        <v>90</v>
      </c>
      <c r="AB594" s="2" t="s">
        <v>1555</v>
      </c>
      <c r="AC594" s="2" t="s">
        <v>1556</v>
      </c>
      <c r="AD594" t="str" cm="1">
        <f t="array" ref="AD59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594" s="2" t="s">
        <v>91</v>
      </c>
      <c r="AF594" s="2" t="s">
        <v>92</v>
      </c>
      <c r="AG594" s="2" t="s">
        <v>119</v>
      </c>
      <c r="AH594" s="2" t="s">
        <v>120</v>
      </c>
      <c r="AK594" s="2" t="s">
        <v>3334</v>
      </c>
      <c r="AN594" s="3">
        <v>1</v>
      </c>
      <c r="AO594" s="3">
        <v>0</v>
      </c>
      <c r="AP594" s="3">
        <v>1</v>
      </c>
      <c r="AQ594" s="3">
        <v>1</v>
      </c>
      <c r="AR594" s="3">
        <v>1</v>
      </c>
      <c r="AS594" s="3">
        <v>0</v>
      </c>
      <c r="AT594" s="3">
        <v>0</v>
      </c>
      <c r="AU594" s="3">
        <v>0</v>
      </c>
      <c r="AV594" s="3">
        <v>1</v>
      </c>
      <c r="AW594" s="3">
        <v>0</v>
      </c>
      <c r="AX594" s="3">
        <v>1</v>
      </c>
      <c r="AY594" s="3">
        <v>0</v>
      </c>
      <c r="AZ594" s="3">
        <v>0</v>
      </c>
      <c r="BA594" s="3">
        <v>0</v>
      </c>
      <c r="BB594" s="3">
        <v>0</v>
      </c>
      <c r="BC594" s="3">
        <v>1</v>
      </c>
      <c r="BD594" s="3">
        <v>0</v>
      </c>
      <c r="BE594" s="3">
        <v>0</v>
      </c>
      <c r="BG594" s="2" t="s">
        <v>91</v>
      </c>
      <c r="BH594" s="3">
        <v>3</v>
      </c>
      <c r="BJ594" s="2" t="s">
        <v>96</v>
      </c>
      <c r="BL594" s="2" t="s">
        <v>123</v>
      </c>
      <c r="BM594" s="2" t="s">
        <v>123</v>
      </c>
      <c r="BN594" s="2" t="s">
        <v>124</v>
      </c>
      <c r="BO594" s="2" t="s">
        <v>125</v>
      </c>
      <c r="BP594" s="2" t="s">
        <v>242</v>
      </c>
      <c r="BQ594" s="2" t="s">
        <v>124</v>
      </c>
      <c r="BR594" s="2" t="s">
        <v>126</v>
      </c>
      <c r="BS594" s="2" t="s">
        <v>127</v>
      </c>
      <c r="BT594" s="2" t="s">
        <v>174</v>
      </c>
      <c r="BU594" s="2" t="s">
        <v>175</v>
      </c>
      <c r="BV594" s="2" t="s">
        <v>150</v>
      </c>
      <c r="BW594" s="2" t="s">
        <v>151</v>
      </c>
      <c r="BX594" s="2" t="s">
        <v>91</v>
      </c>
      <c r="BY59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94" s="2">
        <f>IF(AND(Cases[[#This Row],[Priority Level]]&gt;=3,Cases[[#This Row],[System Role]]&lt;&gt;"Productive"),1,0)</f>
        <v>0</v>
      </c>
      <c r="CA594" s="2">
        <f>IFERROR(IF(Cases[[#This Row],[Days at Customer]]&gt;MAX(1,Cases[[#This Row],[Days at SAP]]*2),1,0),0)</f>
        <v>1</v>
      </c>
      <c r="CB594" s="2">
        <f>IF(AND(Cases[[#This Row],[Initial Component]]&lt;&gt;"",Cases[[#This Row],[Component]]&lt;&gt;"",Cases[[#This Row],[Initial Component]]&lt;&gt;Cases[[#This Row],[Component]]),1,0)</f>
        <v>0</v>
      </c>
      <c r="CC594" s="2">
        <f>IF(OR(Cases[[#This Row],[Is Reopened]]="X",Cases[[#This Row],[No. of Reopenings]]&gt;0),1,0)</f>
        <v>0</v>
      </c>
      <c r="CD594" s="2">
        <f>IF(Cases[[#This Row],[Confirmation Type]]="Automatic",1,0)</f>
        <v>1</v>
      </c>
      <c r="CE59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595" spans="1:83" x14ac:dyDescent="0.2">
      <c r="A595" s="1" t="s">
        <v>3335</v>
      </c>
      <c r="B595" s="2" t="s">
        <v>3336</v>
      </c>
      <c r="C595" s="2" t="s">
        <v>519</v>
      </c>
      <c r="D595" s="2" t="s">
        <v>238</v>
      </c>
      <c r="E595" s="3">
        <v>1.29</v>
      </c>
      <c r="F595" s="3">
        <v>21.47</v>
      </c>
      <c r="G595" s="2" t="s">
        <v>113</v>
      </c>
      <c r="H595" s="2" t="s">
        <v>113</v>
      </c>
      <c r="I595" s="3" t="s">
        <v>114</v>
      </c>
      <c r="J595" s="3">
        <v>202</v>
      </c>
      <c r="K595" s="2" t="s">
        <v>3337</v>
      </c>
      <c r="L595" s="4">
        <v>46040</v>
      </c>
      <c r="M595" s="4">
        <v>45947</v>
      </c>
      <c r="N595" s="2" t="s">
        <v>2727</v>
      </c>
      <c r="O595" s="2" t="s">
        <v>1805</v>
      </c>
      <c r="P595" s="2" t="s">
        <v>2936</v>
      </c>
      <c r="Q595" s="2" t="s">
        <v>1806</v>
      </c>
      <c r="R595" s="2" t="s">
        <v>521</v>
      </c>
      <c r="S595" s="4">
        <v>45925</v>
      </c>
      <c r="T595" s="2" t="s">
        <v>3264</v>
      </c>
      <c r="U595" s="2" t="s">
        <v>3265</v>
      </c>
      <c r="V595" s="2" t="s">
        <v>3296</v>
      </c>
      <c r="W595" s="2" t="s">
        <v>1806</v>
      </c>
      <c r="X595" s="2" t="s">
        <v>117</v>
      </c>
      <c r="Y595" s="3" t="s">
        <v>118</v>
      </c>
      <c r="Z595" s="3">
        <v>22.76</v>
      </c>
      <c r="AA595" s="2" t="s">
        <v>90</v>
      </c>
      <c r="AB595" s="2" t="s">
        <v>240</v>
      </c>
      <c r="AC595" s="2" t="s">
        <v>237</v>
      </c>
      <c r="AD595" t="str" cm="1">
        <f t="array" ref="AD59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595" s="2" t="s">
        <v>91</v>
      </c>
      <c r="AF595" s="2" t="s">
        <v>92</v>
      </c>
      <c r="AG595" s="2" t="s">
        <v>119</v>
      </c>
      <c r="AH595" s="2" t="s">
        <v>120</v>
      </c>
      <c r="AK595" s="2" t="s">
        <v>3338</v>
      </c>
      <c r="AN595" s="3">
        <v>1</v>
      </c>
      <c r="AO595" s="3">
        <v>0</v>
      </c>
      <c r="AP595" s="3">
        <v>1</v>
      </c>
      <c r="AQ595" s="3">
        <v>1</v>
      </c>
      <c r="AR595" s="3">
        <v>1</v>
      </c>
      <c r="AS595" s="3">
        <v>0</v>
      </c>
      <c r="AT595" s="3">
        <v>0</v>
      </c>
      <c r="AU595" s="3">
        <v>0</v>
      </c>
      <c r="AV595" s="3">
        <v>1</v>
      </c>
      <c r="AW595" s="3">
        <v>0</v>
      </c>
      <c r="AX595" s="3">
        <v>1</v>
      </c>
      <c r="AY595" s="3">
        <v>0</v>
      </c>
      <c r="AZ595" s="3">
        <v>0</v>
      </c>
      <c r="BA595" s="3">
        <v>0</v>
      </c>
      <c r="BB595" s="3">
        <v>0</v>
      </c>
      <c r="BC595" s="3">
        <v>1</v>
      </c>
      <c r="BD595" s="3">
        <v>0</v>
      </c>
      <c r="BE595" s="3">
        <v>0</v>
      </c>
      <c r="BG595" s="2" t="s">
        <v>91</v>
      </c>
      <c r="BH595" s="3">
        <v>3</v>
      </c>
      <c r="BJ595" s="2" t="s">
        <v>96</v>
      </c>
      <c r="BL595" s="2" t="s">
        <v>123</v>
      </c>
      <c r="BM595" s="2" t="s">
        <v>123</v>
      </c>
      <c r="BN595" s="2" t="s">
        <v>124</v>
      </c>
      <c r="BO595" s="2" t="s">
        <v>125</v>
      </c>
      <c r="BP595" s="2" t="s">
        <v>242</v>
      </c>
      <c r="BQ595" s="2" t="s">
        <v>124</v>
      </c>
      <c r="BR595" s="2" t="s">
        <v>126</v>
      </c>
      <c r="BS595" s="2" t="s">
        <v>127</v>
      </c>
      <c r="BT595" s="2" t="s">
        <v>207</v>
      </c>
      <c r="BU595" s="2" t="s">
        <v>208</v>
      </c>
      <c r="BV595" s="2" t="s">
        <v>150</v>
      </c>
      <c r="BW595" s="2" t="s">
        <v>151</v>
      </c>
      <c r="BX595" s="2" t="s">
        <v>91</v>
      </c>
      <c r="BY59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95" s="2">
        <f>IF(AND(Cases[[#This Row],[Priority Level]]&gt;=3,Cases[[#This Row],[System Role]]&lt;&gt;"Productive"),1,0)</f>
        <v>0</v>
      </c>
      <c r="CA595" s="2">
        <f>IFERROR(IF(Cases[[#This Row],[Days at Customer]]&gt;MAX(1,Cases[[#This Row],[Days at SAP]]*2),1,0),0)</f>
        <v>1</v>
      </c>
      <c r="CB595" s="2">
        <f>IF(AND(Cases[[#This Row],[Initial Component]]&lt;&gt;"",Cases[[#This Row],[Component]]&lt;&gt;"",Cases[[#This Row],[Initial Component]]&lt;&gt;Cases[[#This Row],[Component]]),1,0)</f>
        <v>1</v>
      </c>
      <c r="CC595" s="2">
        <f>IF(OR(Cases[[#This Row],[Is Reopened]]="X",Cases[[#This Row],[No. of Reopenings]]&gt;0),1,0)</f>
        <v>0</v>
      </c>
      <c r="CD595" s="2">
        <f>IF(Cases[[#This Row],[Confirmation Type]]="Automatic",1,0)</f>
        <v>1</v>
      </c>
      <c r="CE595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96" spans="1:83" x14ac:dyDescent="0.2">
      <c r="A596" s="1" t="s">
        <v>3339</v>
      </c>
      <c r="B596" s="2" t="s">
        <v>3340</v>
      </c>
      <c r="C596" s="2" t="s">
        <v>1556</v>
      </c>
      <c r="D596" s="2" t="s">
        <v>78</v>
      </c>
      <c r="E596" s="3">
        <v>94.73</v>
      </c>
      <c r="F596" s="3">
        <v>45.18</v>
      </c>
      <c r="G596" s="2" t="s">
        <v>79</v>
      </c>
      <c r="H596" s="2" t="s">
        <v>290</v>
      </c>
      <c r="I596" s="3" t="s">
        <v>114</v>
      </c>
      <c r="J596" s="3">
        <v>202</v>
      </c>
      <c r="K596" s="2" t="s">
        <v>3341</v>
      </c>
      <c r="L596" s="4">
        <v>46068</v>
      </c>
      <c r="M596" s="4">
        <v>46065</v>
      </c>
      <c r="N596" s="2" t="s">
        <v>677</v>
      </c>
      <c r="O596" s="2" t="s">
        <v>181</v>
      </c>
      <c r="P596" s="2" t="s">
        <v>1079</v>
      </c>
      <c r="Q596" s="2" t="s">
        <v>86</v>
      </c>
      <c r="R596" s="2" t="s">
        <v>1555</v>
      </c>
      <c r="S596" s="4">
        <v>45925</v>
      </c>
      <c r="T596" s="2" t="s">
        <v>3264</v>
      </c>
      <c r="U596" s="2" t="s">
        <v>3265</v>
      </c>
      <c r="V596" s="2" t="s">
        <v>3296</v>
      </c>
      <c r="W596" s="2" t="s">
        <v>1806</v>
      </c>
      <c r="X596" s="2" t="s">
        <v>117</v>
      </c>
      <c r="Y596" s="3" t="s">
        <v>118</v>
      </c>
      <c r="Z596" s="3">
        <v>139.91</v>
      </c>
      <c r="AA596" s="2" t="s">
        <v>90</v>
      </c>
      <c r="AB596" s="2" t="s">
        <v>1555</v>
      </c>
      <c r="AC596" s="2" t="s">
        <v>1556</v>
      </c>
      <c r="AD596" t="str" cm="1">
        <f t="array" ref="AD59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596" s="2" t="s">
        <v>139</v>
      </c>
      <c r="AF596" s="2" t="s">
        <v>92</v>
      </c>
      <c r="AG596" s="2" t="s">
        <v>119</v>
      </c>
      <c r="AH596" s="2" t="s">
        <v>120</v>
      </c>
      <c r="AJ596" s="2" t="s">
        <v>122</v>
      </c>
      <c r="AK596" s="2" t="s">
        <v>3342</v>
      </c>
      <c r="AN596" s="3">
        <v>1</v>
      </c>
      <c r="AO596" s="3">
        <v>0</v>
      </c>
      <c r="AP596" s="3">
        <v>1</v>
      </c>
      <c r="AQ596" s="3">
        <v>1</v>
      </c>
      <c r="AR596" s="3">
        <v>0</v>
      </c>
      <c r="AS596" s="3">
        <v>0</v>
      </c>
      <c r="AT596" s="3">
        <v>1</v>
      </c>
      <c r="AU596" s="3">
        <v>0</v>
      </c>
      <c r="AV596" s="3">
        <v>0</v>
      </c>
      <c r="AW596" s="3">
        <v>1</v>
      </c>
      <c r="AX596" s="3">
        <v>0</v>
      </c>
      <c r="AY596" s="3">
        <v>0</v>
      </c>
      <c r="AZ596" s="3">
        <v>1</v>
      </c>
      <c r="BA596" s="3">
        <v>0</v>
      </c>
      <c r="BB596" s="3">
        <v>0</v>
      </c>
      <c r="BC596" s="3">
        <v>1</v>
      </c>
      <c r="BD596" s="3">
        <v>1</v>
      </c>
      <c r="BE596" s="3">
        <v>0</v>
      </c>
      <c r="BG596" s="2" t="s">
        <v>139</v>
      </c>
      <c r="BH596" s="3">
        <v>2</v>
      </c>
      <c r="BJ596" s="2" t="s">
        <v>96</v>
      </c>
      <c r="BL596" s="2" t="s">
        <v>123</v>
      </c>
      <c r="BM596" s="2" t="s">
        <v>123</v>
      </c>
      <c r="BN596" s="2" t="s">
        <v>124</v>
      </c>
      <c r="BO596" s="2" t="s">
        <v>125</v>
      </c>
      <c r="BP596" s="2" t="s">
        <v>101</v>
      </c>
      <c r="BQ596" s="2" t="s">
        <v>124</v>
      </c>
      <c r="BR596" s="2" t="s">
        <v>126</v>
      </c>
      <c r="BS596" s="2" t="s">
        <v>127</v>
      </c>
      <c r="BT596" s="2" t="s">
        <v>174</v>
      </c>
      <c r="BU596" s="2" t="s">
        <v>175</v>
      </c>
      <c r="BV596" s="2" t="s">
        <v>150</v>
      </c>
      <c r="BW596" s="2" t="s">
        <v>151</v>
      </c>
      <c r="BX596" s="2" t="s">
        <v>139</v>
      </c>
      <c r="BY59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96" s="2">
        <f>IF(AND(Cases[[#This Row],[Priority Level]]&gt;=3,Cases[[#This Row],[System Role]]&lt;&gt;"Productive"),1,0)</f>
        <v>0</v>
      </c>
      <c r="CA596" s="2">
        <f>IFERROR(IF(Cases[[#This Row],[Days at Customer]]&gt;MAX(1,Cases[[#This Row],[Days at SAP]]*2),1,0),0)</f>
        <v>0</v>
      </c>
      <c r="CB596" s="2">
        <f>IF(AND(Cases[[#This Row],[Initial Component]]&lt;&gt;"",Cases[[#This Row],[Component]]&lt;&gt;"",Cases[[#This Row],[Initial Component]]&lt;&gt;Cases[[#This Row],[Component]]),1,0)</f>
        <v>0</v>
      </c>
      <c r="CC596" s="2">
        <f>IF(OR(Cases[[#This Row],[Is Reopened]]="X",Cases[[#This Row],[No. of Reopenings]]&gt;0),1,0)</f>
        <v>1</v>
      </c>
      <c r="CD596" s="2">
        <f>IF(Cases[[#This Row],[Confirmation Type]]="Automatic",1,0)</f>
        <v>0</v>
      </c>
      <c r="CE59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97" spans="1:83" x14ac:dyDescent="0.2">
      <c r="A597" s="1" t="s">
        <v>715</v>
      </c>
      <c r="B597" s="2" t="s">
        <v>716</v>
      </c>
      <c r="C597" s="2" t="s">
        <v>111</v>
      </c>
      <c r="D597" s="2" t="s">
        <v>238</v>
      </c>
      <c r="E597" s="3">
        <v>0</v>
      </c>
      <c r="F597" s="3">
        <v>30.6</v>
      </c>
      <c r="G597" s="2" t="s">
        <v>112</v>
      </c>
      <c r="H597" s="2" t="s">
        <v>113</v>
      </c>
      <c r="I597" s="3" t="s">
        <v>114</v>
      </c>
      <c r="J597" s="3">
        <v>48</v>
      </c>
      <c r="K597" s="2" t="s">
        <v>717</v>
      </c>
      <c r="L597" s="4">
        <v>46117</v>
      </c>
      <c r="M597" s="4">
        <v>46116</v>
      </c>
      <c r="N597" s="2" t="s">
        <v>83</v>
      </c>
      <c r="O597" s="2" t="s">
        <v>84</v>
      </c>
      <c r="P597" s="2" t="s">
        <v>136</v>
      </c>
      <c r="Q597" s="2" t="s">
        <v>86</v>
      </c>
      <c r="R597" s="2" t="s">
        <v>116</v>
      </c>
      <c r="S597" s="4">
        <v>46079</v>
      </c>
      <c r="T597" s="2" t="s">
        <v>677</v>
      </c>
      <c r="U597" s="2" t="s">
        <v>181</v>
      </c>
      <c r="V597" s="2" t="s">
        <v>678</v>
      </c>
      <c r="W597" s="2" t="s">
        <v>86</v>
      </c>
      <c r="X597" s="2" t="s">
        <v>117</v>
      </c>
      <c r="Y597" s="3" t="s">
        <v>118</v>
      </c>
      <c r="Z597" s="3">
        <v>30.6</v>
      </c>
      <c r="AA597" s="2" t="s">
        <v>90</v>
      </c>
      <c r="AB597" s="2" t="s">
        <v>205</v>
      </c>
      <c r="AC597" s="2" t="s">
        <v>203</v>
      </c>
      <c r="AD597" t="str" cm="1">
        <f t="array" ref="AD59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597" s="2" t="s">
        <v>182</v>
      </c>
      <c r="AF597" s="2" t="s">
        <v>92</v>
      </c>
      <c r="AG597" s="2" t="s">
        <v>119</v>
      </c>
      <c r="AH597" s="2" t="s">
        <v>120</v>
      </c>
      <c r="AK597" s="2" t="s">
        <v>718</v>
      </c>
      <c r="AN597" s="3">
        <v>1</v>
      </c>
      <c r="AO597" s="3">
        <v>1</v>
      </c>
      <c r="AP597" s="3">
        <v>1</v>
      </c>
      <c r="AQ597" s="3">
        <v>1</v>
      </c>
      <c r="AR597" s="3">
        <v>1</v>
      </c>
      <c r="AS597" s="3">
        <v>0</v>
      </c>
      <c r="AT597" s="3">
        <v>0</v>
      </c>
      <c r="AU597" s="3">
        <v>0</v>
      </c>
      <c r="AV597" s="3">
        <v>1</v>
      </c>
      <c r="AW597" s="3">
        <v>0</v>
      </c>
      <c r="AX597" s="3">
        <v>1</v>
      </c>
      <c r="AY597" s="3">
        <v>0</v>
      </c>
      <c r="AZ597" s="3">
        <v>0</v>
      </c>
      <c r="BA597" s="3">
        <v>0</v>
      </c>
      <c r="BB597" s="3">
        <v>0</v>
      </c>
      <c r="BC597" s="3">
        <v>1</v>
      </c>
      <c r="BD597" s="3">
        <v>0</v>
      </c>
      <c r="BE597" s="3">
        <v>0</v>
      </c>
      <c r="BG597" s="2" t="s">
        <v>91</v>
      </c>
      <c r="BH597" s="3">
        <v>3</v>
      </c>
      <c r="BI597" s="2" t="s">
        <v>122</v>
      </c>
      <c r="BJ597" s="2" t="s">
        <v>96</v>
      </c>
      <c r="BL597" s="2" t="s">
        <v>123</v>
      </c>
      <c r="BM597" s="2" t="s">
        <v>123</v>
      </c>
      <c r="BN597" s="2" t="s">
        <v>124</v>
      </c>
      <c r="BO597" s="2" t="s">
        <v>125</v>
      </c>
      <c r="BP597" s="2" t="s">
        <v>242</v>
      </c>
      <c r="BQ597" s="2" t="s">
        <v>124</v>
      </c>
      <c r="BR597" s="2" t="s">
        <v>126</v>
      </c>
      <c r="BS597" s="2" t="s">
        <v>127</v>
      </c>
      <c r="BT597" s="2" t="s">
        <v>207</v>
      </c>
      <c r="BU597" s="2" t="s">
        <v>208</v>
      </c>
      <c r="BV597" s="2" t="s">
        <v>150</v>
      </c>
      <c r="BW597" s="2" t="s">
        <v>151</v>
      </c>
      <c r="BX597" s="2" t="s">
        <v>182</v>
      </c>
      <c r="BY59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97" s="2">
        <f>IF(AND(Cases[[#This Row],[Priority Level]]&gt;=3,Cases[[#This Row],[System Role]]&lt;&gt;"Productive"),1,0)</f>
        <v>0</v>
      </c>
      <c r="CA597" s="2">
        <f>IFERROR(IF(Cases[[#This Row],[Days at Customer]]&gt;MAX(1,Cases[[#This Row],[Days at SAP]]*2),1,0),0)</f>
        <v>1</v>
      </c>
      <c r="CB597" s="2">
        <f>IF(AND(Cases[[#This Row],[Initial Component]]&lt;&gt;"",Cases[[#This Row],[Component]]&lt;&gt;"",Cases[[#This Row],[Initial Component]]&lt;&gt;Cases[[#This Row],[Component]]),1,0)</f>
        <v>1</v>
      </c>
      <c r="CC597" s="2">
        <f>IF(OR(Cases[[#This Row],[Is Reopened]]="X",Cases[[#This Row],[No. of Reopenings]]&gt;0),1,0)</f>
        <v>0</v>
      </c>
      <c r="CD597" s="2">
        <f>IF(Cases[[#This Row],[Confirmation Type]]="Automatic",1,0)</f>
        <v>1</v>
      </c>
      <c r="CE59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98" spans="1:83" x14ac:dyDescent="0.2">
      <c r="A598" s="1" t="s">
        <v>820</v>
      </c>
      <c r="B598" s="2" t="s">
        <v>821</v>
      </c>
      <c r="C598" s="2" t="s">
        <v>111</v>
      </c>
      <c r="D598" s="2" t="s">
        <v>238</v>
      </c>
      <c r="E598" s="3">
        <v>0</v>
      </c>
      <c r="F598" s="3">
        <v>27.84</v>
      </c>
      <c r="G598" s="2" t="s">
        <v>112</v>
      </c>
      <c r="H598" s="2" t="s">
        <v>113</v>
      </c>
      <c r="I598" s="3" t="s">
        <v>114</v>
      </c>
      <c r="J598" s="3">
        <v>50</v>
      </c>
      <c r="K598" s="2" t="s">
        <v>822</v>
      </c>
      <c r="L598" s="4">
        <v>46117</v>
      </c>
      <c r="M598" s="4">
        <v>46115</v>
      </c>
      <c r="N598" s="2" t="s">
        <v>83</v>
      </c>
      <c r="O598" s="2" t="s">
        <v>84</v>
      </c>
      <c r="P598" s="2" t="s">
        <v>136</v>
      </c>
      <c r="Q598" s="2" t="s">
        <v>86</v>
      </c>
      <c r="R598" s="2" t="s">
        <v>116</v>
      </c>
      <c r="S598" s="4">
        <v>46077</v>
      </c>
      <c r="T598" s="2" t="s">
        <v>677</v>
      </c>
      <c r="U598" s="2" t="s">
        <v>181</v>
      </c>
      <c r="V598" s="2" t="s">
        <v>678</v>
      </c>
      <c r="W598" s="2" t="s">
        <v>86</v>
      </c>
      <c r="X598" s="2" t="s">
        <v>117</v>
      </c>
      <c r="Y598" s="3" t="s">
        <v>118</v>
      </c>
      <c r="Z598" s="3">
        <v>27.84</v>
      </c>
      <c r="AA598" s="2" t="s">
        <v>90</v>
      </c>
      <c r="AB598" s="2" t="s">
        <v>205</v>
      </c>
      <c r="AC598" s="2" t="s">
        <v>203</v>
      </c>
      <c r="AD598" t="str" cm="1">
        <f t="array" ref="AD59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598" s="2" t="s">
        <v>91</v>
      </c>
      <c r="AF598" s="2" t="s">
        <v>92</v>
      </c>
      <c r="AG598" s="2" t="s">
        <v>119</v>
      </c>
      <c r="AH598" s="2" t="s">
        <v>120</v>
      </c>
      <c r="AK598" s="2" t="s">
        <v>823</v>
      </c>
      <c r="AN598" s="3">
        <v>1</v>
      </c>
      <c r="AO598" s="3">
        <v>1</v>
      </c>
      <c r="AP598" s="3">
        <v>1</v>
      </c>
      <c r="AQ598" s="3">
        <v>1</v>
      </c>
      <c r="AR598" s="3">
        <v>1</v>
      </c>
      <c r="AS598" s="3">
        <v>0</v>
      </c>
      <c r="AT598" s="3">
        <v>0</v>
      </c>
      <c r="AU598" s="3">
        <v>0</v>
      </c>
      <c r="AV598" s="3">
        <v>1</v>
      </c>
      <c r="AW598" s="3">
        <v>0</v>
      </c>
      <c r="AX598" s="3">
        <v>1</v>
      </c>
      <c r="AY598" s="3">
        <v>0</v>
      </c>
      <c r="AZ598" s="3">
        <v>0</v>
      </c>
      <c r="BA598" s="3">
        <v>0</v>
      </c>
      <c r="BB598" s="3">
        <v>0</v>
      </c>
      <c r="BC598" s="3">
        <v>1</v>
      </c>
      <c r="BD598" s="3">
        <v>0</v>
      </c>
      <c r="BE598" s="3">
        <v>0</v>
      </c>
      <c r="BG598" s="2" t="s">
        <v>91</v>
      </c>
      <c r="BH598" s="3">
        <v>3</v>
      </c>
      <c r="BI598" s="2" t="s">
        <v>122</v>
      </c>
      <c r="BJ598" s="2" t="s">
        <v>96</v>
      </c>
      <c r="BL598" s="2" t="s">
        <v>123</v>
      </c>
      <c r="BM598" s="2" t="s">
        <v>123</v>
      </c>
      <c r="BN598" s="2" t="s">
        <v>124</v>
      </c>
      <c r="BO598" s="2" t="s">
        <v>125</v>
      </c>
      <c r="BP598" s="2" t="s">
        <v>242</v>
      </c>
      <c r="BQ598" s="2" t="s">
        <v>124</v>
      </c>
      <c r="BR598" s="2" t="s">
        <v>126</v>
      </c>
      <c r="BS598" s="2" t="s">
        <v>127</v>
      </c>
      <c r="BT598" s="2" t="s">
        <v>207</v>
      </c>
      <c r="BU598" s="2" t="s">
        <v>208</v>
      </c>
      <c r="BV598" s="2" t="s">
        <v>150</v>
      </c>
      <c r="BW598" s="2" t="s">
        <v>151</v>
      </c>
      <c r="BX598" s="2" t="s">
        <v>91</v>
      </c>
      <c r="BY59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598" s="2">
        <f>IF(AND(Cases[[#This Row],[Priority Level]]&gt;=3,Cases[[#This Row],[System Role]]&lt;&gt;"Productive"),1,0)</f>
        <v>0</v>
      </c>
      <c r="CA598" s="2">
        <f>IFERROR(IF(Cases[[#This Row],[Days at Customer]]&gt;MAX(1,Cases[[#This Row],[Days at SAP]]*2),1,0),0)</f>
        <v>1</v>
      </c>
      <c r="CB598" s="2">
        <f>IF(AND(Cases[[#This Row],[Initial Component]]&lt;&gt;"",Cases[[#This Row],[Component]]&lt;&gt;"",Cases[[#This Row],[Initial Component]]&lt;&gt;Cases[[#This Row],[Component]]),1,0)</f>
        <v>1</v>
      </c>
      <c r="CC598" s="2">
        <f>IF(OR(Cases[[#This Row],[Is Reopened]]="X",Cases[[#This Row],[No. of Reopenings]]&gt;0),1,0)</f>
        <v>0</v>
      </c>
      <c r="CD598" s="2">
        <f>IF(Cases[[#This Row],[Confirmation Type]]="Automatic",1,0)</f>
        <v>1</v>
      </c>
      <c r="CE598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599" spans="1:83" x14ac:dyDescent="0.2">
      <c r="A599" s="1" t="s">
        <v>3351</v>
      </c>
      <c r="B599" s="2" t="s">
        <v>3352</v>
      </c>
      <c r="C599" s="2" t="s">
        <v>406</v>
      </c>
      <c r="D599" s="2" t="s">
        <v>238</v>
      </c>
      <c r="E599" s="3">
        <v>7.17</v>
      </c>
      <c r="F599" s="3">
        <v>21.28</v>
      </c>
      <c r="G599" s="2" t="s">
        <v>79</v>
      </c>
      <c r="H599" s="2" t="s">
        <v>178</v>
      </c>
      <c r="I599" s="3" t="s">
        <v>114</v>
      </c>
      <c r="J599" s="3">
        <v>203</v>
      </c>
      <c r="K599" s="2" t="s">
        <v>3353</v>
      </c>
      <c r="L599" s="4">
        <v>46047</v>
      </c>
      <c r="M599" s="4">
        <v>45952</v>
      </c>
      <c r="N599" s="2" t="s">
        <v>2727</v>
      </c>
      <c r="O599" s="2" t="s">
        <v>1805</v>
      </c>
      <c r="P599" s="2" t="s">
        <v>2887</v>
      </c>
      <c r="Q599" s="2" t="s">
        <v>1806</v>
      </c>
      <c r="R599" s="2" t="s">
        <v>408</v>
      </c>
      <c r="S599" s="4">
        <v>45924</v>
      </c>
      <c r="T599" s="2" t="s">
        <v>3264</v>
      </c>
      <c r="U599" s="2" t="s">
        <v>3265</v>
      </c>
      <c r="V599" s="2" t="s">
        <v>3296</v>
      </c>
      <c r="W599" s="2" t="s">
        <v>1806</v>
      </c>
      <c r="X599" s="2" t="s">
        <v>117</v>
      </c>
      <c r="Y599" s="3" t="s">
        <v>118</v>
      </c>
      <c r="Z599" s="3">
        <v>28.46</v>
      </c>
      <c r="AA599" s="2" t="s">
        <v>90</v>
      </c>
      <c r="AB599" s="2" t="s">
        <v>408</v>
      </c>
      <c r="AC599" s="2" t="s">
        <v>406</v>
      </c>
      <c r="AD599" t="str" cm="1">
        <f t="array" ref="AD59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599" s="2" t="s">
        <v>139</v>
      </c>
      <c r="AF599" s="2" t="s">
        <v>92</v>
      </c>
      <c r="AG599" s="2" t="s">
        <v>119</v>
      </c>
      <c r="AH599" s="2" t="s">
        <v>120</v>
      </c>
      <c r="AK599" s="2" t="s">
        <v>3354</v>
      </c>
      <c r="AN599" s="3">
        <v>1</v>
      </c>
      <c r="AO599" s="3">
        <v>0</v>
      </c>
      <c r="AP599" s="3">
        <v>1</v>
      </c>
      <c r="AQ599" s="3">
        <v>1</v>
      </c>
      <c r="AR599" s="3">
        <v>0</v>
      </c>
      <c r="AS599" s="3">
        <v>0</v>
      </c>
      <c r="AT599" s="3">
        <v>1</v>
      </c>
      <c r="AU599" s="3">
        <v>0</v>
      </c>
      <c r="AV599" s="3">
        <v>1</v>
      </c>
      <c r="AW599" s="3">
        <v>0</v>
      </c>
      <c r="AX599" s="3">
        <v>0</v>
      </c>
      <c r="AY599" s="3">
        <v>0</v>
      </c>
      <c r="AZ599" s="3">
        <v>1</v>
      </c>
      <c r="BA599" s="3">
        <v>1</v>
      </c>
      <c r="BB599" s="3">
        <v>0</v>
      </c>
      <c r="BC599" s="3">
        <v>0</v>
      </c>
      <c r="BD599" s="3">
        <v>0</v>
      </c>
      <c r="BE599" s="3">
        <v>0</v>
      </c>
      <c r="BG599" s="2" t="s">
        <v>139</v>
      </c>
      <c r="BH599" s="3">
        <v>2</v>
      </c>
      <c r="BJ599" s="2" t="s">
        <v>96</v>
      </c>
      <c r="BL599" s="2" t="s">
        <v>123</v>
      </c>
      <c r="BM599" s="2" t="s">
        <v>123</v>
      </c>
      <c r="BN599" s="2" t="s">
        <v>124</v>
      </c>
      <c r="BO599" s="2" t="s">
        <v>125</v>
      </c>
      <c r="BP599" s="2" t="s">
        <v>242</v>
      </c>
      <c r="BQ599" s="2" t="s">
        <v>124</v>
      </c>
      <c r="BR599" s="2" t="s">
        <v>126</v>
      </c>
      <c r="BS599" s="2" t="s">
        <v>127</v>
      </c>
      <c r="BT599" s="2" t="s">
        <v>199</v>
      </c>
      <c r="BU599" s="2" t="s">
        <v>200</v>
      </c>
      <c r="BV599" s="2" t="s">
        <v>166</v>
      </c>
      <c r="BW599" s="2" t="s">
        <v>167</v>
      </c>
      <c r="BX599" s="2" t="s">
        <v>139</v>
      </c>
      <c r="BY59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599" s="2">
        <f>IF(AND(Cases[[#This Row],[Priority Level]]&gt;=3,Cases[[#This Row],[System Role]]&lt;&gt;"Productive"),1,0)</f>
        <v>0</v>
      </c>
      <c r="CA599" s="2">
        <f>IFERROR(IF(Cases[[#This Row],[Days at Customer]]&gt;MAX(1,Cases[[#This Row],[Days at SAP]]*2),1,0),0)</f>
        <v>1</v>
      </c>
      <c r="CB599" s="2">
        <f>IF(AND(Cases[[#This Row],[Initial Component]]&lt;&gt;"",Cases[[#This Row],[Component]]&lt;&gt;"",Cases[[#This Row],[Initial Component]]&lt;&gt;Cases[[#This Row],[Component]]),1,0)</f>
        <v>0</v>
      </c>
      <c r="CC599" s="2">
        <f>IF(OR(Cases[[#This Row],[Is Reopened]]="X",Cases[[#This Row],[No. of Reopenings]]&gt;0),1,0)</f>
        <v>0</v>
      </c>
      <c r="CD599" s="2">
        <f>IF(Cases[[#This Row],[Confirmation Type]]="Automatic",1,0)</f>
        <v>1</v>
      </c>
      <c r="CE599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00" spans="1:83" x14ac:dyDescent="0.2">
      <c r="A600" s="1" t="s">
        <v>1006</v>
      </c>
      <c r="B600" s="2" t="s">
        <v>1007</v>
      </c>
      <c r="C600" s="2" t="s">
        <v>1008</v>
      </c>
      <c r="D600" s="2" t="s">
        <v>238</v>
      </c>
      <c r="E600" s="3">
        <v>7.98</v>
      </c>
      <c r="F600" s="3">
        <v>33.799999999999997</v>
      </c>
      <c r="G600" s="2" t="s">
        <v>79</v>
      </c>
      <c r="H600" s="2" t="s">
        <v>178</v>
      </c>
      <c r="I600" s="3" t="s">
        <v>114</v>
      </c>
      <c r="J600" s="3">
        <v>56</v>
      </c>
      <c r="K600" s="2" t="s">
        <v>1009</v>
      </c>
      <c r="L600" s="4">
        <v>46117</v>
      </c>
      <c r="M600" s="4">
        <v>46113</v>
      </c>
      <c r="N600" s="2" t="s">
        <v>83</v>
      </c>
      <c r="O600" s="2" t="s">
        <v>84</v>
      </c>
      <c r="P600" s="2" t="s">
        <v>136</v>
      </c>
      <c r="Q600" s="2" t="s">
        <v>86</v>
      </c>
      <c r="R600" s="2" t="s">
        <v>1010</v>
      </c>
      <c r="S600" s="4">
        <v>46071</v>
      </c>
      <c r="T600" s="2" t="s">
        <v>677</v>
      </c>
      <c r="U600" s="2" t="s">
        <v>181</v>
      </c>
      <c r="V600" s="2" t="s">
        <v>895</v>
      </c>
      <c r="W600" s="2" t="s">
        <v>86</v>
      </c>
      <c r="X600" s="2" t="s">
        <v>117</v>
      </c>
      <c r="Y600" s="3" t="s">
        <v>118</v>
      </c>
      <c r="Z600" s="3">
        <v>41.78</v>
      </c>
      <c r="AA600" s="2" t="s">
        <v>90</v>
      </c>
      <c r="AB600" s="2" t="s">
        <v>310</v>
      </c>
      <c r="AC600" s="2" t="s">
        <v>311</v>
      </c>
      <c r="AD600" t="str" cm="1">
        <f t="array" ref="AD60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600" s="2" t="s">
        <v>139</v>
      </c>
      <c r="AF600" s="2" t="s">
        <v>92</v>
      </c>
      <c r="AG600" s="2" t="s">
        <v>119</v>
      </c>
      <c r="AH600" s="2" t="s">
        <v>120</v>
      </c>
      <c r="AK600" s="2" t="s">
        <v>1011</v>
      </c>
      <c r="AN600" s="3">
        <v>1</v>
      </c>
      <c r="AO600" s="3">
        <v>1</v>
      </c>
      <c r="AP600" s="3">
        <v>1</v>
      </c>
      <c r="AQ600" s="3">
        <v>1</v>
      </c>
      <c r="AR600" s="3">
        <v>0</v>
      </c>
      <c r="AS600" s="3">
        <v>0</v>
      </c>
      <c r="AT600" s="3">
        <v>1</v>
      </c>
      <c r="AU600" s="3">
        <v>0</v>
      </c>
      <c r="AV600" s="3">
        <v>1</v>
      </c>
      <c r="AW600" s="3">
        <v>0</v>
      </c>
      <c r="AX600" s="3">
        <v>0</v>
      </c>
      <c r="AY600" s="3">
        <v>0</v>
      </c>
      <c r="AZ600" s="3">
        <v>1</v>
      </c>
      <c r="BA600" s="3">
        <v>1</v>
      </c>
      <c r="BB600" s="3">
        <v>0</v>
      </c>
      <c r="BC600" s="3">
        <v>0</v>
      </c>
      <c r="BD600" s="3">
        <v>0</v>
      </c>
      <c r="BE600" s="3">
        <v>0</v>
      </c>
      <c r="BG600" s="2" t="s">
        <v>139</v>
      </c>
      <c r="BH600" s="3">
        <v>2</v>
      </c>
      <c r="BJ600" s="2" t="s">
        <v>96</v>
      </c>
      <c r="BL600" s="2" t="s">
        <v>123</v>
      </c>
      <c r="BM600" s="2" t="s">
        <v>123</v>
      </c>
      <c r="BN600" s="2" t="s">
        <v>124</v>
      </c>
      <c r="BO600" s="2" t="s">
        <v>125</v>
      </c>
      <c r="BP600" s="2" t="s">
        <v>242</v>
      </c>
      <c r="BQ600" s="2" t="s">
        <v>124</v>
      </c>
      <c r="BR600" s="2" t="s">
        <v>126</v>
      </c>
      <c r="BS600" s="2" t="s">
        <v>127</v>
      </c>
      <c r="BT600" s="2" t="s">
        <v>199</v>
      </c>
      <c r="BU600" s="2" t="s">
        <v>200</v>
      </c>
      <c r="BV600" s="2" t="s">
        <v>166</v>
      </c>
      <c r="BW600" s="2" t="s">
        <v>167</v>
      </c>
      <c r="BX600" s="2" t="s">
        <v>139</v>
      </c>
      <c r="BY60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00" s="2">
        <f>IF(AND(Cases[[#This Row],[Priority Level]]&gt;=3,Cases[[#This Row],[System Role]]&lt;&gt;"Productive"),1,0)</f>
        <v>0</v>
      </c>
      <c r="CA600" s="2">
        <f>IFERROR(IF(Cases[[#This Row],[Days at Customer]]&gt;MAX(1,Cases[[#This Row],[Days at SAP]]*2),1,0),0)</f>
        <v>1</v>
      </c>
      <c r="CB600" s="2">
        <f>IF(AND(Cases[[#This Row],[Initial Component]]&lt;&gt;"",Cases[[#This Row],[Component]]&lt;&gt;"",Cases[[#This Row],[Initial Component]]&lt;&gt;Cases[[#This Row],[Component]]),1,0)</f>
        <v>1</v>
      </c>
      <c r="CC600" s="2">
        <f>IF(OR(Cases[[#This Row],[Is Reopened]]="X",Cases[[#This Row],[No. of Reopenings]]&gt;0),1,0)</f>
        <v>0</v>
      </c>
      <c r="CD600" s="2">
        <f>IF(Cases[[#This Row],[Confirmation Type]]="Automatic",1,0)</f>
        <v>1</v>
      </c>
      <c r="CE600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601" spans="1:83" x14ac:dyDescent="0.2">
      <c r="A601" s="1" t="s">
        <v>3362</v>
      </c>
      <c r="B601" s="2" t="s">
        <v>3363</v>
      </c>
      <c r="C601" s="2" t="s">
        <v>2908</v>
      </c>
      <c r="D601" s="2" t="s">
        <v>238</v>
      </c>
      <c r="E601" s="3">
        <v>20.03</v>
      </c>
      <c r="F601" s="3">
        <v>22.72</v>
      </c>
      <c r="G601" s="2" t="s">
        <v>79</v>
      </c>
      <c r="H601" s="2" t="s">
        <v>178</v>
      </c>
      <c r="I601" s="3" t="s">
        <v>114</v>
      </c>
      <c r="J601" s="3">
        <v>203</v>
      </c>
      <c r="K601" s="2" t="s">
        <v>3364</v>
      </c>
      <c r="L601" s="4">
        <v>46061</v>
      </c>
      <c r="M601" s="4">
        <v>45967</v>
      </c>
      <c r="N601" s="2" t="s">
        <v>2274</v>
      </c>
      <c r="O601" s="2" t="s">
        <v>1805</v>
      </c>
      <c r="P601" s="2" t="s">
        <v>2583</v>
      </c>
      <c r="Q601" s="2" t="s">
        <v>1806</v>
      </c>
      <c r="R601" s="2" t="s">
        <v>2910</v>
      </c>
      <c r="S601" s="4">
        <v>45924</v>
      </c>
      <c r="T601" s="2" t="s">
        <v>3264</v>
      </c>
      <c r="U601" s="2" t="s">
        <v>3265</v>
      </c>
      <c r="V601" s="2" t="s">
        <v>3296</v>
      </c>
      <c r="W601" s="2" t="s">
        <v>1806</v>
      </c>
      <c r="X601" s="2" t="s">
        <v>117</v>
      </c>
      <c r="Y601" s="3" t="s">
        <v>118</v>
      </c>
      <c r="Z601" s="3">
        <v>42.75</v>
      </c>
      <c r="AA601" s="2" t="s">
        <v>90</v>
      </c>
      <c r="AB601" s="2" t="s">
        <v>1647</v>
      </c>
      <c r="AC601" s="2" t="s">
        <v>1645</v>
      </c>
      <c r="AD601" t="str" cm="1">
        <f t="array" ref="AD60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601" s="2" t="s">
        <v>91</v>
      </c>
      <c r="AF601" s="2" t="s">
        <v>92</v>
      </c>
      <c r="AG601" s="2" t="s">
        <v>119</v>
      </c>
      <c r="AH601" s="2" t="s">
        <v>120</v>
      </c>
      <c r="AK601" s="2" t="s">
        <v>3365</v>
      </c>
      <c r="AN601" s="3">
        <v>1</v>
      </c>
      <c r="AO601" s="3">
        <v>0</v>
      </c>
      <c r="AP601" s="3">
        <v>1</v>
      </c>
      <c r="AQ601" s="3">
        <v>1</v>
      </c>
      <c r="AR601" s="3">
        <v>1</v>
      </c>
      <c r="AS601" s="3">
        <v>0</v>
      </c>
      <c r="AT601" s="3">
        <v>0</v>
      </c>
      <c r="AU601" s="3">
        <v>0</v>
      </c>
      <c r="AV601" s="3">
        <v>1</v>
      </c>
      <c r="AW601" s="3">
        <v>0</v>
      </c>
      <c r="AX601" s="3">
        <v>1</v>
      </c>
      <c r="AY601" s="3">
        <v>0</v>
      </c>
      <c r="AZ601" s="3">
        <v>0</v>
      </c>
      <c r="BA601" s="3">
        <v>0</v>
      </c>
      <c r="BB601" s="3">
        <v>0</v>
      </c>
      <c r="BC601" s="3">
        <v>1</v>
      </c>
      <c r="BD601" s="3">
        <v>0</v>
      </c>
      <c r="BE601" s="3">
        <v>0</v>
      </c>
      <c r="BG601" s="2" t="s">
        <v>91</v>
      </c>
      <c r="BH601" s="3">
        <v>3</v>
      </c>
      <c r="BJ601" s="2" t="s">
        <v>96</v>
      </c>
      <c r="BL601" s="2" t="s">
        <v>123</v>
      </c>
      <c r="BM601" s="2" t="s">
        <v>123</v>
      </c>
      <c r="BN601" s="2" t="s">
        <v>124</v>
      </c>
      <c r="BO601" s="2" t="s">
        <v>125</v>
      </c>
      <c r="BP601" s="2" t="s">
        <v>242</v>
      </c>
      <c r="BQ601" s="2" t="s">
        <v>124</v>
      </c>
      <c r="BR601" s="2" t="s">
        <v>126</v>
      </c>
      <c r="BS601" s="2" t="s">
        <v>127</v>
      </c>
      <c r="BT601" s="2" t="s">
        <v>174</v>
      </c>
      <c r="BU601" s="2" t="s">
        <v>175</v>
      </c>
      <c r="BV601" s="2" t="s">
        <v>150</v>
      </c>
      <c r="BW601" s="2" t="s">
        <v>151</v>
      </c>
      <c r="BX601" s="2" t="s">
        <v>91</v>
      </c>
      <c r="BY60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01" s="2">
        <f>IF(AND(Cases[[#This Row],[Priority Level]]&gt;=3,Cases[[#This Row],[System Role]]&lt;&gt;"Productive"),1,0)</f>
        <v>0</v>
      </c>
      <c r="CA601" s="2">
        <f>IFERROR(IF(Cases[[#This Row],[Days at Customer]]&gt;MAX(1,Cases[[#This Row],[Days at SAP]]*2),1,0),0)</f>
        <v>0</v>
      </c>
      <c r="CB601" s="2">
        <f>IF(AND(Cases[[#This Row],[Initial Component]]&lt;&gt;"",Cases[[#This Row],[Component]]&lt;&gt;"",Cases[[#This Row],[Initial Component]]&lt;&gt;Cases[[#This Row],[Component]]),1,0)</f>
        <v>1</v>
      </c>
      <c r="CC601" s="2">
        <f>IF(OR(Cases[[#This Row],[Is Reopened]]="X",Cases[[#This Row],[No. of Reopenings]]&gt;0),1,0)</f>
        <v>0</v>
      </c>
      <c r="CD601" s="2">
        <f>IF(Cases[[#This Row],[Confirmation Type]]="Automatic",1,0)</f>
        <v>1</v>
      </c>
      <c r="CE601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02" spans="1:83" x14ac:dyDescent="0.2">
      <c r="A602" s="1" t="s">
        <v>3366</v>
      </c>
      <c r="B602" s="2" t="s">
        <v>3367</v>
      </c>
      <c r="C602" s="2" t="s">
        <v>891</v>
      </c>
      <c r="D602" s="2" t="s">
        <v>78</v>
      </c>
      <c r="E602" s="3">
        <v>5.36</v>
      </c>
      <c r="F602" s="3">
        <v>17.899999999999999</v>
      </c>
      <c r="G602" s="2" t="s">
        <v>113</v>
      </c>
      <c r="H602" s="2" t="s">
        <v>113</v>
      </c>
      <c r="I602" s="3" t="s">
        <v>114</v>
      </c>
      <c r="J602" s="3">
        <v>203</v>
      </c>
      <c r="K602" s="2" t="s">
        <v>3368</v>
      </c>
      <c r="L602" s="4">
        <v>46040</v>
      </c>
      <c r="M602" s="4">
        <v>45947</v>
      </c>
      <c r="N602" s="2" t="s">
        <v>2727</v>
      </c>
      <c r="O602" s="2" t="s">
        <v>1805</v>
      </c>
      <c r="P602" s="2" t="s">
        <v>2936</v>
      </c>
      <c r="Q602" s="2" t="s">
        <v>1806</v>
      </c>
      <c r="R602" s="2" t="s">
        <v>894</v>
      </c>
      <c r="S602" s="4">
        <v>45924</v>
      </c>
      <c r="T602" s="2" t="s">
        <v>3264</v>
      </c>
      <c r="U602" s="2" t="s">
        <v>3265</v>
      </c>
      <c r="V602" s="2" t="s">
        <v>3296</v>
      </c>
      <c r="W602" s="2" t="s">
        <v>1806</v>
      </c>
      <c r="X602" s="2" t="s">
        <v>117</v>
      </c>
      <c r="Y602" s="3" t="s">
        <v>118</v>
      </c>
      <c r="Z602" s="3">
        <v>23.26</v>
      </c>
      <c r="AA602" s="2" t="s">
        <v>138</v>
      </c>
      <c r="AB602" s="2" t="s">
        <v>3369</v>
      </c>
      <c r="AC602" s="2" t="s">
        <v>3370</v>
      </c>
      <c r="AD602" t="str" cm="1">
        <f t="array" ref="AD60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602" s="2" t="s">
        <v>158</v>
      </c>
      <c r="AF602" s="2" t="s">
        <v>92</v>
      </c>
      <c r="AG602" s="2" t="s">
        <v>274</v>
      </c>
      <c r="AH602" s="2" t="s">
        <v>275</v>
      </c>
      <c r="AK602" s="2" t="s">
        <v>3371</v>
      </c>
      <c r="AN602" s="3">
        <v>1</v>
      </c>
      <c r="AO602" s="3">
        <v>0</v>
      </c>
      <c r="AP602" s="3">
        <v>1</v>
      </c>
      <c r="AQ602" s="3">
        <v>1</v>
      </c>
      <c r="AR602" s="3">
        <v>0</v>
      </c>
      <c r="AS602" s="3">
        <v>1</v>
      </c>
      <c r="AT602" s="3">
        <v>0</v>
      </c>
      <c r="AU602" s="3">
        <v>0</v>
      </c>
      <c r="AV602" s="3">
        <v>0</v>
      </c>
      <c r="AW602" s="3">
        <v>1</v>
      </c>
      <c r="AX602" s="3">
        <v>0</v>
      </c>
      <c r="AY602" s="3">
        <v>1</v>
      </c>
      <c r="AZ602" s="3">
        <v>0</v>
      </c>
      <c r="BA602" s="3">
        <v>1</v>
      </c>
      <c r="BB602" s="3">
        <v>0</v>
      </c>
      <c r="BC602" s="3">
        <v>0</v>
      </c>
      <c r="BD602" s="3">
        <v>0</v>
      </c>
      <c r="BE602" s="3">
        <v>0</v>
      </c>
      <c r="BG602" s="2" t="s">
        <v>158</v>
      </c>
      <c r="BH602" s="3">
        <v>1</v>
      </c>
      <c r="BJ602" s="2" t="s">
        <v>96</v>
      </c>
      <c r="BL602" s="2" t="s">
        <v>277</v>
      </c>
      <c r="BM602" s="2" t="s">
        <v>278</v>
      </c>
      <c r="BN602" s="2" t="s">
        <v>279</v>
      </c>
      <c r="BO602" s="2" t="s">
        <v>280</v>
      </c>
      <c r="BP602" s="2" t="s">
        <v>101</v>
      </c>
      <c r="BQ602" s="2" t="s">
        <v>277</v>
      </c>
      <c r="BR602" s="2" t="s">
        <v>281</v>
      </c>
      <c r="BS602" s="2" t="s">
        <v>450</v>
      </c>
      <c r="BT602" s="2" t="s">
        <v>148</v>
      </c>
      <c r="BU602" s="2" t="s">
        <v>3372</v>
      </c>
      <c r="BV602" s="2" t="s">
        <v>107</v>
      </c>
      <c r="BW602" s="2" t="s">
        <v>108</v>
      </c>
      <c r="BX602" s="2" t="s">
        <v>158</v>
      </c>
      <c r="BY60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02" s="2">
        <f>IF(AND(Cases[[#This Row],[Priority Level]]&gt;=3,Cases[[#This Row],[System Role]]&lt;&gt;"Productive"),1,0)</f>
        <v>0</v>
      </c>
      <c r="CA602" s="2">
        <f>IFERROR(IF(Cases[[#This Row],[Days at Customer]]&gt;MAX(1,Cases[[#This Row],[Days at SAP]]*2),1,0),0)</f>
        <v>1</v>
      </c>
      <c r="CB602" s="2">
        <f>IF(AND(Cases[[#This Row],[Initial Component]]&lt;&gt;"",Cases[[#This Row],[Component]]&lt;&gt;"",Cases[[#This Row],[Initial Component]]&lt;&gt;Cases[[#This Row],[Component]]),1,0)</f>
        <v>1</v>
      </c>
      <c r="CC602" s="2">
        <f>IF(OR(Cases[[#This Row],[Is Reopened]]="X",Cases[[#This Row],[No. of Reopenings]]&gt;0),1,0)</f>
        <v>0</v>
      </c>
      <c r="CD602" s="2">
        <f>IF(Cases[[#This Row],[Confirmation Type]]="Automatic",1,0)</f>
        <v>0</v>
      </c>
      <c r="CE602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03" spans="1:83" x14ac:dyDescent="0.2">
      <c r="A603" s="1" t="s">
        <v>3373</v>
      </c>
      <c r="B603" s="2" t="s">
        <v>3374</v>
      </c>
      <c r="C603" s="2" t="s">
        <v>519</v>
      </c>
      <c r="D603" s="2" t="s">
        <v>238</v>
      </c>
      <c r="E603" s="3">
        <v>8.75</v>
      </c>
      <c r="F603" s="3">
        <v>21.67</v>
      </c>
      <c r="G603" s="2" t="s">
        <v>113</v>
      </c>
      <c r="H603" s="2" t="s">
        <v>113</v>
      </c>
      <c r="I603" s="3" t="s">
        <v>114</v>
      </c>
      <c r="J603" s="3">
        <v>203</v>
      </c>
      <c r="K603" s="2" t="s">
        <v>3375</v>
      </c>
      <c r="L603" s="4">
        <v>46047</v>
      </c>
      <c r="M603" s="4">
        <v>45954</v>
      </c>
      <c r="N603" s="2" t="s">
        <v>2727</v>
      </c>
      <c r="O603" s="2" t="s">
        <v>1805</v>
      </c>
      <c r="P603" s="2" t="s">
        <v>2887</v>
      </c>
      <c r="Q603" s="2" t="s">
        <v>1806</v>
      </c>
      <c r="R603" s="2" t="s">
        <v>521</v>
      </c>
      <c r="S603" s="4">
        <v>45924</v>
      </c>
      <c r="T603" s="2" t="s">
        <v>3264</v>
      </c>
      <c r="U603" s="2" t="s">
        <v>3265</v>
      </c>
      <c r="V603" s="2" t="s">
        <v>3296</v>
      </c>
      <c r="W603" s="2" t="s">
        <v>1806</v>
      </c>
      <c r="X603" s="2" t="s">
        <v>117</v>
      </c>
      <c r="Y603" s="3" t="s">
        <v>118</v>
      </c>
      <c r="Z603" s="3">
        <v>30.42</v>
      </c>
      <c r="AA603" s="2" t="s">
        <v>90</v>
      </c>
      <c r="AB603" s="2" t="s">
        <v>240</v>
      </c>
      <c r="AC603" s="2" t="s">
        <v>237</v>
      </c>
      <c r="AD603" t="str" cm="1">
        <f t="array" ref="AD60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603" s="2" t="s">
        <v>91</v>
      </c>
      <c r="AF603" s="2" t="s">
        <v>92</v>
      </c>
      <c r="AG603" s="2" t="s">
        <v>119</v>
      </c>
      <c r="AH603" s="2" t="s">
        <v>120</v>
      </c>
      <c r="AK603" s="2" t="s">
        <v>3376</v>
      </c>
      <c r="AN603" s="3">
        <v>1</v>
      </c>
      <c r="AO603" s="3">
        <v>0</v>
      </c>
      <c r="AP603" s="3">
        <v>1</v>
      </c>
      <c r="AQ603" s="3">
        <v>1</v>
      </c>
      <c r="AR603" s="3">
        <v>1</v>
      </c>
      <c r="AS603" s="3">
        <v>0</v>
      </c>
      <c r="AT603" s="3">
        <v>0</v>
      </c>
      <c r="AU603" s="3">
        <v>0</v>
      </c>
      <c r="AV603" s="3">
        <v>1</v>
      </c>
      <c r="AW603" s="3">
        <v>0</v>
      </c>
      <c r="AX603" s="3">
        <v>1</v>
      </c>
      <c r="AY603" s="3">
        <v>0</v>
      </c>
      <c r="AZ603" s="3">
        <v>0</v>
      </c>
      <c r="BA603" s="3">
        <v>0</v>
      </c>
      <c r="BB603" s="3">
        <v>0</v>
      </c>
      <c r="BC603" s="3">
        <v>1</v>
      </c>
      <c r="BD603" s="3">
        <v>0</v>
      </c>
      <c r="BE603" s="3">
        <v>0</v>
      </c>
      <c r="BG603" s="2" t="s">
        <v>91</v>
      </c>
      <c r="BH603" s="3">
        <v>3</v>
      </c>
      <c r="BJ603" s="2" t="s">
        <v>96</v>
      </c>
      <c r="BL603" s="2" t="s">
        <v>123</v>
      </c>
      <c r="BM603" s="2" t="s">
        <v>123</v>
      </c>
      <c r="BN603" s="2" t="s">
        <v>124</v>
      </c>
      <c r="BO603" s="2" t="s">
        <v>125</v>
      </c>
      <c r="BP603" s="2" t="s">
        <v>242</v>
      </c>
      <c r="BQ603" s="2" t="s">
        <v>124</v>
      </c>
      <c r="BR603" s="2" t="s">
        <v>126</v>
      </c>
      <c r="BS603" s="2" t="s">
        <v>127</v>
      </c>
      <c r="BT603" s="2" t="s">
        <v>207</v>
      </c>
      <c r="BU603" s="2" t="s">
        <v>208</v>
      </c>
      <c r="BV603" s="2" t="s">
        <v>150</v>
      </c>
      <c r="BW603" s="2" t="s">
        <v>151</v>
      </c>
      <c r="BX603" s="2" t="s">
        <v>91</v>
      </c>
      <c r="BY60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03" s="2">
        <f>IF(AND(Cases[[#This Row],[Priority Level]]&gt;=3,Cases[[#This Row],[System Role]]&lt;&gt;"Productive"),1,0)</f>
        <v>0</v>
      </c>
      <c r="CA603" s="2">
        <f>IFERROR(IF(Cases[[#This Row],[Days at Customer]]&gt;MAX(1,Cases[[#This Row],[Days at SAP]]*2),1,0),0)</f>
        <v>1</v>
      </c>
      <c r="CB603" s="2">
        <f>IF(AND(Cases[[#This Row],[Initial Component]]&lt;&gt;"",Cases[[#This Row],[Component]]&lt;&gt;"",Cases[[#This Row],[Initial Component]]&lt;&gt;Cases[[#This Row],[Component]]),1,0)</f>
        <v>1</v>
      </c>
      <c r="CC603" s="2">
        <f>IF(OR(Cases[[#This Row],[Is Reopened]]="X",Cases[[#This Row],[No. of Reopenings]]&gt;0),1,0)</f>
        <v>0</v>
      </c>
      <c r="CD603" s="2">
        <f>IF(Cases[[#This Row],[Confirmation Type]]="Automatic",1,0)</f>
        <v>1</v>
      </c>
      <c r="CE603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04" spans="1:83" x14ac:dyDescent="0.2">
      <c r="A604" s="1" t="s">
        <v>3377</v>
      </c>
      <c r="B604" s="2" t="s">
        <v>3378</v>
      </c>
      <c r="C604" s="2" t="s">
        <v>3379</v>
      </c>
      <c r="D604" s="2" t="s">
        <v>238</v>
      </c>
      <c r="E604" s="3">
        <v>2.96</v>
      </c>
      <c r="F604" s="3">
        <v>34.770000000000003</v>
      </c>
      <c r="G604" s="2" t="s">
        <v>190</v>
      </c>
      <c r="H604" s="2" t="s">
        <v>839</v>
      </c>
      <c r="I604" s="3" t="s">
        <v>114</v>
      </c>
      <c r="J604" s="3">
        <v>204</v>
      </c>
      <c r="K604" s="2" t="s">
        <v>3380</v>
      </c>
      <c r="L604" s="4">
        <v>46054</v>
      </c>
      <c r="M604" s="4">
        <v>45961</v>
      </c>
      <c r="N604" s="2" t="s">
        <v>2727</v>
      </c>
      <c r="O604" s="2" t="s">
        <v>1805</v>
      </c>
      <c r="P604" s="2" t="s">
        <v>2717</v>
      </c>
      <c r="Q604" s="2" t="s">
        <v>1806</v>
      </c>
      <c r="R604" s="2" t="s">
        <v>3381</v>
      </c>
      <c r="S604" s="4">
        <v>45923</v>
      </c>
      <c r="T604" s="2" t="s">
        <v>3264</v>
      </c>
      <c r="U604" s="2" t="s">
        <v>3265</v>
      </c>
      <c r="V604" s="2" t="s">
        <v>3296</v>
      </c>
      <c r="W604" s="2" t="s">
        <v>1806</v>
      </c>
      <c r="X604" s="2" t="s">
        <v>117</v>
      </c>
      <c r="Y604" s="3" t="s">
        <v>118</v>
      </c>
      <c r="Z604" s="3">
        <v>37.72</v>
      </c>
      <c r="AA604" s="2" t="s">
        <v>138</v>
      </c>
      <c r="AB604" s="2" t="s">
        <v>3382</v>
      </c>
      <c r="AC604" s="2" t="s">
        <v>3383</v>
      </c>
      <c r="AD604" t="str" cm="1">
        <f t="array" ref="AD60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604" s="2" t="s">
        <v>182</v>
      </c>
      <c r="AF604" s="2" t="s">
        <v>92</v>
      </c>
      <c r="AG604" s="2" t="s">
        <v>140</v>
      </c>
      <c r="AH604" s="2" t="s">
        <v>141</v>
      </c>
      <c r="AK604" s="2" t="s">
        <v>3384</v>
      </c>
      <c r="AN604" s="3">
        <v>1</v>
      </c>
      <c r="AO604" s="3">
        <v>0</v>
      </c>
      <c r="AP604" s="3">
        <v>1</v>
      </c>
      <c r="AQ604" s="3">
        <v>1</v>
      </c>
      <c r="AR604" s="3">
        <v>1</v>
      </c>
      <c r="AS604" s="3">
        <v>0</v>
      </c>
      <c r="AT604" s="3">
        <v>0</v>
      </c>
      <c r="AU604" s="3">
        <v>0</v>
      </c>
      <c r="AV604" s="3">
        <v>1</v>
      </c>
      <c r="AW604" s="3">
        <v>0</v>
      </c>
      <c r="AX604" s="3">
        <v>1</v>
      </c>
      <c r="AY604" s="3">
        <v>0</v>
      </c>
      <c r="AZ604" s="3">
        <v>0</v>
      </c>
      <c r="BA604" s="3">
        <v>0</v>
      </c>
      <c r="BB604" s="3">
        <v>0</v>
      </c>
      <c r="BC604" s="3">
        <v>1</v>
      </c>
      <c r="BD604" s="3">
        <v>0</v>
      </c>
      <c r="BE604" s="3">
        <v>0</v>
      </c>
      <c r="BG604" s="2" t="s">
        <v>91</v>
      </c>
      <c r="BH604" s="3">
        <v>3</v>
      </c>
      <c r="BJ604" s="2" t="s">
        <v>96</v>
      </c>
      <c r="BL604" s="2" t="s">
        <v>143</v>
      </c>
      <c r="BM604" s="2" t="s">
        <v>144</v>
      </c>
      <c r="BN604" s="2" t="s">
        <v>99</v>
      </c>
      <c r="BO604" s="2" t="s">
        <v>100</v>
      </c>
      <c r="BP604" s="2" t="s">
        <v>242</v>
      </c>
      <c r="BQ604" s="2" t="s">
        <v>145</v>
      </c>
      <c r="BR604" s="2" t="s">
        <v>146</v>
      </c>
      <c r="BS604" s="2" t="s">
        <v>147</v>
      </c>
      <c r="BT604" s="2" t="s">
        <v>148</v>
      </c>
      <c r="BU604" s="2" t="s">
        <v>149</v>
      </c>
      <c r="BV604" s="2" t="s">
        <v>150</v>
      </c>
      <c r="BW604" s="2" t="s">
        <v>151</v>
      </c>
      <c r="BX604" s="2" t="s">
        <v>182</v>
      </c>
      <c r="BY60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04" s="2">
        <f>IF(AND(Cases[[#This Row],[Priority Level]]&gt;=3,Cases[[#This Row],[System Role]]&lt;&gt;"Productive"),1,0)</f>
        <v>0</v>
      </c>
      <c r="CA604" s="2">
        <f>IFERROR(IF(Cases[[#This Row],[Days at Customer]]&gt;MAX(1,Cases[[#This Row],[Days at SAP]]*2),1,0),0)</f>
        <v>1</v>
      </c>
      <c r="CB604" s="2">
        <f>IF(AND(Cases[[#This Row],[Initial Component]]&lt;&gt;"",Cases[[#This Row],[Component]]&lt;&gt;"",Cases[[#This Row],[Initial Component]]&lt;&gt;Cases[[#This Row],[Component]]),1,0)</f>
        <v>1</v>
      </c>
      <c r="CC604" s="2">
        <f>IF(OR(Cases[[#This Row],[Is Reopened]]="X",Cases[[#This Row],[No. of Reopenings]]&gt;0),1,0)</f>
        <v>0</v>
      </c>
      <c r="CD604" s="2">
        <f>IF(Cases[[#This Row],[Confirmation Type]]="Automatic",1,0)</f>
        <v>1</v>
      </c>
      <c r="CE604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05" spans="1:83" x14ac:dyDescent="0.2">
      <c r="A605" s="1" t="s">
        <v>3385</v>
      </c>
      <c r="B605" s="2" t="s">
        <v>3386</v>
      </c>
      <c r="C605" s="2" t="s">
        <v>876</v>
      </c>
      <c r="D605" s="2" t="s">
        <v>78</v>
      </c>
      <c r="E605" s="3">
        <v>6.71</v>
      </c>
      <c r="F605" s="3">
        <v>9.35</v>
      </c>
      <c r="G605" s="2" t="s">
        <v>79</v>
      </c>
      <c r="H605" s="2" t="s">
        <v>178</v>
      </c>
      <c r="I605" s="3" t="s">
        <v>114</v>
      </c>
      <c r="J605" s="3">
        <v>204</v>
      </c>
      <c r="K605" s="2" t="s">
        <v>3387</v>
      </c>
      <c r="L605" s="4">
        <v>46033</v>
      </c>
      <c r="M605" s="4">
        <v>45939</v>
      </c>
      <c r="N605" s="2" t="s">
        <v>2727</v>
      </c>
      <c r="O605" s="2" t="s">
        <v>1805</v>
      </c>
      <c r="P605" s="2" t="s">
        <v>3126</v>
      </c>
      <c r="Q605" s="2" t="s">
        <v>1806</v>
      </c>
      <c r="R605" s="2" t="s">
        <v>878</v>
      </c>
      <c r="S605" s="4">
        <v>45923</v>
      </c>
      <c r="T605" s="2" t="s">
        <v>3264</v>
      </c>
      <c r="U605" s="2" t="s">
        <v>3265</v>
      </c>
      <c r="V605" s="2" t="s">
        <v>3296</v>
      </c>
      <c r="W605" s="2" t="s">
        <v>1806</v>
      </c>
      <c r="X605" s="2" t="s">
        <v>117</v>
      </c>
      <c r="Y605" s="3" t="s">
        <v>118</v>
      </c>
      <c r="Z605" s="3">
        <v>16.059999999999999</v>
      </c>
      <c r="AA605" s="2" t="s">
        <v>90</v>
      </c>
      <c r="AB605" s="2" t="s">
        <v>878</v>
      </c>
      <c r="AC605" s="2" t="s">
        <v>876</v>
      </c>
      <c r="AD605" t="str" cm="1">
        <f t="array" ref="AD60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605" s="2" t="s">
        <v>91</v>
      </c>
      <c r="AF605" s="2" t="s">
        <v>92</v>
      </c>
      <c r="AG605" s="2" t="s">
        <v>119</v>
      </c>
      <c r="AH605" s="2" t="s">
        <v>120</v>
      </c>
      <c r="AK605" s="2" t="s">
        <v>3388</v>
      </c>
      <c r="AN605" s="3">
        <v>1</v>
      </c>
      <c r="AO605" s="3">
        <v>0</v>
      </c>
      <c r="AP605" s="3">
        <v>1</v>
      </c>
      <c r="AQ605" s="3">
        <v>1</v>
      </c>
      <c r="AR605" s="3">
        <v>1</v>
      </c>
      <c r="AS605" s="3">
        <v>0</v>
      </c>
      <c r="AT605" s="3">
        <v>0</v>
      </c>
      <c r="AU605" s="3">
        <v>0</v>
      </c>
      <c r="AV605" s="3">
        <v>0</v>
      </c>
      <c r="AW605" s="3">
        <v>1</v>
      </c>
      <c r="AX605" s="3">
        <v>1</v>
      </c>
      <c r="AY605" s="3">
        <v>0</v>
      </c>
      <c r="AZ605" s="3">
        <v>0</v>
      </c>
      <c r="BA605" s="3">
        <v>1</v>
      </c>
      <c r="BB605" s="3">
        <v>0</v>
      </c>
      <c r="BC605" s="3">
        <v>0</v>
      </c>
      <c r="BD605" s="3">
        <v>0</v>
      </c>
      <c r="BE605" s="3">
        <v>0</v>
      </c>
      <c r="BG605" s="2" t="s">
        <v>91</v>
      </c>
      <c r="BH605" s="3">
        <v>3</v>
      </c>
      <c r="BJ605" s="2" t="s">
        <v>96</v>
      </c>
      <c r="BL605" s="2" t="s">
        <v>123</v>
      </c>
      <c r="BM605" s="2" t="s">
        <v>123</v>
      </c>
      <c r="BN605" s="2" t="s">
        <v>124</v>
      </c>
      <c r="BO605" s="2" t="s">
        <v>125</v>
      </c>
      <c r="BP605" s="2" t="s">
        <v>101</v>
      </c>
      <c r="BQ605" s="2" t="s">
        <v>124</v>
      </c>
      <c r="BR605" s="2" t="s">
        <v>126</v>
      </c>
      <c r="BS605" s="2" t="s">
        <v>127</v>
      </c>
      <c r="BT605" s="2" t="s">
        <v>199</v>
      </c>
      <c r="BU605" s="2" t="s">
        <v>200</v>
      </c>
      <c r="BV605" s="2" t="s">
        <v>166</v>
      </c>
      <c r="BW605" s="2" t="s">
        <v>167</v>
      </c>
      <c r="BX605" s="2" t="s">
        <v>91</v>
      </c>
      <c r="BY60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05" s="2">
        <f>IF(AND(Cases[[#This Row],[Priority Level]]&gt;=3,Cases[[#This Row],[System Role]]&lt;&gt;"Productive"),1,0)</f>
        <v>1</v>
      </c>
      <c r="CA605" s="2">
        <f>IFERROR(IF(Cases[[#This Row],[Days at Customer]]&gt;MAX(1,Cases[[#This Row],[Days at SAP]]*2),1,0),0)</f>
        <v>0</v>
      </c>
      <c r="CB605" s="2">
        <f>IF(AND(Cases[[#This Row],[Initial Component]]&lt;&gt;"",Cases[[#This Row],[Component]]&lt;&gt;"",Cases[[#This Row],[Initial Component]]&lt;&gt;Cases[[#This Row],[Component]]),1,0)</f>
        <v>0</v>
      </c>
      <c r="CC605" s="2">
        <f>IF(OR(Cases[[#This Row],[Is Reopened]]="X",Cases[[#This Row],[No. of Reopenings]]&gt;0),1,0)</f>
        <v>0</v>
      </c>
      <c r="CD605" s="2">
        <f>IF(Cases[[#This Row],[Confirmation Type]]="Automatic",1,0)</f>
        <v>0</v>
      </c>
      <c r="CE605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06" spans="1:83" x14ac:dyDescent="0.2">
      <c r="A606" s="1" t="s">
        <v>3389</v>
      </c>
      <c r="B606" s="2" t="s">
        <v>3390</v>
      </c>
      <c r="C606" s="2" t="s">
        <v>2421</v>
      </c>
      <c r="D606" s="2" t="s">
        <v>238</v>
      </c>
      <c r="E606" s="3">
        <v>49.99</v>
      </c>
      <c r="F606" s="3">
        <v>98.5</v>
      </c>
      <c r="G606" s="2" t="s">
        <v>133</v>
      </c>
      <c r="H606" s="2" t="s">
        <v>324</v>
      </c>
      <c r="I606" s="3" t="s">
        <v>114</v>
      </c>
      <c r="J606" s="3">
        <v>204</v>
      </c>
      <c r="K606" s="2" t="s">
        <v>3391</v>
      </c>
      <c r="L606" s="4">
        <v>46075</v>
      </c>
      <c r="M606" s="4">
        <v>46072</v>
      </c>
      <c r="N606" s="2" t="s">
        <v>677</v>
      </c>
      <c r="O606" s="2" t="s">
        <v>181</v>
      </c>
      <c r="P606" s="2" t="s">
        <v>895</v>
      </c>
      <c r="Q606" s="2" t="s">
        <v>86</v>
      </c>
      <c r="R606" s="2" t="s">
        <v>2423</v>
      </c>
      <c r="S606" s="4">
        <v>45923</v>
      </c>
      <c r="T606" s="2" t="s">
        <v>3264</v>
      </c>
      <c r="U606" s="2" t="s">
        <v>3265</v>
      </c>
      <c r="V606" s="2" t="s">
        <v>3296</v>
      </c>
      <c r="W606" s="2" t="s">
        <v>1806</v>
      </c>
      <c r="X606" s="2" t="s">
        <v>117</v>
      </c>
      <c r="Y606" s="3" t="s">
        <v>118</v>
      </c>
      <c r="Z606" s="3">
        <v>148.49</v>
      </c>
      <c r="AA606" s="2" t="s">
        <v>90</v>
      </c>
      <c r="AB606" s="2" t="s">
        <v>3392</v>
      </c>
      <c r="AC606" s="2" t="s">
        <v>3393</v>
      </c>
      <c r="AD606" t="str" cm="1">
        <f t="array" ref="AD60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606" s="2" t="s">
        <v>91</v>
      </c>
      <c r="AF606" s="2" t="s">
        <v>92</v>
      </c>
      <c r="AG606" s="2" t="s">
        <v>119</v>
      </c>
      <c r="AH606" s="2" t="s">
        <v>120</v>
      </c>
      <c r="AJ606" s="2" t="s">
        <v>122</v>
      </c>
      <c r="AK606" s="2" t="s">
        <v>3394</v>
      </c>
      <c r="AN606" s="3">
        <v>1</v>
      </c>
      <c r="AO606" s="3">
        <v>0</v>
      </c>
      <c r="AP606" s="3">
        <v>1</v>
      </c>
      <c r="AQ606" s="3">
        <v>1</v>
      </c>
      <c r="AR606" s="3">
        <v>1</v>
      </c>
      <c r="AS606" s="3">
        <v>0</v>
      </c>
      <c r="AT606" s="3">
        <v>0</v>
      </c>
      <c r="AU606" s="3">
        <v>0</v>
      </c>
      <c r="AV606" s="3">
        <v>1</v>
      </c>
      <c r="AW606" s="3">
        <v>0</v>
      </c>
      <c r="AX606" s="3">
        <v>1</v>
      </c>
      <c r="AY606" s="3">
        <v>0</v>
      </c>
      <c r="AZ606" s="3">
        <v>0</v>
      </c>
      <c r="BA606" s="3">
        <v>0</v>
      </c>
      <c r="BB606" s="3">
        <v>0</v>
      </c>
      <c r="BC606" s="3">
        <v>1</v>
      </c>
      <c r="BD606" s="3">
        <v>1</v>
      </c>
      <c r="BE606" s="3">
        <v>0</v>
      </c>
      <c r="BG606" s="2" t="s">
        <v>91</v>
      </c>
      <c r="BH606" s="3">
        <v>3</v>
      </c>
      <c r="BJ606" s="2" t="s">
        <v>96</v>
      </c>
      <c r="BL606" s="2" t="s">
        <v>123</v>
      </c>
      <c r="BM606" s="2" t="s">
        <v>123</v>
      </c>
      <c r="BN606" s="2" t="s">
        <v>124</v>
      </c>
      <c r="BO606" s="2" t="s">
        <v>125</v>
      </c>
      <c r="BP606" s="2" t="s">
        <v>242</v>
      </c>
      <c r="BQ606" s="2" t="s">
        <v>124</v>
      </c>
      <c r="BR606" s="2" t="s">
        <v>126</v>
      </c>
      <c r="BS606" s="2" t="s">
        <v>127</v>
      </c>
      <c r="BT606" s="2" t="s">
        <v>207</v>
      </c>
      <c r="BU606" s="2" t="s">
        <v>208</v>
      </c>
      <c r="BV606" s="2" t="s">
        <v>150</v>
      </c>
      <c r="BW606" s="2" t="s">
        <v>151</v>
      </c>
      <c r="BX606" s="2" t="s">
        <v>91</v>
      </c>
      <c r="BY60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06" s="2">
        <f>IF(AND(Cases[[#This Row],[Priority Level]]&gt;=3,Cases[[#This Row],[System Role]]&lt;&gt;"Productive"),1,0)</f>
        <v>0</v>
      </c>
      <c r="CA606" s="2">
        <f>IFERROR(IF(Cases[[#This Row],[Days at Customer]]&gt;MAX(1,Cases[[#This Row],[Days at SAP]]*2),1,0),0)</f>
        <v>0</v>
      </c>
      <c r="CB606" s="2">
        <f>IF(AND(Cases[[#This Row],[Initial Component]]&lt;&gt;"",Cases[[#This Row],[Component]]&lt;&gt;"",Cases[[#This Row],[Initial Component]]&lt;&gt;Cases[[#This Row],[Component]]),1,0)</f>
        <v>1</v>
      </c>
      <c r="CC606" s="2">
        <f>IF(OR(Cases[[#This Row],[Is Reopened]]="X",Cases[[#This Row],[No. of Reopenings]]&gt;0),1,0)</f>
        <v>1</v>
      </c>
      <c r="CD606" s="2">
        <f>IF(Cases[[#This Row],[Confirmation Type]]="Automatic",1,0)</f>
        <v>1</v>
      </c>
      <c r="CE60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07" spans="1:83" x14ac:dyDescent="0.2">
      <c r="A607" s="1" t="s">
        <v>3395</v>
      </c>
      <c r="B607" s="2" t="s">
        <v>3396</v>
      </c>
      <c r="C607" s="2" t="s">
        <v>1534</v>
      </c>
      <c r="D607" s="2" t="s">
        <v>78</v>
      </c>
      <c r="E607" s="3">
        <v>6.76</v>
      </c>
      <c r="F607" s="3">
        <v>9.9700000000000006</v>
      </c>
      <c r="G607" s="2" t="s">
        <v>133</v>
      </c>
      <c r="H607" s="2" t="s">
        <v>324</v>
      </c>
      <c r="I607" s="3" t="s">
        <v>114</v>
      </c>
      <c r="J607" s="3">
        <v>204</v>
      </c>
      <c r="K607" s="2" t="s">
        <v>3397</v>
      </c>
      <c r="L607" s="4">
        <v>46033</v>
      </c>
      <c r="M607" s="4">
        <v>45940</v>
      </c>
      <c r="N607" s="2" t="s">
        <v>2727</v>
      </c>
      <c r="O607" s="2" t="s">
        <v>1805</v>
      </c>
      <c r="P607" s="2" t="s">
        <v>3126</v>
      </c>
      <c r="Q607" s="2" t="s">
        <v>1806</v>
      </c>
      <c r="R607" s="2" t="s">
        <v>1536</v>
      </c>
      <c r="S607" s="4">
        <v>45923</v>
      </c>
      <c r="T607" s="2" t="s">
        <v>3264</v>
      </c>
      <c r="U607" s="2" t="s">
        <v>3265</v>
      </c>
      <c r="V607" s="2" t="s">
        <v>3296</v>
      </c>
      <c r="W607" s="2" t="s">
        <v>1806</v>
      </c>
      <c r="X607" s="2" t="s">
        <v>117</v>
      </c>
      <c r="Y607" s="3" t="s">
        <v>118</v>
      </c>
      <c r="Z607" s="3">
        <v>16.73</v>
      </c>
      <c r="AA607" s="2" t="s">
        <v>138</v>
      </c>
      <c r="AB607" s="2" t="s">
        <v>443</v>
      </c>
      <c r="AC607" s="2" t="s">
        <v>444</v>
      </c>
      <c r="AD607" t="str" cm="1">
        <f t="array" ref="AD60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607" s="2" t="s">
        <v>91</v>
      </c>
      <c r="AF607" s="2" t="s">
        <v>92</v>
      </c>
      <c r="AG607" s="2" t="s">
        <v>274</v>
      </c>
      <c r="AH607" s="2" t="s">
        <v>275</v>
      </c>
      <c r="AK607" s="2" t="s">
        <v>3398</v>
      </c>
      <c r="AN607" s="3">
        <v>1</v>
      </c>
      <c r="AO607" s="3">
        <v>0</v>
      </c>
      <c r="AP607" s="3">
        <v>1</v>
      </c>
      <c r="AQ607" s="3">
        <v>1</v>
      </c>
      <c r="AR607" s="3">
        <v>1</v>
      </c>
      <c r="AS607" s="3">
        <v>0</v>
      </c>
      <c r="AT607" s="3">
        <v>0</v>
      </c>
      <c r="AU607" s="3">
        <v>0</v>
      </c>
      <c r="AV607" s="3">
        <v>0</v>
      </c>
      <c r="AW607" s="3">
        <v>1</v>
      </c>
      <c r="AX607" s="3">
        <v>1</v>
      </c>
      <c r="AY607" s="3">
        <v>0</v>
      </c>
      <c r="AZ607" s="3">
        <v>0</v>
      </c>
      <c r="BA607" s="3">
        <v>1</v>
      </c>
      <c r="BB607" s="3">
        <v>0</v>
      </c>
      <c r="BC607" s="3">
        <v>0</v>
      </c>
      <c r="BD607" s="3">
        <v>0</v>
      </c>
      <c r="BE607" s="3">
        <v>0</v>
      </c>
      <c r="BG607" s="2" t="s">
        <v>91</v>
      </c>
      <c r="BH607" s="3">
        <v>3</v>
      </c>
      <c r="BJ607" s="2" t="s">
        <v>96</v>
      </c>
      <c r="BL607" s="2" t="s">
        <v>446</v>
      </c>
      <c r="BM607" s="2" t="s">
        <v>447</v>
      </c>
      <c r="BN607" s="2" t="s">
        <v>279</v>
      </c>
      <c r="BO607" s="2" t="s">
        <v>280</v>
      </c>
      <c r="BP607" s="2" t="s">
        <v>101</v>
      </c>
      <c r="BQ607" s="2" t="s">
        <v>448</v>
      </c>
      <c r="BR607" s="2" t="s">
        <v>449</v>
      </c>
      <c r="BS607" s="2" t="s">
        <v>450</v>
      </c>
      <c r="BT607" s="2" t="s">
        <v>1030</v>
      </c>
      <c r="BU607" s="2" t="s">
        <v>1031</v>
      </c>
      <c r="BV607" s="2" t="s">
        <v>166</v>
      </c>
      <c r="BW607" s="2" t="s">
        <v>167</v>
      </c>
      <c r="BX607" s="2" t="s">
        <v>91</v>
      </c>
      <c r="BY60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07" s="2">
        <f>IF(AND(Cases[[#This Row],[Priority Level]]&gt;=3,Cases[[#This Row],[System Role]]&lt;&gt;"Productive"),1,0)</f>
        <v>1</v>
      </c>
      <c r="CA607" s="2">
        <f>IFERROR(IF(Cases[[#This Row],[Days at Customer]]&gt;MAX(1,Cases[[#This Row],[Days at SAP]]*2),1,0),0)</f>
        <v>0</v>
      </c>
      <c r="CB607" s="2">
        <f>IF(AND(Cases[[#This Row],[Initial Component]]&lt;&gt;"",Cases[[#This Row],[Component]]&lt;&gt;"",Cases[[#This Row],[Initial Component]]&lt;&gt;Cases[[#This Row],[Component]]),1,0)</f>
        <v>1</v>
      </c>
      <c r="CC607" s="2">
        <f>IF(OR(Cases[[#This Row],[Is Reopened]]="X",Cases[[#This Row],[No. of Reopenings]]&gt;0),1,0)</f>
        <v>0</v>
      </c>
      <c r="CD607" s="2">
        <f>IF(Cases[[#This Row],[Confirmation Type]]="Automatic",1,0)</f>
        <v>0</v>
      </c>
      <c r="CE60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08" spans="1:83" x14ac:dyDescent="0.2">
      <c r="A608" s="1" t="s">
        <v>3399</v>
      </c>
      <c r="B608" s="2" t="s">
        <v>3400</v>
      </c>
      <c r="C608" s="2" t="s">
        <v>550</v>
      </c>
      <c r="D608" s="2" t="s">
        <v>238</v>
      </c>
      <c r="E608" s="3">
        <v>6.33</v>
      </c>
      <c r="F608" s="3">
        <v>92.16</v>
      </c>
      <c r="G608" s="2" t="s">
        <v>190</v>
      </c>
      <c r="H608" s="2" t="s">
        <v>191</v>
      </c>
      <c r="I608" s="3" t="s">
        <v>114</v>
      </c>
      <c r="J608" s="3">
        <v>204</v>
      </c>
      <c r="K608" s="2" t="s">
        <v>3401</v>
      </c>
      <c r="L608" s="4">
        <v>46026</v>
      </c>
      <c r="M608" s="4">
        <v>46022</v>
      </c>
      <c r="N608" s="2" t="s">
        <v>1804</v>
      </c>
      <c r="O608" s="2" t="s">
        <v>1805</v>
      </c>
      <c r="P608" s="2" t="s">
        <v>1334</v>
      </c>
      <c r="Q608" s="2" t="s">
        <v>1806</v>
      </c>
      <c r="R608" s="2" t="s">
        <v>552</v>
      </c>
      <c r="S608" s="4">
        <v>45923</v>
      </c>
      <c r="T608" s="2" t="s">
        <v>3264</v>
      </c>
      <c r="U608" s="2" t="s">
        <v>3265</v>
      </c>
      <c r="V608" s="2" t="s">
        <v>3296</v>
      </c>
      <c r="W608" s="2" t="s">
        <v>1806</v>
      </c>
      <c r="X608" s="2" t="s">
        <v>117</v>
      </c>
      <c r="Y608" s="3" t="s">
        <v>118</v>
      </c>
      <c r="Z608" s="3">
        <v>98.48</v>
      </c>
      <c r="AA608" s="2" t="s">
        <v>90</v>
      </c>
      <c r="AB608" s="2" t="s">
        <v>552</v>
      </c>
      <c r="AC608" s="2" t="s">
        <v>550</v>
      </c>
      <c r="AD608" t="str" cm="1">
        <f t="array" ref="AD60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608" s="2" t="s">
        <v>91</v>
      </c>
      <c r="AF608" s="2" t="s">
        <v>92</v>
      </c>
      <c r="AG608" s="2" t="s">
        <v>553</v>
      </c>
      <c r="AH608" s="2" t="s">
        <v>554</v>
      </c>
      <c r="AK608" s="2" t="s">
        <v>3402</v>
      </c>
      <c r="AN608" s="3">
        <v>1</v>
      </c>
      <c r="AO608" s="3">
        <v>0</v>
      </c>
      <c r="AP608" s="3">
        <v>1</v>
      </c>
      <c r="AQ608" s="3">
        <v>1</v>
      </c>
      <c r="AR608" s="3">
        <v>0</v>
      </c>
      <c r="AS608" s="3">
        <v>0</v>
      </c>
      <c r="AT608" s="3">
        <v>0</v>
      </c>
      <c r="AU608" s="3">
        <v>1</v>
      </c>
      <c r="AV608" s="3">
        <v>1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s="3">
        <v>0</v>
      </c>
      <c r="BC608" s="3">
        <v>1</v>
      </c>
      <c r="BD608" s="3">
        <v>0</v>
      </c>
      <c r="BE608" s="3">
        <v>1</v>
      </c>
      <c r="BG608" s="2" t="s">
        <v>182</v>
      </c>
      <c r="BH608" s="3">
        <v>4</v>
      </c>
      <c r="BJ608" s="2" t="s">
        <v>96</v>
      </c>
      <c r="BL608" s="2" t="s">
        <v>556</v>
      </c>
      <c r="BM608" s="2" t="s">
        <v>557</v>
      </c>
      <c r="BN608" s="2" t="s">
        <v>99</v>
      </c>
      <c r="BO608" s="2" t="s">
        <v>100</v>
      </c>
      <c r="BP608" s="2" t="s">
        <v>242</v>
      </c>
      <c r="BQ608" s="2" t="s">
        <v>102</v>
      </c>
      <c r="BR608" s="2" t="s">
        <v>103</v>
      </c>
      <c r="BS608" s="2" t="s">
        <v>127</v>
      </c>
      <c r="BT608" s="2" t="s">
        <v>1171</v>
      </c>
      <c r="BU608" s="2" t="s">
        <v>1172</v>
      </c>
      <c r="BV608" s="2" t="s">
        <v>150</v>
      </c>
      <c r="BW608" s="2" t="s">
        <v>151</v>
      </c>
      <c r="BX608" s="2" t="s">
        <v>182</v>
      </c>
      <c r="BY60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08" s="2">
        <f>IF(AND(Cases[[#This Row],[Priority Level]]&gt;=3,Cases[[#This Row],[System Role]]&lt;&gt;"Productive"),1,0)</f>
        <v>0</v>
      </c>
      <c r="CA608" s="2">
        <f>IFERROR(IF(Cases[[#This Row],[Days at Customer]]&gt;MAX(1,Cases[[#This Row],[Days at SAP]]*2),1,0),0)</f>
        <v>1</v>
      </c>
      <c r="CB608" s="2">
        <f>IF(AND(Cases[[#This Row],[Initial Component]]&lt;&gt;"",Cases[[#This Row],[Component]]&lt;&gt;"",Cases[[#This Row],[Initial Component]]&lt;&gt;Cases[[#This Row],[Component]]),1,0)</f>
        <v>0</v>
      </c>
      <c r="CC608" s="2">
        <f>IF(OR(Cases[[#This Row],[Is Reopened]]="X",Cases[[#This Row],[No. of Reopenings]]&gt;0),1,0)</f>
        <v>0</v>
      </c>
      <c r="CD608" s="2">
        <f>IF(Cases[[#This Row],[Confirmation Type]]="Automatic",1,0)</f>
        <v>1</v>
      </c>
      <c r="CE60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09" spans="1:83" x14ac:dyDescent="0.2">
      <c r="A609" s="1" t="s">
        <v>3403</v>
      </c>
      <c r="B609" s="2" t="s">
        <v>3404</v>
      </c>
      <c r="C609" s="2" t="s">
        <v>3405</v>
      </c>
      <c r="D609" s="2" t="s">
        <v>238</v>
      </c>
      <c r="E609" s="3">
        <v>1.85</v>
      </c>
      <c r="F609" s="3">
        <v>21.72</v>
      </c>
      <c r="G609" s="2" t="s">
        <v>190</v>
      </c>
      <c r="H609" s="2" t="s">
        <v>308</v>
      </c>
      <c r="I609" s="3" t="s">
        <v>114</v>
      </c>
      <c r="J609" s="3">
        <v>205</v>
      </c>
      <c r="K609" s="2" t="s">
        <v>3406</v>
      </c>
      <c r="L609" s="4">
        <v>46040</v>
      </c>
      <c r="M609" s="4">
        <v>45946</v>
      </c>
      <c r="N609" s="2" t="s">
        <v>2727</v>
      </c>
      <c r="O609" s="2" t="s">
        <v>1805</v>
      </c>
      <c r="P609" s="2" t="s">
        <v>2936</v>
      </c>
      <c r="Q609" s="2" t="s">
        <v>1806</v>
      </c>
      <c r="R609" s="2" t="s">
        <v>3407</v>
      </c>
      <c r="S609" s="4">
        <v>45922</v>
      </c>
      <c r="T609" s="2" t="s">
        <v>3264</v>
      </c>
      <c r="U609" s="2" t="s">
        <v>3265</v>
      </c>
      <c r="V609" s="2" t="s">
        <v>3296</v>
      </c>
      <c r="W609" s="2" t="s">
        <v>1806</v>
      </c>
      <c r="X609" s="2" t="s">
        <v>117</v>
      </c>
      <c r="Y609" s="3" t="s">
        <v>118</v>
      </c>
      <c r="Z609" s="3">
        <v>23.57</v>
      </c>
      <c r="AA609" s="2" t="s">
        <v>138</v>
      </c>
      <c r="AB609" s="2" t="s">
        <v>1114</v>
      </c>
      <c r="AC609" s="2" t="s">
        <v>1112</v>
      </c>
      <c r="AD609" t="str" cm="1">
        <f t="array" ref="AD60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609" s="2" t="s">
        <v>91</v>
      </c>
      <c r="AF609" s="2" t="s">
        <v>998</v>
      </c>
      <c r="AG609" s="2" t="s">
        <v>140</v>
      </c>
      <c r="AH609" s="2" t="s">
        <v>141</v>
      </c>
      <c r="AK609" s="2" t="s">
        <v>3408</v>
      </c>
      <c r="AN609" s="3">
        <v>1</v>
      </c>
      <c r="AO609" s="3">
        <v>0</v>
      </c>
      <c r="AP609" s="3">
        <v>1</v>
      </c>
      <c r="AQ609" s="3">
        <v>1</v>
      </c>
      <c r="AR609" s="3">
        <v>1</v>
      </c>
      <c r="AS609" s="3">
        <v>0</v>
      </c>
      <c r="AT609" s="3">
        <v>0</v>
      </c>
      <c r="AU609" s="3">
        <v>0</v>
      </c>
      <c r="AV609" s="3">
        <v>1</v>
      </c>
      <c r="AW609" s="3">
        <v>0</v>
      </c>
      <c r="AX609" s="3">
        <v>1</v>
      </c>
      <c r="AY609" s="3">
        <v>0</v>
      </c>
      <c r="AZ609" s="3">
        <v>0</v>
      </c>
      <c r="BA609" s="3">
        <v>0</v>
      </c>
      <c r="BB609" s="3">
        <v>0</v>
      </c>
      <c r="BC609" s="3">
        <v>1</v>
      </c>
      <c r="BD609" s="3">
        <v>0</v>
      </c>
      <c r="BE609" s="3">
        <v>0</v>
      </c>
      <c r="BG609" s="2" t="s">
        <v>91</v>
      </c>
      <c r="BH609" s="3">
        <v>3</v>
      </c>
      <c r="BJ609" s="2" t="s">
        <v>96</v>
      </c>
      <c r="BL609" s="2" t="s">
        <v>143</v>
      </c>
      <c r="BM609" s="2" t="s">
        <v>144</v>
      </c>
      <c r="BN609" s="2" t="s">
        <v>99</v>
      </c>
      <c r="BO609" s="2" t="s">
        <v>100</v>
      </c>
      <c r="BP609" s="2" t="s">
        <v>242</v>
      </c>
      <c r="BQ609" s="2" t="s">
        <v>145</v>
      </c>
      <c r="BR609" s="2" t="s">
        <v>146</v>
      </c>
      <c r="BS609" s="2" t="s">
        <v>147</v>
      </c>
      <c r="BT609" s="2" t="s">
        <v>148</v>
      </c>
      <c r="BU609" s="2" t="s">
        <v>149</v>
      </c>
      <c r="BV609" s="2" t="s">
        <v>150</v>
      </c>
      <c r="BW609" s="2" t="s">
        <v>151</v>
      </c>
      <c r="BX609" s="2" t="s">
        <v>91</v>
      </c>
      <c r="BY60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09" s="2">
        <f>IF(AND(Cases[[#This Row],[Priority Level]]&gt;=3,Cases[[#This Row],[System Role]]&lt;&gt;"Productive"),1,0)</f>
        <v>0</v>
      </c>
      <c r="CA609" s="2">
        <f>IFERROR(IF(Cases[[#This Row],[Days at Customer]]&gt;MAX(1,Cases[[#This Row],[Days at SAP]]*2),1,0),0)</f>
        <v>1</v>
      </c>
      <c r="CB609" s="2">
        <f>IF(AND(Cases[[#This Row],[Initial Component]]&lt;&gt;"",Cases[[#This Row],[Component]]&lt;&gt;"",Cases[[#This Row],[Initial Component]]&lt;&gt;Cases[[#This Row],[Component]]),1,0)</f>
        <v>1</v>
      </c>
      <c r="CC609" s="2">
        <f>IF(OR(Cases[[#This Row],[Is Reopened]]="X",Cases[[#This Row],[No. of Reopenings]]&gt;0),1,0)</f>
        <v>0</v>
      </c>
      <c r="CD609" s="2">
        <f>IF(Cases[[#This Row],[Confirmation Type]]="Automatic",1,0)</f>
        <v>1</v>
      </c>
      <c r="CE609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10" spans="1:83" x14ac:dyDescent="0.2">
      <c r="A610" s="1" t="s">
        <v>3409</v>
      </c>
      <c r="B610" s="2" t="s">
        <v>3410</v>
      </c>
      <c r="C610" s="2" t="s">
        <v>406</v>
      </c>
      <c r="D610" s="2" t="s">
        <v>78</v>
      </c>
      <c r="E610" s="3">
        <v>0.3</v>
      </c>
      <c r="F610" s="3">
        <v>10.76</v>
      </c>
      <c r="G610" s="2" t="s">
        <v>79</v>
      </c>
      <c r="H610" s="2" t="s">
        <v>80</v>
      </c>
      <c r="I610" s="3" t="s">
        <v>114</v>
      </c>
      <c r="J610" s="3">
        <v>205</v>
      </c>
      <c r="K610" s="2" t="s">
        <v>3411</v>
      </c>
      <c r="L610" s="4">
        <v>46026</v>
      </c>
      <c r="M610" s="4">
        <v>45933</v>
      </c>
      <c r="N610" s="2" t="s">
        <v>2727</v>
      </c>
      <c r="O610" s="2" t="s">
        <v>1805</v>
      </c>
      <c r="P610" s="2" t="s">
        <v>3224</v>
      </c>
      <c r="Q610" s="2" t="s">
        <v>1806</v>
      </c>
      <c r="R610" s="2" t="s">
        <v>408</v>
      </c>
      <c r="S610" s="4">
        <v>45922</v>
      </c>
      <c r="T610" s="2" t="s">
        <v>3264</v>
      </c>
      <c r="U610" s="2" t="s">
        <v>3265</v>
      </c>
      <c r="V610" s="2" t="s">
        <v>3296</v>
      </c>
      <c r="W610" s="2" t="s">
        <v>1806</v>
      </c>
      <c r="X610" s="2" t="s">
        <v>117</v>
      </c>
      <c r="Y610" s="3" t="s">
        <v>118</v>
      </c>
      <c r="Z610" s="3">
        <v>11.06</v>
      </c>
      <c r="AA610" s="2" t="s">
        <v>90</v>
      </c>
      <c r="AB610" s="2" t="s">
        <v>408</v>
      </c>
      <c r="AC610" s="2" t="s">
        <v>406</v>
      </c>
      <c r="AD610" t="str" cm="1">
        <f t="array" ref="AD61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610" s="2" t="s">
        <v>139</v>
      </c>
      <c r="AF610" s="2" t="s">
        <v>92</v>
      </c>
      <c r="AG610" s="2" t="s">
        <v>119</v>
      </c>
      <c r="AH610" s="2" t="s">
        <v>120</v>
      </c>
      <c r="AK610" s="2" t="s">
        <v>3412</v>
      </c>
      <c r="AN610" s="3">
        <v>1</v>
      </c>
      <c r="AO610" s="3">
        <v>0</v>
      </c>
      <c r="AP610" s="3">
        <v>1</v>
      </c>
      <c r="AQ610" s="3">
        <v>1</v>
      </c>
      <c r="AR610" s="3">
        <v>0</v>
      </c>
      <c r="AS610" s="3">
        <v>0</v>
      </c>
      <c r="AT610" s="3">
        <v>1</v>
      </c>
      <c r="AU610" s="3">
        <v>0</v>
      </c>
      <c r="AV610" s="3">
        <v>0</v>
      </c>
      <c r="AW610" s="3">
        <v>1</v>
      </c>
      <c r="AX610" s="3">
        <v>0</v>
      </c>
      <c r="AY610" s="3">
        <v>0</v>
      </c>
      <c r="AZ610" s="3">
        <v>1</v>
      </c>
      <c r="BA610" s="3">
        <v>1</v>
      </c>
      <c r="BB610" s="3">
        <v>0</v>
      </c>
      <c r="BC610" s="3">
        <v>0</v>
      </c>
      <c r="BD610" s="3">
        <v>0</v>
      </c>
      <c r="BE610" s="3">
        <v>0</v>
      </c>
      <c r="BG610" s="2" t="s">
        <v>139</v>
      </c>
      <c r="BH610" s="3">
        <v>2</v>
      </c>
      <c r="BJ610" s="2" t="s">
        <v>96</v>
      </c>
      <c r="BL610" s="2" t="s">
        <v>123</v>
      </c>
      <c r="BM610" s="2" t="s">
        <v>123</v>
      </c>
      <c r="BN610" s="2" t="s">
        <v>124</v>
      </c>
      <c r="BO610" s="2" t="s">
        <v>125</v>
      </c>
      <c r="BP610" s="2" t="s">
        <v>101</v>
      </c>
      <c r="BQ610" s="2" t="s">
        <v>124</v>
      </c>
      <c r="BR610" s="2" t="s">
        <v>126</v>
      </c>
      <c r="BS610" s="2" t="s">
        <v>127</v>
      </c>
      <c r="BT610" s="2" t="s">
        <v>199</v>
      </c>
      <c r="BU610" s="2" t="s">
        <v>200</v>
      </c>
      <c r="BV610" s="2" t="s">
        <v>166</v>
      </c>
      <c r="BW610" s="2" t="s">
        <v>167</v>
      </c>
      <c r="BX610" s="2" t="s">
        <v>139</v>
      </c>
      <c r="BY61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10" s="2">
        <f>IF(AND(Cases[[#This Row],[Priority Level]]&gt;=3,Cases[[#This Row],[System Role]]&lt;&gt;"Productive"),1,0)</f>
        <v>0</v>
      </c>
      <c r="CA610" s="2">
        <f>IFERROR(IF(Cases[[#This Row],[Days at Customer]]&gt;MAX(1,Cases[[#This Row],[Days at SAP]]*2),1,0),0)</f>
        <v>1</v>
      </c>
      <c r="CB610" s="2">
        <f>IF(AND(Cases[[#This Row],[Initial Component]]&lt;&gt;"",Cases[[#This Row],[Component]]&lt;&gt;"",Cases[[#This Row],[Initial Component]]&lt;&gt;Cases[[#This Row],[Component]]),1,0)</f>
        <v>0</v>
      </c>
      <c r="CC610" s="2">
        <f>IF(OR(Cases[[#This Row],[Is Reopened]]="X",Cases[[#This Row],[No. of Reopenings]]&gt;0),1,0)</f>
        <v>0</v>
      </c>
      <c r="CD610" s="2">
        <f>IF(Cases[[#This Row],[Confirmation Type]]="Automatic",1,0)</f>
        <v>0</v>
      </c>
      <c r="CE610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11" spans="1:83" x14ac:dyDescent="0.2">
      <c r="A611" s="1" t="s">
        <v>3413</v>
      </c>
      <c r="B611" s="2" t="s">
        <v>3414</v>
      </c>
      <c r="C611" s="2" t="s">
        <v>2832</v>
      </c>
      <c r="D611" s="2" t="s">
        <v>238</v>
      </c>
      <c r="E611" s="3">
        <v>34.6</v>
      </c>
      <c r="F611" s="3">
        <v>52.15</v>
      </c>
      <c r="G611" s="2" t="s">
        <v>79</v>
      </c>
      <c r="H611" s="2" t="s">
        <v>732</v>
      </c>
      <c r="I611" s="3" t="s">
        <v>114</v>
      </c>
      <c r="J611" s="3">
        <v>205</v>
      </c>
      <c r="K611" s="2" t="s">
        <v>3415</v>
      </c>
      <c r="L611" s="4">
        <v>46012</v>
      </c>
      <c r="M611" s="4">
        <v>46009</v>
      </c>
      <c r="N611" s="2" t="s">
        <v>1804</v>
      </c>
      <c r="O611" s="2" t="s">
        <v>1805</v>
      </c>
      <c r="P611" s="2" t="s">
        <v>1930</v>
      </c>
      <c r="Q611" s="2" t="s">
        <v>1806</v>
      </c>
      <c r="R611" s="2" t="s">
        <v>2834</v>
      </c>
      <c r="S611" s="4">
        <v>45922</v>
      </c>
      <c r="T611" s="2" t="s">
        <v>3264</v>
      </c>
      <c r="U611" s="2" t="s">
        <v>3265</v>
      </c>
      <c r="V611" s="2" t="s">
        <v>3296</v>
      </c>
      <c r="W611" s="2" t="s">
        <v>1806</v>
      </c>
      <c r="X611" s="2" t="s">
        <v>117</v>
      </c>
      <c r="Y611" s="3" t="s">
        <v>118</v>
      </c>
      <c r="Z611" s="3">
        <v>86.75</v>
      </c>
      <c r="AA611" s="2" t="s">
        <v>90</v>
      </c>
      <c r="AB611" s="2" t="s">
        <v>515</v>
      </c>
      <c r="AC611" s="2" t="s">
        <v>513</v>
      </c>
      <c r="AD611" t="str" cm="1">
        <f t="array" ref="AD61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611" s="2" t="s">
        <v>91</v>
      </c>
      <c r="AF611" s="2" t="s">
        <v>92</v>
      </c>
      <c r="AG611" s="2" t="s">
        <v>119</v>
      </c>
      <c r="AH611" s="2" t="s">
        <v>120</v>
      </c>
      <c r="AK611" s="2" t="s">
        <v>3416</v>
      </c>
      <c r="AN611" s="3">
        <v>1</v>
      </c>
      <c r="AO611" s="3">
        <v>0</v>
      </c>
      <c r="AP611" s="3">
        <v>1</v>
      </c>
      <c r="AQ611" s="3">
        <v>1</v>
      </c>
      <c r="AR611" s="3">
        <v>1</v>
      </c>
      <c r="AS611" s="3">
        <v>0</v>
      </c>
      <c r="AT611" s="3">
        <v>0</v>
      </c>
      <c r="AU611" s="3">
        <v>0</v>
      </c>
      <c r="AV611" s="3">
        <v>1</v>
      </c>
      <c r="AW611" s="3">
        <v>0</v>
      </c>
      <c r="AX611" s="3">
        <v>1</v>
      </c>
      <c r="AY611" s="3">
        <v>0</v>
      </c>
      <c r="AZ611" s="3">
        <v>0</v>
      </c>
      <c r="BA611" s="3">
        <v>0</v>
      </c>
      <c r="BB611" s="3">
        <v>0</v>
      </c>
      <c r="BC611" s="3">
        <v>1</v>
      </c>
      <c r="BD611" s="3">
        <v>0</v>
      </c>
      <c r="BE611" s="3">
        <v>0</v>
      </c>
      <c r="BG611" s="2" t="s">
        <v>91</v>
      </c>
      <c r="BH611" s="3">
        <v>3</v>
      </c>
      <c r="BJ611" s="2" t="s">
        <v>96</v>
      </c>
      <c r="BL611" s="2" t="s">
        <v>123</v>
      </c>
      <c r="BM611" s="2" t="s">
        <v>123</v>
      </c>
      <c r="BN611" s="2" t="s">
        <v>124</v>
      </c>
      <c r="BO611" s="2" t="s">
        <v>125</v>
      </c>
      <c r="BP611" s="2" t="s">
        <v>242</v>
      </c>
      <c r="BQ611" s="2" t="s">
        <v>124</v>
      </c>
      <c r="BR611" s="2" t="s">
        <v>126</v>
      </c>
      <c r="BS611" s="2" t="s">
        <v>127</v>
      </c>
      <c r="BT611" s="2" t="s">
        <v>174</v>
      </c>
      <c r="BU611" s="2" t="s">
        <v>175</v>
      </c>
      <c r="BV611" s="2" t="s">
        <v>150</v>
      </c>
      <c r="BW611" s="2" t="s">
        <v>151</v>
      </c>
      <c r="BX611" s="2" t="s">
        <v>91</v>
      </c>
      <c r="BY61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11" s="2">
        <f>IF(AND(Cases[[#This Row],[Priority Level]]&gt;=3,Cases[[#This Row],[System Role]]&lt;&gt;"Productive"),1,0)</f>
        <v>0</v>
      </c>
      <c r="CA611" s="2">
        <f>IFERROR(IF(Cases[[#This Row],[Days at Customer]]&gt;MAX(1,Cases[[#This Row],[Days at SAP]]*2),1,0),0)</f>
        <v>0</v>
      </c>
      <c r="CB611" s="2">
        <f>IF(AND(Cases[[#This Row],[Initial Component]]&lt;&gt;"",Cases[[#This Row],[Component]]&lt;&gt;"",Cases[[#This Row],[Initial Component]]&lt;&gt;Cases[[#This Row],[Component]]),1,0)</f>
        <v>1</v>
      </c>
      <c r="CC611" s="2">
        <f>IF(OR(Cases[[#This Row],[Is Reopened]]="X",Cases[[#This Row],[No. of Reopenings]]&gt;0),1,0)</f>
        <v>0</v>
      </c>
      <c r="CD611" s="2">
        <f>IF(Cases[[#This Row],[Confirmation Type]]="Automatic",1,0)</f>
        <v>1</v>
      </c>
      <c r="CE611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12" spans="1:83" x14ac:dyDescent="0.2">
      <c r="A612" s="1" t="s">
        <v>3417</v>
      </c>
      <c r="B612" s="2" t="s">
        <v>2790</v>
      </c>
      <c r="C612" s="2" t="s">
        <v>1556</v>
      </c>
      <c r="D612" s="2" t="s">
        <v>238</v>
      </c>
      <c r="E612" s="3">
        <v>3.92</v>
      </c>
      <c r="F612" s="3">
        <v>21.43</v>
      </c>
      <c r="G612" s="2" t="s">
        <v>113</v>
      </c>
      <c r="H612" s="2" t="s">
        <v>113</v>
      </c>
      <c r="I612" s="3" t="s">
        <v>114</v>
      </c>
      <c r="J612" s="3">
        <v>205</v>
      </c>
      <c r="K612" s="2" t="s">
        <v>3418</v>
      </c>
      <c r="L612" s="4">
        <v>46040</v>
      </c>
      <c r="M612" s="4">
        <v>45947</v>
      </c>
      <c r="N612" s="2" t="s">
        <v>2727</v>
      </c>
      <c r="O612" s="2" t="s">
        <v>1805</v>
      </c>
      <c r="P612" s="2" t="s">
        <v>2936</v>
      </c>
      <c r="Q612" s="2" t="s">
        <v>1806</v>
      </c>
      <c r="R612" s="2" t="s">
        <v>1555</v>
      </c>
      <c r="S612" s="4">
        <v>45922</v>
      </c>
      <c r="T612" s="2" t="s">
        <v>3264</v>
      </c>
      <c r="U612" s="2" t="s">
        <v>3265</v>
      </c>
      <c r="V612" s="2" t="s">
        <v>3296</v>
      </c>
      <c r="W612" s="2" t="s">
        <v>1806</v>
      </c>
      <c r="X612" s="2" t="s">
        <v>117</v>
      </c>
      <c r="Y612" s="3" t="s">
        <v>118</v>
      </c>
      <c r="Z612" s="3">
        <v>25.36</v>
      </c>
      <c r="AA612" s="2" t="s">
        <v>90</v>
      </c>
      <c r="AB612" s="2" t="s">
        <v>1555</v>
      </c>
      <c r="AC612" s="2" t="s">
        <v>1556</v>
      </c>
      <c r="AD612" t="str" cm="1">
        <f t="array" ref="AD61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612" s="2" t="s">
        <v>139</v>
      </c>
      <c r="AF612" s="2" t="s">
        <v>92</v>
      </c>
      <c r="AG612" s="2" t="s">
        <v>119</v>
      </c>
      <c r="AH612" s="2" t="s">
        <v>120</v>
      </c>
      <c r="AK612" s="2" t="s">
        <v>3419</v>
      </c>
      <c r="AN612" s="3">
        <v>1</v>
      </c>
      <c r="AO612" s="3">
        <v>0</v>
      </c>
      <c r="AP612" s="3">
        <v>1</v>
      </c>
      <c r="AQ612" s="3">
        <v>1</v>
      </c>
      <c r="AR612" s="3">
        <v>0</v>
      </c>
      <c r="AS612" s="3">
        <v>0</v>
      </c>
      <c r="AT612" s="3">
        <v>1</v>
      </c>
      <c r="AU612" s="3">
        <v>0</v>
      </c>
      <c r="AV612" s="3">
        <v>1</v>
      </c>
      <c r="AW612" s="3">
        <v>0</v>
      </c>
      <c r="AX612" s="3">
        <v>0</v>
      </c>
      <c r="AY612" s="3">
        <v>0</v>
      </c>
      <c r="AZ612" s="3">
        <v>1</v>
      </c>
      <c r="BA612" s="3">
        <v>0</v>
      </c>
      <c r="BB612" s="3">
        <v>0</v>
      </c>
      <c r="BC612" s="3">
        <v>1</v>
      </c>
      <c r="BD612" s="3">
        <v>0</v>
      </c>
      <c r="BE612" s="3">
        <v>0</v>
      </c>
      <c r="BG612" s="2" t="s">
        <v>139</v>
      </c>
      <c r="BH612" s="3">
        <v>2</v>
      </c>
      <c r="BJ612" s="2" t="s">
        <v>96</v>
      </c>
      <c r="BL612" s="2" t="s">
        <v>123</v>
      </c>
      <c r="BM612" s="2" t="s">
        <v>123</v>
      </c>
      <c r="BN612" s="2" t="s">
        <v>124</v>
      </c>
      <c r="BO612" s="2" t="s">
        <v>125</v>
      </c>
      <c r="BP612" s="2" t="s">
        <v>242</v>
      </c>
      <c r="BQ612" s="2" t="s">
        <v>124</v>
      </c>
      <c r="BR612" s="2" t="s">
        <v>126</v>
      </c>
      <c r="BS612" s="2" t="s">
        <v>127</v>
      </c>
      <c r="BT612" s="2" t="s">
        <v>174</v>
      </c>
      <c r="BU612" s="2" t="s">
        <v>175</v>
      </c>
      <c r="BV612" s="2" t="s">
        <v>150</v>
      </c>
      <c r="BW612" s="2" t="s">
        <v>151</v>
      </c>
      <c r="BX612" s="2" t="s">
        <v>139</v>
      </c>
      <c r="BY61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12" s="2">
        <f>IF(AND(Cases[[#This Row],[Priority Level]]&gt;=3,Cases[[#This Row],[System Role]]&lt;&gt;"Productive"),1,0)</f>
        <v>0</v>
      </c>
      <c r="CA612" s="2">
        <f>IFERROR(IF(Cases[[#This Row],[Days at Customer]]&gt;MAX(1,Cases[[#This Row],[Days at SAP]]*2),1,0),0)</f>
        <v>1</v>
      </c>
      <c r="CB612" s="2">
        <f>IF(AND(Cases[[#This Row],[Initial Component]]&lt;&gt;"",Cases[[#This Row],[Component]]&lt;&gt;"",Cases[[#This Row],[Initial Component]]&lt;&gt;Cases[[#This Row],[Component]]),1,0)</f>
        <v>0</v>
      </c>
      <c r="CC612" s="2">
        <f>IF(OR(Cases[[#This Row],[Is Reopened]]="X",Cases[[#This Row],[No. of Reopenings]]&gt;0),1,0)</f>
        <v>0</v>
      </c>
      <c r="CD612" s="2">
        <f>IF(Cases[[#This Row],[Confirmation Type]]="Automatic",1,0)</f>
        <v>1</v>
      </c>
      <c r="CE612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13" spans="1:83" x14ac:dyDescent="0.2">
      <c r="A613" s="1" t="s">
        <v>3420</v>
      </c>
      <c r="B613" s="2" t="s">
        <v>3421</v>
      </c>
      <c r="C613" s="2" t="s">
        <v>2687</v>
      </c>
      <c r="D613" s="2" t="s">
        <v>238</v>
      </c>
      <c r="E613" s="3">
        <v>5.52</v>
      </c>
      <c r="F613" s="3">
        <v>31.92</v>
      </c>
      <c r="G613" s="2" t="s">
        <v>79</v>
      </c>
      <c r="H613" s="2" t="s">
        <v>80</v>
      </c>
      <c r="I613" s="3" t="s">
        <v>114</v>
      </c>
      <c r="J613" s="3">
        <v>206</v>
      </c>
      <c r="K613" s="2" t="s">
        <v>3422</v>
      </c>
      <c r="L613" s="4">
        <v>46054</v>
      </c>
      <c r="M613" s="4">
        <v>45959</v>
      </c>
      <c r="N613" s="2" t="s">
        <v>2727</v>
      </c>
      <c r="O613" s="2" t="s">
        <v>1805</v>
      </c>
      <c r="P613" s="2" t="s">
        <v>2717</v>
      </c>
      <c r="Q613" s="2" t="s">
        <v>1806</v>
      </c>
      <c r="R613" s="2" t="s">
        <v>2686</v>
      </c>
      <c r="S613" s="4">
        <v>45921</v>
      </c>
      <c r="T613" s="2" t="s">
        <v>3264</v>
      </c>
      <c r="U613" s="2" t="s">
        <v>3265</v>
      </c>
      <c r="V613" s="2" t="s">
        <v>3423</v>
      </c>
      <c r="W613" s="2" t="s">
        <v>1806</v>
      </c>
      <c r="X613" s="2" t="s">
        <v>117</v>
      </c>
      <c r="Y613" s="3" t="s">
        <v>118</v>
      </c>
      <c r="Z613" s="3">
        <v>37.43</v>
      </c>
      <c r="AA613" s="2" t="s">
        <v>138</v>
      </c>
      <c r="AB613" s="2" t="s">
        <v>2685</v>
      </c>
      <c r="AC613" s="2" t="s">
        <v>2683</v>
      </c>
      <c r="AD613" t="str" cm="1">
        <f t="array" ref="AD61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613" s="2" t="s">
        <v>182</v>
      </c>
      <c r="AF613" s="2" t="s">
        <v>92</v>
      </c>
      <c r="AG613" s="2" t="s">
        <v>274</v>
      </c>
      <c r="AH613" s="2" t="s">
        <v>275</v>
      </c>
      <c r="AJ613" s="2" t="s">
        <v>122</v>
      </c>
      <c r="AK613" s="2" t="s">
        <v>3424</v>
      </c>
      <c r="AN613" s="3">
        <v>1</v>
      </c>
      <c r="AO613" s="3">
        <v>0</v>
      </c>
      <c r="AP613" s="3">
        <v>1</v>
      </c>
      <c r="AQ613" s="3">
        <v>1</v>
      </c>
      <c r="AR613" s="3">
        <v>1</v>
      </c>
      <c r="AS613" s="3">
        <v>0</v>
      </c>
      <c r="AT613" s="3">
        <v>0</v>
      </c>
      <c r="AU613" s="3">
        <v>0</v>
      </c>
      <c r="AV613" s="3">
        <v>1</v>
      </c>
      <c r="AW613" s="3">
        <v>0</v>
      </c>
      <c r="AX613" s="3">
        <v>1</v>
      </c>
      <c r="AY613" s="3">
        <v>0</v>
      </c>
      <c r="AZ613" s="3">
        <v>0</v>
      </c>
      <c r="BA613" s="3">
        <v>0</v>
      </c>
      <c r="BB613" s="3">
        <v>0</v>
      </c>
      <c r="BC613" s="3">
        <v>1</v>
      </c>
      <c r="BD613" s="3">
        <v>3</v>
      </c>
      <c r="BE613" s="3">
        <v>0</v>
      </c>
      <c r="BG613" s="2" t="s">
        <v>91</v>
      </c>
      <c r="BH613" s="3">
        <v>3</v>
      </c>
      <c r="BJ613" s="2" t="s">
        <v>96</v>
      </c>
      <c r="BL613" s="2" t="s">
        <v>2689</v>
      </c>
      <c r="BM613" s="2" t="s">
        <v>2690</v>
      </c>
      <c r="BN613" s="2" t="s">
        <v>2691</v>
      </c>
      <c r="BO613" s="2" t="s">
        <v>2692</v>
      </c>
      <c r="BP613" s="2" t="s">
        <v>242</v>
      </c>
      <c r="BQ613" s="2" t="s">
        <v>2693</v>
      </c>
      <c r="BR613" s="2" t="s">
        <v>2694</v>
      </c>
      <c r="BS613" s="2" t="s">
        <v>450</v>
      </c>
      <c r="BT613" s="2" t="s">
        <v>2695</v>
      </c>
      <c r="BU613" s="2" t="s">
        <v>2696</v>
      </c>
      <c r="BV613" s="2" t="s">
        <v>150</v>
      </c>
      <c r="BW613" s="2" t="s">
        <v>151</v>
      </c>
      <c r="BX613" s="2" t="s">
        <v>182</v>
      </c>
      <c r="BY61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13" s="2">
        <f>IF(AND(Cases[[#This Row],[Priority Level]]&gt;=3,Cases[[#This Row],[System Role]]&lt;&gt;"Productive"),1,0)</f>
        <v>0</v>
      </c>
      <c r="CA613" s="2">
        <f>IFERROR(IF(Cases[[#This Row],[Days at Customer]]&gt;MAX(1,Cases[[#This Row],[Days at SAP]]*2),1,0),0)</f>
        <v>1</v>
      </c>
      <c r="CB613" s="2">
        <f>IF(AND(Cases[[#This Row],[Initial Component]]&lt;&gt;"",Cases[[#This Row],[Component]]&lt;&gt;"",Cases[[#This Row],[Initial Component]]&lt;&gt;Cases[[#This Row],[Component]]),1,0)</f>
        <v>1</v>
      </c>
      <c r="CC613" s="2">
        <f>IF(OR(Cases[[#This Row],[Is Reopened]]="X",Cases[[#This Row],[No. of Reopenings]]&gt;0),1,0)</f>
        <v>1</v>
      </c>
      <c r="CD613" s="2">
        <f>IF(Cases[[#This Row],[Confirmation Type]]="Automatic",1,0)</f>
        <v>1</v>
      </c>
      <c r="CE613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614" spans="1:83" x14ac:dyDescent="0.2">
      <c r="A614" s="1" t="s">
        <v>1291</v>
      </c>
      <c r="B614" s="2" t="s">
        <v>1292</v>
      </c>
      <c r="C614" s="2" t="s">
        <v>311</v>
      </c>
      <c r="D614" s="2" t="s">
        <v>238</v>
      </c>
      <c r="E614" s="3">
        <v>9.69</v>
      </c>
      <c r="F614" s="3">
        <v>45.67</v>
      </c>
      <c r="G614" s="2" t="s">
        <v>79</v>
      </c>
      <c r="H614" s="2" t="s">
        <v>732</v>
      </c>
      <c r="I614" s="3" t="s">
        <v>114</v>
      </c>
      <c r="J614" s="3">
        <v>71</v>
      </c>
      <c r="K614" s="2" t="s">
        <v>1293</v>
      </c>
      <c r="L614" s="4">
        <v>46117</v>
      </c>
      <c r="M614" s="4">
        <v>46111</v>
      </c>
      <c r="N614" s="2" t="s">
        <v>180</v>
      </c>
      <c r="O614" s="2" t="s">
        <v>181</v>
      </c>
      <c r="P614" s="2" t="s">
        <v>136</v>
      </c>
      <c r="Q614" s="2" t="s">
        <v>86</v>
      </c>
      <c r="R614" s="2" t="s">
        <v>310</v>
      </c>
      <c r="S614" s="4">
        <v>46056</v>
      </c>
      <c r="T614" s="2" t="s">
        <v>677</v>
      </c>
      <c r="U614" s="2" t="s">
        <v>181</v>
      </c>
      <c r="V614" s="2" t="s">
        <v>1165</v>
      </c>
      <c r="W614" s="2" t="s">
        <v>86</v>
      </c>
      <c r="X614" s="2" t="s">
        <v>117</v>
      </c>
      <c r="Y614" s="3" t="s">
        <v>118</v>
      </c>
      <c r="Z614" s="3">
        <v>55.36</v>
      </c>
      <c r="AA614" s="2" t="s">
        <v>90</v>
      </c>
      <c r="AB614" s="2" t="s">
        <v>205</v>
      </c>
      <c r="AC614" s="2" t="s">
        <v>203</v>
      </c>
      <c r="AD614" t="str" cm="1">
        <f t="array" ref="AD61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614" s="2" t="s">
        <v>91</v>
      </c>
      <c r="AF614" s="2" t="s">
        <v>92</v>
      </c>
      <c r="AG614" s="2" t="s">
        <v>119</v>
      </c>
      <c r="AH614" s="2" t="s">
        <v>120</v>
      </c>
      <c r="AK614" s="2" t="s">
        <v>1294</v>
      </c>
      <c r="AN614" s="3">
        <v>1</v>
      </c>
      <c r="AO614" s="3">
        <v>1</v>
      </c>
      <c r="AP614" s="3">
        <v>1</v>
      </c>
      <c r="AQ614" s="3">
        <v>1</v>
      </c>
      <c r="AR614" s="3">
        <v>1</v>
      </c>
      <c r="AS614" s="3">
        <v>0</v>
      </c>
      <c r="AT614" s="3">
        <v>0</v>
      </c>
      <c r="AU614" s="3">
        <v>0</v>
      </c>
      <c r="AV614" s="3">
        <v>1</v>
      </c>
      <c r="AW614" s="3">
        <v>0</v>
      </c>
      <c r="AX614" s="3">
        <v>1</v>
      </c>
      <c r="AY614" s="3">
        <v>0</v>
      </c>
      <c r="AZ614" s="3">
        <v>0</v>
      </c>
      <c r="BA614" s="3">
        <v>0</v>
      </c>
      <c r="BB614" s="3">
        <v>0</v>
      </c>
      <c r="BC614" s="3">
        <v>1</v>
      </c>
      <c r="BD614" s="3">
        <v>0</v>
      </c>
      <c r="BE614" s="3">
        <v>0</v>
      </c>
      <c r="BG614" s="2" t="s">
        <v>91</v>
      </c>
      <c r="BH614" s="3">
        <v>3</v>
      </c>
      <c r="BI614" s="2" t="s">
        <v>122</v>
      </c>
      <c r="BJ614" s="2" t="s">
        <v>96</v>
      </c>
      <c r="BL614" s="2" t="s">
        <v>123</v>
      </c>
      <c r="BM614" s="2" t="s">
        <v>123</v>
      </c>
      <c r="BN614" s="2" t="s">
        <v>124</v>
      </c>
      <c r="BO614" s="2" t="s">
        <v>125</v>
      </c>
      <c r="BP614" s="2" t="s">
        <v>242</v>
      </c>
      <c r="BQ614" s="2" t="s">
        <v>124</v>
      </c>
      <c r="BR614" s="2" t="s">
        <v>126</v>
      </c>
      <c r="BS614" s="2" t="s">
        <v>127</v>
      </c>
      <c r="BT614" s="2" t="s">
        <v>207</v>
      </c>
      <c r="BU614" s="2" t="s">
        <v>208</v>
      </c>
      <c r="BV614" s="2" t="s">
        <v>150</v>
      </c>
      <c r="BW614" s="2" t="s">
        <v>151</v>
      </c>
      <c r="BX614" s="2" t="s">
        <v>91</v>
      </c>
      <c r="BY61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14" s="2">
        <f>IF(AND(Cases[[#This Row],[Priority Level]]&gt;=3,Cases[[#This Row],[System Role]]&lt;&gt;"Productive"),1,0)</f>
        <v>0</v>
      </c>
      <c r="CA614" s="2">
        <f>IFERROR(IF(Cases[[#This Row],[Days at Customer]]&gt;MAX(1,Cases[[#This Row],[Days at SAP]]*2),1,0),0)</f>
        <v>1</v>
      </c>
      <c r="CB614" s="2">
        <f>IF(AND(Cases[[#This Row],[Initial Component]]&lt;&gt;"",Cases[[#This Row],[Component]]&lt;&gt;"",Cases[[#This Row],[Initial Component]]&lt;&gt;Cases[[#This Row],[Component]]),1,0)</f>
        <v>1</v>
      </c>
      <c r="CC614" s="2">
        <f>IF(OR(Cases[[#This Row],[Is Reopened]]="X",Cases[[#This Row],[No. of Reopenings]]&gt;0),1,0)</f>
        <v>0</v>
      </c>
      <c r="CD614" s="2">
        <f>IF(Cases[[#This Row],[Confirmation Type]]="Automatic",1,0)</f>
        <v>1</v>
      </c>
      <c r="CE614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15" spans="1:83" x14ac:dyDescent="0.2">
      <c r="A615" s="1" t="s">
        <v>1355</v>
      </c>
      <c r="B615" s="2" t="s">
        <v>1356</v>
      </c>
      <c r="C615" s="2" t="s">
        <v>311</v>
      </c>
      <c r="D615" s="2" t="s">
        <v>238</v>
      </c>
      <c r="E615" s="3">
        <v>8.93</v>
      </c>
      <c r="F615" s="3">
        <v>52.16</v>
      </c>
      <c r="G615" s="2" t="s">
        <v>133</v>
      </c>
      <c r="H615" s="2" t="s">
        <v>324</v>
      </c>
      <c r="I615" s="3" t="s">
        <v>114</v>
      </c>
      <c r="J615" s="3">
        <v>76</v>
      </c>
      <c r="K615" s="2" t="s">
        <v>1357</v>
      </c>
      <c r="L615" s="4">
        <v>46117</v>
      </c>
      <c r="M615" s="4">
        <v>46113</v>
      </c>
      <c r="N615" s="2" t="s">
        <v>83</v>
      </c>
      <c r="O615" s="2" t="s">
        <v>84</v>
      </c>
      <c r="P615" s="2" t="s">
        <v>136</v>
      </c>
      <c r="Q615" s="2" t="s">
        <v>86</v>
      </c>
      <c r="R615" s="2" t="s">
        <v>310</v>
      </c>
      <c r="S615" s="4">
        <v>46051</v>
      </c>
      <c r="T615" s="2" t="s">
        <v>1334</v>
      </c>
      <c r="U615" s="2" t="s">
        <v>181</v>
      </c>
      <c r="V615" s="2" t="s">
        <v>1335</v>
      </c>
      <c r="W615" s="2" t="s">
        <v>86</v>
      </c>
      <c r="X615" s="2" t="s">
        <v>117</v>
      </c>
      <c r="Y615" s="3" t="s">
        <v>118</v>
      </c>
      <c r="Z615" s="3">
        <v>61.08</v>
      </c>
      <c r="AA615" s="2" t="s">
        <v>90</v>
      </c>
      <c r="AB615" s="2" t="s">
        <v>205</v>
      </c>
      <c r="AC615" s="2" t="s">
        <v>203</v>
      </c>
      <c r="AD615" t="str" cm="1">
        <f t="array" ref="AD61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615" s="2" t="s">
        <v>139</v>
      </c>
      <c r="AF615" s="2" t="s">
        <v>92</v>
      </c>
      <c r="AG615" s="2" t="s">
        <v>119</v>
      </c>
      <c r="AH615" s="2" t="s">
        <v>120</v>
      </c>
      <c r="AK615" s="2" t="s">
        <v>1358</v>
      </c>
      <c r="AN615" s="3">
        <v>1</v>
      </c>
      <c r="AO615" s="3">
        <v>1</v>
      </c>
      <c r="AP615" s="3">
        <v>1</v>
      </c>
      <c r="AQ615" s="3">
        <v>1</v>
      </c>
      <c r="AR615" s="3">
        <v>1</v>
      </c>
      <c r="AS615" s="3">
        <v>0</v>
      </c>
      <c r="AT615" s="3">
        <v>0</v>
      </c>
      <c r="AU615" s="3">
        <v>0</v>
      </c>
      <c r="AV615" s="3">
        <v>1</v>
      </c>
      <c r="AW615" s="3">
        <v>0</v>
      </c>
      <c r="AX615" s="3">
        <v>1</v>
      </c>
      <c r="AY615" s="3">
        <v>0</v>
      </c>
      <c r="AZ615" s="3">
        <v>0</v>
      </c>
      <c r="BA615" s="3">
        <v>0</v>
      </c>
      <c r="BB615" s="3">
        <v>0</v>
      </c>
      <c r="BC615" s="3">
        <v>1</v>
      </c>
      <c r="BD615" s="3">
        <v>0</v>
      </c>
      <c r="BE615" s="3">
        <v>0</v>
      </c>
      <c r="BG615" s="2" t="s">
        <v>91</v>
      </c>
      <c r="BH615" s="3">
        <v>3</v>
      </c>
      <c r="BI615" s="2" t="s">
        <v>122</v>
      </c>
      <c r="BJ615" s="2" t="s">
        <v>96</v>
      </c>
      <c r="BL615" s="2" t="s">
        <v>123</v>
      </c>
      <c r="BM615" s="2" t="s">
        <v>123</v>
      </c>
      <c r="BN615" s="2" t="s">
        <v>124</v>
      </c>
      <c r="BO615" s="2" t="s">
        <v>125</v>
      </c>
      <c r="BP615" s="2" t="s">
        <v>242</v>
      </c>
      <c r="BQ615" s="2" t="s">
        <v>124</v>
      </c>
      <c r="BR615" s="2" t="s">
        <v>126</v>
      </c>
      <c r="BS615" s="2" t="s">
        <v>127</v>
      </c>
      <c r="BT615" s="2" t="s">
        <v>207</v>
      </c>
      <c r="BU615" s="2" t="s">
        <v>208</v>
      </c>
      <c r="BV615" s="2" t="s">
        <v>150</v>
      </c>
      <c r="BW615" s="2" t="s">
        <v>151</v>
      </c>
      <c r="BX615" s="2" t="s">
        <v>91</v>
      </c>
      <c r="BY61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15" s="2">
        <f>IF(AND(Cases[[#This Row],[Priority Level]]&gt;=3,Cases[[#This Row],[System Role]]&lt;&gt;"Productive"),1,0)</f>
        <v>0</v>
      </c>
      <c r="CA615" s="2">
        <f>IFERROR(IF(Cases[[#This Row],[Days at Customer]]&gt;MAX(1,Cases[[#This Row],[Days at SAP]]*2),1,0),0)</f>
        <v>1</v>
      </c>
      <c r="CB615" s="2">
        <f>IF(AND(Cases[[#This Row],[Initial Component]]&lt;&gt;"",Cases[[#This Row],[Component]]&lt;&gt;"",Cases[[#This Row],[Initial Component]]&lt;&gt;Cases[[#This Row],[Component]]),1,0)</f>
        <v>1</v>
      </c>
      <c r="CC615" s="2">
        <f>IF(OR(Cases[[#This Row],[Is Reopened]]="X",Cases[[#This Row],[No. of Reopenings]]&gt;0),1,0)</f>
        <v>0</v>
      </c>
      <c r="CD615" s="2">
        <f>IF(Cases[[#This Row],[Confirmation Type]]="Automatic",1,0)</f>
        <v>1</v>
      </c>
      <c r="CE615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16" spans="1:83" x14ac:dyDescent="0.2">
      <c r="A616" s="1" t="s">
        <v>3355</v>
      </c>
      <c r="B616" s="2" t="s">
        <v>3356</v>
      </c>
      <c r="C616" s="2" t="s">
        <v>3357</v>
      </c>
      <c r="D616" s="2" t="s">
        <v>78</v>
      </c>
      <c r="E616" s="3">
        <v>142.84</v>
      </c>
      <c r="F616" s="3">
        <v>46.31</v>
      </c>
      <c r="G616" s="2" t="s">
        <v>79</v>
      </c>
      <c r="H616" s="2" t="s">
        <v>80</v>
      </c>
      <c r="I616" s="3" t="s">
        <v>114</v>
      </c>
      <c r="J616" s="3">
        <v>203</v>
      </c>
      <c r="K616" s="2" t="s">
        <v>3358</v>
      </c>
      <c r="L616" s="4">
        <v>46117</v>
      </c>
      <c r="M616" s="4">
        <v>46113</v>
      </c>
      <c r="N616" s="2" t="s">
        <v>83</v>
      </c>
      <c r="O616" s="2" t="s">
        <v>84</v>
      </c>
      <c r="P616" s="2" t="s">
        <v>136</v>
      </c>
      <c r="Q616" s="2" t="s">
        <v>86</v>
      </c>
      <c r="R616" s="2" t="s">
        <v>3359</v>
      </c>
      <c r="S616" s="4">
        <v>45924</v>
      </c>
      <c r="T616" s="2" t="s">
        <v>3264</v>
      </c>
      <c r="U616" s="2" t="s">
        <v>3265</v>
      </c>
      <c r="V616" s="2" t="s">
        <v>3296</v>
      </c>
      <c r="W616" s="2" t="s">
        <v>1806</v>
      </c>
      <c r="X616" s="2" t="s">
        <v>117</v>
      </c>
      <c r="Y616" s="3" t="s">
        <v>118</v>
      </c>
      <c r="Z616" s="3">
        <v>189.16</v>
      </c>
      <c r="AA616" s="2" t="s">
        <v>90</v>
      </c>
      <c r="AB616" s="2" t="s">
        <v>488</v>
      </c>
      <c r="AC616" s="2" t="s">
        <v>3360</v>
      </c>
      <c r="AD616" t="str" cm="1">
        <f t="array" ref="AD61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616" s="2" t="s">
        <v>91</v>
      </c>
      <c r="AF616" s="2" t="s">
        <v>92</v>
      </c>
      <c r="AG616" s="2" t="s">
        <v>119</v>
      </c>
      <c r="AH616" s="2" t="s">
        <v>120</v>
      </c>
      <c r="AJ616" s="2" t="s">
        <v>122</v>
      </c>
      <c r="AK616" s="2" t="s">
        <v>3361</v>
      </c>
      <c r="AN616" s="3">
        <v>1</v>
      </c>
      <c r="AO616" s="3">
        <v>0</v>
      </c>
      <c r="AP616" s="3">
        <v>1</v>
      </c>
      <c r="AQ616" s="3">
        <v>1</v>
      </c>
      <c r="AR616" s="3">
        <v>1</v>
      </c>
      <c r="AS616" s="3">
        <v>0</v>
      </c>
      <c r="AT616" s="3">
        <v>0</v>
      </c>
      <c r="AU616" s="3">
        <v>0</v>
      </c>
      <c r="AV616" s="3">
        <v>0</v>
      </c>
      <c r="AW616" s="3">
        <v>1</v>
      </c>
      <c r="AX616" s="3">
        <v>1</v>
      </c>
      <c r="AY616" s="3">
        <v>0</v>
      </c>
      <c r="AZ616" s="3">
        <v>0</v>
      </c>
      <c r="BA616" s="3">
        <v>1</v>
      </c>
      <c r="BB616" s="3">
        <v>0</v>
      </c>
      <c r="BC616" s="3">
        <v>0</v>
      </c>
      <c r="BD616" s="3">
        <v>8</v>
      </c>
      <c r="BE616" s="3">
        <v>0</v>
      </c>
      <c r="BG616" s="2" t="s">
        <v>91</v>
      </c>
      <c r="BH616" s="3">
        <v>3</v>
      </c>
      <c r="BJ616" s="2" t="s">
        <v>96</v>
      </c>
      <c r="BL616" s="2" t="s">
        <v>123</v>
      </c>
      <c r="BM616" s="2" t="s">
        <v>123</v>
      </c>
      <c r="BN616" s="2" t="s">
        <v>124</v>
      </c>
      <c r="BO616" s="2" t="s">
        <v>125</v>
      </c>
      <c r="BP616" s="2" t="s">
        <v>101</v>
      </c>
      <c r="BQ616" s="2" t="s">
        <v>124</v>
      </c>
      <c r="BR616" s="2" t="s">
        <v>126</v>
      </c>
      <c r="BS616" s="2" t="s">
        <v>127</v>
      </c>
      <c r="BT616" s="2" t="s">
        <v>199</v>
      </c>
      <c r="BU616" s="2" t="s">
        <v>200</v>
      </c>
      <c r="BV616" s="2" t="s">
        <v>166</v>
      </c>
      <c r="BW616" s="2" t="s">
        <v>167</v>
      </c>
      <c r="BX616" s="2" t="s">
        <v>91</v>
      </c>
      <c r="BY61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16" s="2">
        <f>IF(AND(Cases[[#This Row],[Priority Level]]&gt;=3,Cases[[#This Row],[System Role]]&lt;&gt;"Productive"),1,0)</f>
        <v>1</v>
      </c>
      <c r="CA616" s="2">
        <f>IFERROR(IF(Cases[[#This Row],[Days at Customer]]&gt;MAX(1,Cases[[#This Row],[Days at SAP]]*2),1,0),0)</f>
        <v>0</v>
      </c>
      <c r="CB616" s="2">
        <f>IF(AND(Cases[[#This Row],[Initial Component]]&lt;&gt;"",Cases[[#This Row],[Component]]&lt;&gt;"",Cases[[#This Row],[Initial Component]]&lt;&gt;Cases[[#This Row],[Component]]),1,0)</f>
        <v>1</v>
      </c>
      <c r="CC616" s="2">
        <f>IF(OR(Cases[[#This Row],[Is Reopened]]="X",Cases[[#This Row],[No. of Reopenings]]&gt;0),1,0)</f>
        <v>1</v>
      </c>
      <c r="CD616" s="2">
        <f>IF(Cases[[#This Row],[Confirmation Type]]="Automatic",1,0)</f>
        <v>0</v>
      </c>
      <c r="CE616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617" spans="1:83" x14ac:dyDescent="0.2">
      <c r="A617" s="1" t="s">
        <v>3437</v>
      </c>
      <c r="B617" s="2" t="s">
        <v>3438</v>
      </c>
      <c r="C617" s="2" t="s">
        <v>2921</v>
      </c>
      <c r="D617" s="2" t="s">
        <v>238</v>
      </c>
      <c r="E617" s="3">
        <v>0.5</v>
      </c>
      <c r="F617" s="3">
        <v>21.25</v>
      </c>
      <c r="G617" s="2" t="s">
        <v>79</v>
      </c>
      <c r="H617" s="2" t="s">
        <v>178</v>
      </c>
      <c r="I617" s="3" t="s">
        <v>81</v>
      </c>
      <c r="J617" s="3">
        <v>208</v>
      </c>
      <c r="K617" s="2" t="s">
        <v>3439</v>
      </c>
      <c r="L617" s="4">
        <v>46033</v>
      </c>
      <c r="M617" s="4">
        <v>45940</v>
      </c>
      <c r="N617" s="2" t="s">
        <v>2727</v>
      </c>
      <c r="O617" s="2" t="s">
        <v>1805</v>
      </c>
      <c r="P617" s="2" t="s">
        <v>3126</v>
      </c>
      <c r="Q617" s="2" t="s">
        <v>1806</v>
      </c>
      <c r="R617" s="2" t="s">
        <v>2923</v>
      </c>
      <c r="S617" s="4">
        <v>45919</v>
      </c>
      <c r="T617" s="2" t="s">
        <v>3264</v>
      </c>
      <c r="U617" s="2" t="s">
        <v>3265</v>
      </c>
      <c r="V617" s="2" t="s">
        <v>3423</v>
      </c>
      <c r="W617" s="2" t="s">
        <v>1806</v>
      </c>
      <c r="X617" s="2" t="s">
        <v>88</v>
      </c>
      <c r="Y617" s="3" t="s">
        <v>89</v>
      </c>
      <c r="Z617" s="3">
        <v>21.74</v>
      </c>
      <c r="AA617" s="2" t="s">
        <v>90</v>
      </c>
      <c r="AB617" s="2" t="s">
        <v>2923</v>
      </c>
      <c r="AC617" s="2" t="s">
        <v>2921</v>
      </c>
      <c r="AD617" t="str" cm="1">
        <f t="array" ref="AD61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617" s="2" t="s">
        <v>139</v>
      </c>
      <c r="AF617" s="2" t="s">
        <v>92</v>
      </c>
      <c r="AG617" s="2" t="s">
        <v>93</v>
      </c>
      <c r="AH617" s="2" t="s">
        <v>94</v>
      </c>
      <c r="AK617" s="2" t="s">
        <v>3440</v>
      </c>
      <c r="AN617" s="3">
        <v>1</v>
      </c>
      <c r="AO617" s="3">
        <v>0</v>
      </c>
      <c r="AP617" s="3">
        <v>1</v>
      </c>
      <c r="AQ617" s="3">
        <v>1</v>
      </c>
      <c r="AR617" s="3">
        <v>0</v>
      </c>
      <c r="AS617" s="3">
        <v>0</v>
      </c>
      <c r="AT617" s="3">
        <v>1</v>
      </c>
      <c r="AU617" s="3">
        <v>0</v>
      </c>
      <c r="AV617" s="3">
        <v>1</v>
      </c>
      <c r="AW617" s="3">
        <v>0</v>
      </c>
      <c r="AX617" s="3">
        <v>0</v>
      </c>
      <c r="AY617" s="3">
        <v>0</v>
      </c>
      <c r="AZ617" s="3">
        <v>1</v>
      </c>
      <c r="BA617" s="3">
        <v>0</v>
      </c>
      <c r="BB617" s="3">
        <v>0</v>
      </c>
      <c r="BC617" s="3">
        <v>1</v>
      </c>
      <c r="BD617" s="3">
        <v>0</v>
      </c>
      <c r="BE617" s="3">
        <v>0</v>
      </c>
      <c r="BG617" s="2" t="s">
        <v>139</v>
      </c>
      <c r="BH617" s="3">
        <v>2</v>
      </c>
      <c r="BJ617" s="2" t="s">
        <v>96</v>
      </c>
      <c r="BL617" s="2" t="s">
        <v>184</v>
      </c>
      <c r="BM617" s="2" t="s">
        <v>184</v>
      </c>
      <c r="BN617" s="2" t="s">
        <v>124</v>
      </c>
      <c r="BO617" s="2" t="s">
        <v>125</v>
      </c>
      <c r="BP617" s="2" t="s">
        <v>242</v>
      </c>
      <c r="BQ617" s="2" t="s">
        <v>124</v>
      </c>
      <c r="BR617" s="2" t="s">
        <v>126</v>
      </c>
      <c r="BS617" s="2" t="s">
        <v>127</v>
      </c>
      <c r="BT617" s="2" t="s">
        <v>185</v>
      </c>
      <c r="BU617" s="2" t="s">
        <v>186</v>
      </c>
      <c r="BV617" s="2" t="s">
        <v>150</v>
      </c>
      <c r="BW617" s="2" t="s">
        <v>151</v>
      </c>
      <c r="BX617" s="2" t="s">
        <v>139</v>
      </c>
      <c r="BY61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17" s="2">
        <f>IF(AND(Cases[[#This Row],[Priority Level]]&gt;=3,Cases[[#This Row],[System Role]]&lt;&gt;"Productive"),1,0)</f>
        <v>0</v>
      </c>
      <c r="CA617" s="2">
        <f>IFERROR(IF(Cases[[#This Row],[Days at Customer]]&gt;MAX(1,Cases[[#This Row],[Days at SAP]]*2),1,0),0)</f>
        <v>1</v>
      </c>
      <c r="CB617" s="2">
        <f>IF(AND(Cases[[#This Row],[Initial Component]]&lt;&gt;"",Cases[[#This Row],[Component]]&lt;&gt;"",Cases[[#This Row],[Initial Component]]&lt;&gt;Cases[[#This Row],[Component]]),1,0)</f>
        <v>0</v>
      </c>
      <c r="CC617" s="2">
        <f>IF(OR(Cases[[#This Row],[Is Reopened]]="X",Cases[[#This Row],[No. of Reopenings]]&gt;0),1,0)</f>
        <v>0</v>
      </c>
      <c r="CD617" s="2">
        <f>IF(Cases[[#This Row],[Confirmation Type]]="Automatic",1,0)</f>
        <v>1</v>
      </c>
      <c r="CE61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18" spans="1:83" x14ac:dyDescent="0.2">
      <c r="A618" s="1" t="s">
        <v>3441</v>
      </c>
      <c r="B618" s="2" t="s">
        <v>3442</v>
      </c>
      <c r="C618" s="2" t="s">
        <v>2593</v>
      </c>
      <c r="D618" s="2" t="s">
        <v>238</v>
      </c>
      <c r="E618" s="3">
        <v>0</v>
      </c>
      <c r="F618" s="3">
        <v>21.87</v>
      </c>
      <c r="G618" s="2" t="s">
        <v>79</v>
      </c>
      <c r="H618" s="2" t="s">
        <v>80</v>
      </c>
      <c r="I618" s="3" t="s">
        <v>81</v>
      </c>
      <c r="J618" s="3">
        <v>209</v>
      </c>
      <c r="K618" s="2" t="s">
        <v>3443</v>
      </c>
      <c r="L618" s="4">
        <v>46033</v>
      </c>
      <c r="M618" s="4">
        <v>45940</v>
      </c>
      <c r="N618" s="2" t="s">
        <v>2727</v>
      </c>
      <c r="O618" s="2" t="s">
        <v>1805</v>
      </c>
      <c r="P618" s="2" t="s">
        <v>3126</v>
      </c>
      <c r="Q618" s="2" t="s">
        <v>1806</v>
      </c>
      <c r="R618" s="2" t="s">
        <v>2592</v>
      </c>
      <c r="S618" s="4">
        <v>45918</v>
      </c>
      <c r="T618" s="2" t="s">
        <v>3264</v>
      </c>
      <c r="U618" s="2" t="s">
        <v>3265</v>
      </c>
      <c r="V618" s="2" t="s">
        <v>3423</v>
      </c>
      <c r="W618" s="2" t="s">
        <v>1806</v>
      </c>
      <c r="X618" s="2" t="s">
        <v>88</v>
      </c>
      <c r="Y618" s="3" t="s">
        <v>89</v>
      </c>
      <c r="Z618" s="3">
        <v>21.87</v>
      </c>
      <c r="AA618" s="2" t="s">
        <v>90</v>
      </c>
      <c r="AB618" s="2" t="s">
        <v>2592</v>
      </c>
      <c r="AC618" s="2" t="s">
        <v>2593</v>
      </c>
      <c r="AD618" t="str" cm="1">
        <f t="array" ref="AD61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618" s="2" t="s">
        <v>139</v>
      </c>
      <c r="AF618" s="2" t="s">
        <v>92</v>
      </c>
      <c r="AG618" s="2" t="s">
        <v>93</v>
      </c>
      <c r="AH618" s="2" t="s">
        <v>94</v>
      </c>
      <c r="AK618" s="2" t="s">
        <v>3444</v>
      </c>
      <c r="AN618" s="3">
        <v>1</v>
      </c>
      <c r="AO618" s="3">
        <v>0</v>
      </c>
      <c r="AP618" s="3">
        <v>1</v>
      </c>
      <c r="AQ618" s="3">
        <v>1</v>
      </c>
      <c r="AR618" s="3">
        <v>0</v>
      </c>
      <c r="AS618" s="3">
        <v>0</v>
      </c>
      <c r="AT618" s="3">
        <v>1</v>
      </c>
      <c r="AU618" s="3">
        <v>0</v>
      </c>
      <c r="AV618" s="3">
        <v>1</v>
      </c>
      <c r="AW618" s="3">
        <v>0</v>
      </c>
      <c r="AX618" s="3">
        <v>0</v>
      </c>
      <c r="AY618" s="3">
        <v>0</v>
      </c>
      <c r="AZ618" s="3">
        <v>1</v>
      </c>
      <c r="BA618" s="3">
        <v>1</v>
      </c>
      <c r="BB618" s="3">
        <v>0</v>
      </c>
      <c r="BC618" s="3">
        <v>0</v>
      </c>
      <c r="BD618" s="3">
        <v>0</v>
      </c>
      <c r="BE618" s="3">
        <v>0</v>
      </c>
      <c r="BG618" s="2" t="s">
        <v>139</v>
      </c>
      <c r="BH618" s="3">
        <v>2</v>
      </c>
      <c r="BJ618" s="2" t="s">
        <v>96</v>
      </c>
      <c r="BL618" s="2" t="s">
        <v>184</v>
      </c>
      <c r="BM618" s="2" t="s">
        <v>184</v>
      </c>
      <c r="BN618" s="2" t="s">
        <v>124</v>
      </c>
      <c r="BO618" s="2" t="s">
        <v>125</v>
      </c>
      <c r="BP618" s="2" t="s">
        <v>242</v>
      </c>
      <c r="BQ618" s="2" t="s">
        <v>124</v>
      </c>
      <c r="BR618" s="2" t="s">
        <v>126</v>
      </c>
      <c r="BS618" s="2" t="s">
        <v>104</v>
      </c>
      <c r="BT618" s="2" t="s">
        <v>3096</v>
      </c>
      <c r="BU618" s="2" t="s">
        <v>3097</v>
      </c>
      <c r="BV618" s="2" t="s">
        <v>107</v>
      </c>
      <c r="BW618" s="2" t="s">
        <v>108</v>
      </c>
      <c r="BX618" s="2" t="s">
        <v>139</v>
      </c>
      <c r="BY61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18" s="2">
        <f>IF(AND(Cases[[#This Row],[Priority Level]]&gt;=3,Cases[[#This Row],[System Role]]&lt;&gt;"Productive"),1,0)</f>
        <v>0</v>
      </c>
      <c r="CA618" s="2">
        <f>IFERROR(IF(Cases[[#This Row],[Days at Customer]]&gt;MAX(1,Cases[[#This Row],[Days at SAP]]*2),1,0),0)</f>
        <v>1</v>
      </c>
      <c r="CB618" s="2">
        <f>IF(AND(Cases[[#This Row],[Initial Component]]&lt;&gt;"",Cases[[#This Row],[Component]]&lt;&gt;"",Cases[[#This Row],[Initial Component]]&lt;&gt;Cases[[#This Row],[Component]]),1,0)</f>
        <v>0</v>
      </c>
      <c r="CC618" s="2">
        <f>IF(OR(Cases[[#This Row],[Is Reopened]]="X",Cases[[#This Row],[No. of Reopenings]]&gt;0),1,0)</f>
        <v>0</v>
      </c>
      <c r="CD618" s="2">
        <f>IF(Cases[[#This Row],[Confirmation Type]]="Automatic",1,0)</f>
        <v>1</v>
      </c>
      <c r="CE61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19" spans="1:83" x14ac:dyDescent="0.2">
      <c r="A619" s="1" t="s">
        <v>109</v>
      </c>
      <c r="B619" s="2" t="s">
        <v>110</v>
      </c>
      <c r="C619" s="2" t="s">
        <v>111</v>
      </c>
      <c r="D619" s="2" t="s">
        <v>78</v>
      </c>
      <c r="E619" s="3">
        <v>0</v>
      </c>
      <c r="F619" s="3">
        <v>0.72</v>
      </c>
      <c r="G619" s="2" t="s">
        <v>112</v>
      </c>
      <c r="H619" s="2" t="s">
        <v>113</v>
      </c>
      <c r="I619" s="3" t="s">
        <v>114</v>
      </c>
      <c r="J619" s="3">
        <v>9</v>
      </c>
      <c r="K619" s="2" t="s">
        <v>115</v>
      </c>
      <c r="L619" s="4">
        <v>46124</v>
      </c>
      <c r="M619" s="4">
        <v>46121</v>
      </c>
      <c r="N619" s="2" t="s">
        <v>83</v>
      </c>
      <c r="O619" s="2" t="s">
        <v>84</v>
      </c>
      <c r="P619" s="2" t="s">
        <v>85</v>
      </c>
      <c r="Q619" s="2" t="s">
        <v>86</v>
      </c>
      <c r="R619" s="2" t="s">
        <v>116</v>
      </c>
      <c r="S619" s="4">
        <v>46118</v>
      </c>
      <c r="T619" s="2" t="s">
        <v>83</v>
      </c>
      <c r="U619" s="2" t="s">
        <v>84</v>
      </c>
      <c r="V619" s="2" t="s">
        <v>85</v>
      </c>
      <c r="W619" s="2" t="s">
        <v>86</v>
      </c>
      <c r="X619" s="2" t="s">
        <v>117</v>
      </c>
      <c r="Y619" s="3" t="s">
        <v>118</v>
      </c>
      <c r="Z619" s="3">
        <v>0.72</v>
      </c>
      <c r="AA619" s="2" t="s">
        <v>90</v>
      </c>
      <c r="AB619" s="2" t="s">
        <v>116</v>
      </c>
      <c r="AC619" s="2" t="s">
        <v>111</v>
      </c>
      <c r="AD619" t="str" cm="1">
        <f t="array" ref="AD61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619" s="2" t="s">
        <v>91</v>
      </c>
      <c r="AF619" s="2" t="s">
        <v>92</v>
      </c>
      <c r="AG619" s="2" t="s">
        <v>119</v>
      </c>
      <c r="AH619" s="2" t="s">
        <v>120</v>
      </c>
      <c r="AK619" s="2" t="s">
        <v>121</v>
      </c>
      <c r="AN619" s="3">
        <v>1</v>
      </c>
      <c r="AO619" s="3">
        <v>1</v>
      </c>
      <c r="AP619" s="3">
        <v>1</v>
      </c>
      <c r="AQ619" s="3">
        <v>1</v>
      </c>
      <c r="AR619" s="3">
        <v>1</v>
      </c>
      <c r="AS619" s="3">
        <v>0</v>
      </c>
      <c r="AT619" s="3">
        <v>0</v>
      </c>
      <c r="AU619" s="3">
        <v>0</v>
      </c>
      <c r="AV619" s="3">
        <v>0</v>
      </c>
      <c r="AW619" s="3">
        <v>1</v>
      </c>
      <c r="AX619" s="3">
        <v>1</v>
      </c>
      <c r="AY619" s="3">
        <v>0</v>
      </c>
      <c r="AZ619" s="3">
        <v>0</v>
      </c>
      <c r="BA619" s="3">
        <v>1</v>
      </c>
      <c r="BB619" s="3">
        <v>0</v>
      </c>
      <c r="BC619" s="3">
        <v>0</v>
      </c>
      <c r="BD619" s="3">
        <v>0</v>
      </c>
      <c r="BE619" s="3">
        <v>0</v>
      </c>
      <c r="BG619" s="2" t="s">
        <v>91</v>
      </c>
      <c r="BH619" s="3">
        <v>3</v>
      </c>
      <c r="BI619" s="2" t="s">
        <v>122</v>
      </c>
      <c r="BJ619" s="2" t="s">
        <v>96</v>
      </c>
      <c r="BL619" s="2" t="s">
        <v>123</v>
      </c>
      <c r="BM619" s="2" t="s">
        <v>123</v>
      </c>
      <c r="BN619" s="2" t="s">
        <v>124</v>
      </c>
      <c r="BO619" s="2" t="s">
        <v>125</v>
      </c>
      <c r="BP619" s="2" t="s">
        <v>101</v>
      </c>
      <c r="BQ619" s="2" t="s">
        <v>124</v>
      </c>
      <c r="BR619" s="2" t="s">
        <v>126</v>
      </c>
      <c r="BS619" s="2" t="s">
        <v>127</v>
      </c>
      <c r="BT619" s="2" t="s">
        <v>128</v>
      </c>
      <c r="BU619" s="2" t="s">
        <v>129</v>
      </c>
      <c r="BV619" s="2" t="s">
        <v>107</v>
      </c>
      <c r="BW619" s="2" t="s">
        <v>108</v>
      </c>
      <c r="BX619" s="2" t="s">
        <v>91</v>
      </c>
      <c r="BY61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19" s="2">
        <f>IF(AND(Cases[[#This Row],[Priority Level]]&gt;=3,Cases[[#This Row],[System Role]]&lt;&gt;"Productive"),1,0)</f>
        <v>1</v>
      </c>
      <c r="CA619" s="2">
        <f>IFERROR(IF(Cases[[#This Row],[Days at Customer]]&gt;MAX(1,Cases[[#This Row],[Days at SAP]]*2),1,0),0)</f>
        <v>0</v>
      </c>
      <c r="CB619" s="2">
        <f>IF(AND(Cases[[#This Row],[Initial Component]]&lt;&gt;"",Cases[[#This Row],[Component]]&lt;&gt;"",Cases[[#This Row],[Initial Component]]&lt;&gt;Cases[[#This Row],[Component]]),1,0)</f>
        <v>0</v>
      </c>
      <c r="CC619" s="2">
        <f>IF(OR(Cases[[#This Row],[Is Reopened]]="X",Cases[[#This Row],[No. of Reopenings]]&gt;0),1,0)</f>
        <v>0</v>
      </c>
      <c r="CD619" s="2">
        <f>IF(Cases[[#This Row],[Confirmation Type]]="Automatic",1,0)</f>
        <v>0</v>
      </c>
      <c r="CE619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20" spans="1:83" x14ac:dyDescent="0.2">
      <c r="A620" s="1" t="s">
        <v>201</v>
      </c>
      <c r="B620" s="2" t="s">
        <v>202</v>
      </c>
      <c r="C620" s="2" t="s">
        <v>203</v>
      </c>
      <c r="D620" s="2" t="s">
        <v>78</v>
      </c>
      <c r="E620" s="3">
        <v>0</v>
      </c>
      <c r="F620" s="3">
        <v>13.44</v>
      </c>
      <c r="G620" s="2" t="s">
        <v>112</v>
      </c>
      <c r="H620" s="2" t="s">
        <v>113</v>
      </c>
      <c r="I620" s="3" t="s">
        <v>114</v>
      </c>
      <c r="J620" s="3">
        <v>20</v>
      </c>
      <c r="K620" s="2" t="s">
        <v>204</v>
      </c>
      <c r="L620" s="4">
        <v>46124</v>
      </c>
      <c r="M620" s="4">
        <v>46121</v>
      </c>
      <c r="N620" s="2" t="s">
        <v>83</v>
      </c>
      <c r="O620" s="2" t="s">
        <v>84</v>
      </c>
      <c r="P620" s="2" t="s">
        <v>85</v>
      </c>
      <c r="Q620" s="2" t="s">
        <v>86</v>
      </c>
      <c r="R620" s="2" t="s">
        <v>205</v>
      </c>
      <c r="S620" s="4">
        <v>46107</v>
      </c>
      <c r="T620" s="2" t="s">
        <v>180</v>
      </c>
      <c r="U620" s="2" t="s">
        <v>181</v>
      </c>
      <c r="V620" s="2" t="s">
        <v>195</v>
      </c>
      <c r="W620" s="2" t="s">
        <v>86</v>
      </c>
      <c r="X620" s="2" t="s">
        <v>117</v>
      </c>
      <c r="Y620" s="3" t="s">
        <v>118</v>
      </c>
      <c r="Z620" s="3">
        <v>13.44</v>
      </c>
      <c r="AA620" s="2" t="s">
        <v>90</v>
      </c>
      <c r="AB620" s="2" t="s">
        <v>205</v>
      </c>
      <c r="AC620" s="2" t="s">
        <v>203</v>
      </c>
      <c r="AD620" t="str" cm="1">
        <f t="array" ref="AD62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620" s="2" t="s">
        <v>139</v>
      </c>
      <c r="AF620" s="2" t="s">
        <v>92</v>
      </c>
      <c r="AG620" s="2" t="s">
        <v>119</v>
      </c>
      <c r="AH620" s="2" t="s">
        <v>120</v>
      </c>
      <c r="AK620" s="2" t="s">
        <v>206</v>
      </c>
      <c r="AN620" s="3">
        <v>1</v>
      </c>
      <c r="AO620" s="3">
        <v>1</v>
      </c>
      <c r="AP620" s="3">
        <v>1</v>
      </c>
      <c r="AQ620" s="3">
        <v>1</v>
      </c>
      <c r="AR620" s="3">
        <v>0</v>
      </c>
      <c r="AS620" s="3">
        <v>0</v>
      </c>
      <c r="AT620" s="3">
        <v>1</v>
      </c>
      <c r="AU620" s="3">
        <v>0</v>
      </c>
      <c r="AV620" s="3">
        <v>0</v>
      </c>
      <c r="AW620" s="3">
        <v>1</v>
      </c>
      <c r="AX620" s="3">
        <v>0</v>
      </c>
      <c r="AY620" s="3">
        <v>0</v>
      </c>
      <c r="AZ620" s="3">
        <v>1</v>
      </c>
      <c r="BA620" s="3">
        <v>0</v>
      </c>
      <c r="BB620" s="3">
        <v>0</v>
      </c>
      <c r="BC620" s="3">
        <v>1</v>
      </c>
      <c r="BD620" s="3">
        <v>0</v>
      </c>
      <c r="BE620" s="3">
        <v>0</v>
      </c>
      <c r="BG620" s="2" t="s">
        <v>139</v>
      </c>
      <c r="BH620" s="3">
        <v>2</v>
      </c>
      <c r="BI620" s="2" t="s">
        <v>122</v>
      </c>
      <c r="BJ620" s="2" t="s">
        <v>96</v>
      </c>
      <c r="BL620" s="2" t="s">
        <v>123</v>
      </c>
      <c r="BM620" s="2" t="s">
        <v>123</v>
      </c>
      <c r="BN620" s="2" t="s">
        <v>124</v>
      </c>
      <c r="BO620" s="2" t="s">
        <v>125</v>
      </c>
      <c r="BP620" s="2" t="s">
        <v>101</v>
      </c>
      <c r="BQ620" s="2" t="s">
        <v>124</v>
      </c>
      <c r="BR620" s="2" t="s">
        <v>126</v>
      </c>
      <c r="BS620" s="2" t="s">
        <v>127</v>
      </c>
      <c r="BT620" s="2" t="s">
        <v>207</v>
      </c>
      <c r="BU620" s="2" t="s">
        <v>208</v>
      </c>
      <c r="BV620" s="2" t="s">
        <v>150</v>
      </c>
      <c r="BW620" s="2" t="s">
        <v>151</v>
      </c>
      <c r="BX620" s="2" t="s">
        <v>139</v>
      </c>
      <c r="BY62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20" s="2">
        <f>IF(AND(Cases[[#This Row],[Priority Level]]&gt;=3,Cases[[#This Row],[System Role]]&lt;&gt;"Productive"),1,0)</f>
        <v>0</v>
      </c>
      <c r="CA620" s="2">
        <f>IFERROR(IF(Cases[[#This Row],[Days at Customer]]&gt;MAX(1,Cases[[#This Row],[Days at SAP]]*2),1,0),0)</f>
        <v>1</v>
      </c>
      <c r="CB620" s="2">
        <f>IF(AND(Cases[[#This Row],[Initial Component]]&lt;&gt;"",Cases[[#This Row],[Component]]&lt;&gt;"",Cases[[#This Row],[Initial Component]]&lt;&gt;Cases[[#This Row],[Component]]),1,0)</f>
        <v>0</v>
      </c>
      <c r="CC620" s="2">
        <f>IF(OR(Cases[[#This Row],[Is Reopened]]="X",Cases[[#This Row],[No. of Reopenings]]&gt;0),1,0)</f>
        <v>0</v>
      </c>
      <c r="CD620" s="2">
        <f>IF(Cases[[#This Row],[Confirmation Type]]="Automatic",1,0)</f>
        <v>0</v>
      </c>
      <c r="CE620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21" spans="1:83" x14ac:dyDescent="0.2">
      <c r="A621" s="1" t="s">
        <v>3455</v>
      </c>
      <c r="B621" s="2" t="s">
        <v>3456</v>
      </c>
      <c r="C621" s="2" t="s">
        <v>3457</v>
      </c>
      <c r="D621" s="2" t="s">
        <v>238</v>
      </c>
      <c r="E621" s="3">
        <v>5.54</v>
      </c>
      <c r="F621" s="3">
        <v>21.05</v>
      </c>
      <c r="G621" s="2" t="s">
        <v>79</v>
      </c>
      <c r="H621" s="2" t="s">
        <v>80</v>
      </c>
      <c r="I621" s="3" t="s">
        <v>114</v>
      </c>
      <c r="J621" s="3">
        <v>209</v>
      </c>
      <c r="K621" s="2" t="s">
        <v>3458</v>
      </c>
      <c r="L621" s="4">
        <v>46040</v>
      </c>
      <c r="M621" s="4">
        <v>45944</v>
      </c>
      <c r="N621" s="2" t="s">
        <v>2727</v>
      </c>
      <c r="O621" s="2" t="s">
        <v>1805</v>
      </c>
      <c r="P621" s="2" t="s">
        <v>2936</v>
      </c>
      <c r="Q621" s="2" t="s">
        <v>1806</v>
      </c>
      <c r="R621" s="2" t="s">
        <v>3459</v>
      </c>
      <c r="S621" s="4">
        <v>45918</v>
      </c>
      <c r="T621" s="2" t="s">
        <v>3264</v>
      </c>
      <c r="U621" s="2" t="s">
        <v>3265</v>
      </c>
      <c r="V621" s="2" t="s">
        <v>3423</v>
      </c>
      <c r="W621" s="2" t="s">
        <v>1806</v>
      </c>
      <c r="X621" s="2" t="s">
        <v>117</v>
      </c>
      <c r="Y621" s="3" t="s">
        <v>118</v>
      </c>
      <c r="Z621" s="3">
        <v>26.6</v>
      </c>
      <c r="AA621" s="2" t="s">
        <v>90</v>
      </c>
      <c r="AB621" s="2" t="s">
        <v>3460</v>
      </c>
      <c r="AC621" s="2" t="s">
        <v>3461</v>
      </c>
      <c r="AD621" t="str" cm="1">
        <f t="array" ref="AD62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621" s="2" t="s">
        <v>139</v>
      </c>
      <c r="AF621" s="2" t="s">
        <v>92</v>
      </c>
      <c r="AG621" s="2" t="s">
        <v>119</v>
      </c>
      <c r="AH621" s="2" t="s">
        <v>120</v>
      </c>
      <c r="AK621" s="2" t="s">
        <v>3462</v>
      </c>
      <c r="AN621" s="3">
        <v>1</v>
      </c>
      <c r="AO621" s="3">
        <v>0</v>
      </c>
      <c r="AP621" s="3">
        <v>1</v>
      </c>
      <c r="AQ621" s="3">
        <v>1</v>
      </c>
      <c r="AR621" s="3">
        <v>0</v>
      </c>
      <c r="AS621" s="3">
        <v>0</v>
      </c>
      <c r="AT621" s="3">
        <v>1</v>
      </c>
      <c r="AU621" s="3">
        <v>0</v>
      </c>
      <c r="AV621" s="3">
        <v>1</v>
      </c>
      <c r="AW621" s="3">
        <v>0</v>
      </c>
      <c r="AX621" s="3">
        <v>0</v>
      </c>
      <c r="AY621" s="3">
        <v>0</v>
      </c>
      <c r="AZ621" s="3">
        <v>1</v>
      </c>
      <c r="BA621" s="3">
        <v>0</v>
      </c>
      <c r="BB621" s="3">
        <v>0</v>
      </c>
      <c r="BC621" s="3">
        <v>1</v>
      </c>
      <c r="BD621" s="3">
        <v>0</v>
      </c>
      <c r="BE621" s="3">
        <v>0</v>
      </c>
      <c r="BG621" s="2" t="s">
        <v>139</v>
      </c>
      <c r="BH621" s="3">
        <v>2</v>
      </c>
      <c r="BJ621" s="2" t="s">
        <v>96</v>
      </c>
      <c r="BL621" s="2" t="s">
        <v>382</v>
      </c>
      <c r="BM621" s="2" t="s">
        <v>382</v>
      </c>
      <c r="BN621" s="2" t="s">
        <v>99</v>
      </c>
      <c r="BO621" s="2" t="s">
        <v>100</v>
      </c>
      <c r="BP621" s="2" t="s">
        <v>242</v>
      </c>
      <c r="BQ621" s="2" t="s">
        <v>383</v>
      </c>
      <c r="BR621" s="2" t="s">
        <v>384</v>
      </c>
      <c r="BS621" s="2" t="s">
        <v>127</v>
      </c>
      <c r="BT621" s="2" t="s">
        <v>1000</v>
      </c>
      <c r="BU621" s="2" t="s">
        <v>1001</v>
      </c>
      <c r="BV621" s="2" t="s">
        <v>150</v>
      </c>
      <c r="BW621" s="2" t="s">
        <v>151</v>
      </c>
      <c r="BX621" s="2" t="s">
        <v>139</v>
      </c>
      <c r="BY62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21" s="2">
        <f>IF(AND(Cases[[#This Row],[Priority Level]]&gt;=3,Cases[[#This Row],[System Role]]&lt;&gt;"Productive"),1,0)</f>
        <v>0</v>
      </c>
      <c r="CA621" s="2">
        <f>IFERROR(IF(Cases[[#This Row],[Days at Customer]]&gt;MAX(1,Cases[[#This Row],[Days at SAP]]*2),1,0),0)</f>
        <v>1</v>
      </c>
      <c r="CB621" s="2">
        <f>IF(AND(Cases[[#This Row],[Initial Component]]&lt;&gt;"",Cases[[#This Row],[Component]]&lt;&gt;"",Cases[[#This Row],[Initial Component]]&lt;&gt;Cases[[#This Row],[Component]]),1,0)</f>
        <v>1</v>
      </c>
      <c r="CC621" s="2">
        <f>IF(OR(Cases[[#This Row],[Is Reopened]]="X",Cases[[#This Row],[No. of Reopenings]]&gt;0),1,0)</f>
        <v>0</v>
      </c>
      <c r="CD621" s="2">
        <f>IF(Cases[[#This Row],[Confirmation Type]]="Automatic",1,0)</f>
        <v>1</v>
      </c>
      <c r="CE621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22" spans="1:83" x14ac:dyDescent="0.2">
      <c r="A622" s="1" t="s">
        <v>263</v>
      </c>
      <c r="B622" s="2" t="s">
        <v>264</v>
      </c>
      <c r="C622" s="2" t="s">
        <v>265</v>
      </c>
      <c r="D622" s="2" t="s">
        <v>238</v>
      </c>
      <c r="E622" s="3">
        <v>0.56999999999999995</v>
      </c>
      <c r="F622" s="3">
        <v>21.22</v>
      </c>
      <c r="G622" s="2" t="s">
        <v>79</v>
      </c>
      <c r="H622" s="2" t="s">
        <v>80</v>
      </c>
      <c r="I622" s="3" t="s">
        <v>114</v>
      </c>
      <c r="J622" s="3">
        <v>27</v>
      </c>
      <c r="K622" s="2" t="s">
        <v>266</v>
      </c>
      <c r="L622" s="4">
        <v>46124</v>
      </c>
      <c r="M622" s="4">
        <v>46122</v>
      </c>
      <c r="N622" s="2" t="s">
        <v>83</v>
      </c>
      <c r="O622" s="2" t="s">
        <v>84</v>
      </c>
      <c r="P622" s="2" t="s">
        <v>85</v>
      </c>
      <c r="Q622" s="2" t="s">
        <v>86</v>
      </c>
      <c r="R622" s="2" t="s">
        <v>267</v>
      </c>
      <c r="S622" s="4">
        <v>46100</v>
      </c>
      <c r="T622" s="2" t="s">
        <v>180</v>
      </c>
      <c r="U622" s="2" t="s">
        <v>181</v>
      </c>
      <c r="V622" s="2" t="s">
        <v>260</v>
      </c>
      <c r="W622" s="2" t="s">
        <v>86</v>
      </c>
      <c r="X622" s="2" t="s">
        <v>117</v>
      </c>
      <c r="Y622" s="3" t="s">
        <v>118</v>
      </c>
      <c r="Z622" s="3">
        <v>21.8</v>
      </c>
      <c r="AA622" s="2" t="s">
        <v>90</v>
      </c>
      <c r="AB622" s="2" t="s">
        <v>267</v>
      </c>
      <c r="AC622" s="2" t="s">
        <v>265</v>
      </c>
      <c r="AD622" t="str" cm="1">
        <f t="array" ref="AD62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622" s="2" t="s">
        <v>91</v>
      </c>
      <c r="AF622" s="2" t="s">
        <v>92</v>
      </c>
      <c r="AG622" s="2" t="s">
        <v>119</v>
      </c>
      <c r="AH622" s="2" t="s">
        <v>120</v>
      </c>
      <c r="AK622" s="2" t="s">
        <v>268</v>
      </c>
      <c r="AN622" s="3">
        <v>1</v>
      </c>
      <c r="AO622" s="3">
        <v>1</v>
      </c>
      <c r="AP622" s="3">
        <v>1</v>
      </c>
      <c r="AQ622" s="3">
        <v>1</v>
      </c>
      <c r="AR622" s="3">
        <v>1</v>
      </c>
      <c r="AS622" s="3">
        <v>0</v>
      </c>
      <c r="AT622" s="3">
        <v>0</v>
      </c>
      <c r="AU622" s="3">
        <v>0</v>
      </c>
      <c r="AV622" s="3">
        <v>1</v>
      </c>
      <c r="AW622" s="3">
        <v>0</v>
      </c>
      <c r="AX622" s="3">
        <v>1</v>
      </c>
      <c r="AY622" s="3">
        <v>0</v>
      </c>
      <c r="AZ622" s="3">
        <v>0</v>
      </c>
      <c r="BA622" s="3">
        <v>0</v>
      </c>
      <c r="BB622" s="3">
        <v>0</v>
      </c>
      <c r="BC622" s="3">
        <v>1</v>
      </c>
      <c r="BD622" s="3">
        <v>0</v>
      </c>
      <c r="BE622" s="3">
        <v>0</v>
      </c>
      <c r="BG622" s="2" t="s">
        <v>91</v>
      </c>
      <c r="BH622" s="3">
        <v>3</v>
      </c>
      <c r="BJ622" s="2" t="s">
        <v>96</v>
      </c>
      <c r="BL622" s="2" t="s">
        <v>123</v>
      </c>
      <c r="BM622" s="2" t="s">
        <v>123</v>
      </c>
      <c r="BN622" s="2" t="s">
        <v>124</v>
      </c>
      <c r="BO622" s="2" t="s">
        <v>125</v>
      </c>
      <c r="BP622" s="2" t="s">
        <v>242</v>
      </c>
      <c r="BQ622" s="2" t="s">
        <v>124</v>
      </c>
      <c r="BR622" s="2" t="s">
        <v>126</v>
      </c>
      <c r="BS622" s="2" t="s">
        <v>127</v>
      </c>
      <c r="BT622" s="2" t="s">
        <v>207</v>
      </c>
      <c r="BU622" s="2" t="s">
        <v>208</v>
      </c>
      <c r="BV622" s="2" t="s">
        <v>150</v>
      </c>
      <c r="BW622" s="2" t="s">
        <v>151</v>
      </c>
      <c r="BX622" s="2" t="s">
        <v>91</v>
      </c>
      <c r="BY62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22" s="2">
        <f>IF(AND(Cases[[#This Row],[Priority Level]]&gt;=3,Cases[[#This Row],[System Role]]&lt;&gt;"Productive"),1,0)</f>
        <v>0</v>
      </c>
      <c r="CA622" s="2">
        <f>IFERROR(IF(Cases[[#This Row],[Days at Customer]]&gt;MAX(1,Cases[[#This Row],[Days at SAP]]*2),1,0),0)</f>
        <v>1</v>
      </c>
      <c r="CB622" s="2">
        <f>IF(AND(Cases[[#This Row],[Initial Component]]&lt;&gt;"",Cases[[#This Row],[Component]]&lt;&gt;"",Cases[[#This Row],[Initial Component]]&lt;&gt;Cases[[#This Row],[Component]]),1,0)</f>
        <v>0</v>
      </c>
      <c r="CC622" s="2">
        <f>IF(OR(Cases[[#This Row],[Is Reopened]]="X",Cases[[#This Row],[No. of Reopenings]]&gt;0),1,0)</f>
        <v>0</v>
      </c>
      <c r="CD622" s="2">
        <f>IF(Cases[[#This Row],[Confirmation Type]]="Automatic",1,0)</f>
        <v>1</v>
      </c>
      <c r="CE622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23" spans="1:83" x14ac:dyDescent="0.2">
      <c r="A623" s="1" t="s">
        <v>3467</v>
      </c>
      <c r="B623" s="2" t="s">
        <v>3468</v>
      </c>
      <c r="C623" s="2" t="s">
        <v>3469</v>
      </c>
      <c r="D623" s="2" t="s">
        <v>78</v>
      </c>
      <c r="E623" s="3">
        <v>17.239999999999998</v>
      </c>
      <c r="F623" s="3">
        <v>21.66</v>
      </c>
      <c r="G623" s="2" t="s">
        <v>79</v>
      </c>
      <c r="H623" s="2" t="s">
        <v>80</v>
      </c>
      <c r="I623" s="3" t="s">
        <v>114</v>
      </c>
      <c r="J623" s="3">
        <v>209</v>
      </c>
      <c r="K623" s="2" t="s">
        <v>3470</v>
      </c>
      <c r="L623" s="4">
        <v>46054</v>
      </c>
      <c r="M623" s="4">
        <v>45957</v>
      </c>
      <c r="N623" s="2" t="s">
        <v>2727</v>
      </c>
      <c r="O623" s="2" t="s">
        <v>1805</v>
      </c>
      <c r="P623" s="2" t="s">
        <v>2717</v>
      </c>
      <c r="Q623" s="2" t="s">
        <v>1806</v>
      </c>
      <c r="R623" s="2" t="s">
        <v>3471</v>
      </c>
      <c r="S623" s="4">
        <v>45918</v>
      </c>
      <c r="T623" s="2" t="s">
        <v>3264</v>
      </c>
      <c r="U623" s="2" t="s">
        <v>3265</v>
      </c>
      <c r="V623" s="2" t="s">
        <v>3423</v>
      </c>
      <c r="W623" s="2" t="s">
        <v>1806</v>
      </c>
      <c r="X623" s="2" t="s">
        <v>117</v>
      </c>
      <c r="Y623" s="3" t="s">
        <v>118</v>
      </c>
      <c r="Z623" s="3">
        <v>38.9</v>
      </c>
      <c r="AA623" s="2" t="s">
        <v>90</v>
      </c>
      <c r="AB623" s="2" t="s">
        <v>1578</v>
      </c>
      <c r="AC623" s="2" t="s">
        <v>1576</v>
      </c>
      <c r="AD623" t="str" cm="1">
        <f t="array" ref="AD62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623" s="2" t="s">
        <v>182</v>
      </c>
      <c r="AF623" s="2" t="s">
        <v>92</v>
      </c>
      <c r="AG623" s="2" t="s">
        <v>119</v>
      </c>
      <c r="AH623" s="2" t="s">
        <v>120</v>
      </c>
      <c r="AJ623" s="2" t="s">
        <v>122</v>
      </c>
      <c r="AK623" s="2" t="s">
        <v>3472</v>
      </c>
      <c r="AN623" s="3">
        <v>1</v>
      </c>
      <c r="AO623" s="3">
        <v>0</v>
      </c>
      <c r="AP623" s="3">
        <v>1</v>
      </c>
      <c r="AQ623" s="3">
        <v>1</v>
      </c>
      <c r="AR623" s="3">
        <v>1</v>
      </c>
      <c r="AS623" s="3">
        <v>0</v>
      </c>
      <c r="AT623" s="3">
        <v>0</v>
      </c>
      <c r="AU623" s="3">
        <v>0</v>
      </c>
      <c r="AV623" s="3">
        <v>0</v>
      </c>
      <c r="AW623" s="3">
        <v>1</v>
      </c>
      <c r="AX623" s="3">
        <v>1</v>
      </c>
      <c r="AY623" s="3">
        <v>0</v>
      </c>
      <c r="AZ623" s="3">
        <v>0</v>
      </c>
      <c r="BA623" s="3">
        <v>1</v>
      </c>
      <c r="BB623" s="3">
        <v>0</v>
      </c>
      <c r="BC623" s="3">
        <v>0</v>
      </c>
      <c r="BD623" s="3">
        <v>1</v>
      </c>
      <c r="BE623" s="3">
        <v>0</v>
      </c>
      <c r="BG623" s="2" t="s">
        <v>91</v>
      </c>
      <c r="BH623" s="3">
        <v>3</v>
      </c>
      <c r="BJ623" s="2" t="s">
        <v>96</v>
      </c>
      <c r="BL623" s="2" t="s">
        <v>123</v>
      </c>
      <c r="BM623" s="2" t="s">
        <v>123</v>
      </c>
      <c r="BN623" s="2" t="s">
        <v>124</v>
      </c>
      <c r="BO623" s="2" t="s">
        <v>125</v>
      </c>
      <c r="BP623" s="2" t="s">
        <v>101</v>
      </c>
      <c r="BQ623" s="2" t="s">
        <v>124</v>
      </c>
      <c r="BR623" s="2" t="s">
        <v>126</v>
      </c>
      <c r="BS623" s="2" t="s">
        <v>127</v>
      </c>
      <c r="BT623" s="2" t="s">
        <v>128</v>
      </c>
      <c r="BU623" s="2" t="s">
        <v>129</v>
      </c>
      <c r="BV623" s="2" t="s">
        <v>107</v>
      </c>
      <c r="BW623" s="2" t="s">
        <v>108</v>
      </c>
      <c r="BX623" s="2" t="s">
        <v>182</v>
      </c>
      <c r="BY62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23" s="2">
        <f>IF(AND(Cases[[#This Row],[Priority Level]]&gt;=3,Cases[[#This Row],[System Role]]&lt;&gt;"Productive"),1,0)</f>
        <v>1</v>
      </c>
      <c r="CA623" s="2">
        <f>IFERROR(IF(Cases[[#This Row],[Days at Customer]]&gt;MAX(1,Cases[[#This Row],[Days at SAP]]*2),1,0),0)</f>
        <v>0</v>
      </c>
      <c r="CB623" s="2">
        <f>IF(AND(Cases[[#This Row],[Initial Component]]&lt;&gt;"",Cases[[#This Row],[Component]]&lt;&gt;"",Cases[[#This Row],[Initial Component]]&lt;&gt;Cases[[#This Row],[Component]]),1,0)</f>
        <v>1</v>
      </c>
      <c r="CC623" s="2">
        <f>IF(OR(Cases[[#This Row],[Is Reopened]]="X",Cases[[#This Row],[No. of Reopenings]]&gt;0),1,0)</f>
        <v>1</v>
      </c>
      <c r="CD623" s="2">
        <f>IF(Cases[[#This Row],[Confirmation Type]]="Automatic",1,0)</f>
        <v>0</v>
      </c>
      <c r="CE623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624" spans="1:83" x14ac:dyDescent="0.2">
      <c r="A624" s="1" t="s">
        <v>3473</v>
      </c>
      <c r="B624" s="2" t="s">
        <v>3474</v>
      </c>
      <c r="C624" s="2" t="s">
        <v>1590</v>
      </c>
      <c r="D624" s="2" t="s">
        <v>238</v>
      </c>
      <c r="E624" s="3">
        <v>4.68</v>
      </c>
      <c r="F624" s="3">
        <v>21.67</v>
      </c>
      <c r="G624" s="2" t="s">
        <v>79</v>
      </c>
      <c r="H624" s="2" t="s">
        <v>178</v>
      </c>
      <c r="I624" s="3" t="s">
        <v>114</v>
      </c>
      <c r="J624" s="3">
        <v>209</v>
      </c>
      <c r="K624" s="2" t="s">
        <v>3475</v>
      </c>
      <c r="L624" s="4">
        <v>46040</v>
      </c>
      <c r="M624" s="4">
        <v>45944</v>
      </c>
      <c r="N624" s="2" t="s">
        <v>2727</v>
      </c>
      <c r="O624" s="2" t="s">
        <v>1805</v>
      </c>
      <c r="P624" s="2" t="s">
        <v>2936</v>
      </c>
      <c r="Q624" s="2" t="s">
        <v>1806</v>
      </c>
      <c r="R624" s="2" t="s">
        <v>1592</v>
      </c>
      <c r="S624" s="4">
        <v>45918</v>
      </c>
      <c r="T624" s="2" t="s">
        <v>3264</v>
      </c>
      <c r="U624" s="2" t="s">
        <v>3265</v>
      </c>
      <c r="V624" s="2" t="s">
        <v>3423</v>
      </c>
      <c r="W624" s="2" t="s">
        <v>1806</v>
      </c>
      <c r="X624" s="2" t="s">
        <v>117</v>
      </c>
      <c r="Y624" s="3" t="s">
        <v>118</v>
      </c>
      <c r="Z624" s="3">
        <v>26.34</v>
      </c>
      <c r="AA624" s="2" t="s">
        <v>90</v>
      </c>
      <c r="AB624" s="2" t="s">
        <v>1592</v>
      </c>
      <c r="AC624" s="2" t="s">
        <v>1590</v>
      </c>
      <c r="AD624" t="str" cm="1">
        <f t="array" ref="AD62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624" s="2" t="s">
        <v>139</v>
      </c>
      <c r="AF624" s="2" t="s">
        <v>92</v>
      </c>
      <c r="AG624" s="2" t="s">
        <v>119</v>
      </c>
      <c r="AH624" s="2" t="s">
        <v>120</v>
      </c>
      <c r="AK624" s="2" t="s">
        <v>3476</v>
      </c>
      <c r="AN624" s="3">
        <v>1</v>
      </c>
      <c r="AO624" s="3">
        <v>0</v>
      </c>
      <c r="AP624" s="3">
        <v>1</v>
      </c>
      <c r="AQ624" s="3">
        <v>1</v>
      </c>
      <c r="AR624" s="3">
        <v>1</v>
      </c>
      <c r="AS624" s="3">
        <v>0</v>
      </c>
      <c r="AT624" s="3">
        <v>0</v>
      </c>
      <c r="AU624" s="3">
        <v>0</v>
      </c>
      <c r="AV624" s="3">
        <v>1</v>
      </c>
      <c r="AW624" s="3">
        <v>0</v>
      </c>
      <c r="AX624" s="3">
        <v>1</v>
      </c>
      <c r="AY624" s="3">
        <v>0</v>
      </c>
      <c r="AZ624" s="3">
        <v>0</v>
      </c>
      <c r="BA624" s="3">
        <v>1</v>
      </c>
      <c r="BB624" s="3">
        <v>0</v>
      </c>
      <c r="BC624" s="3">
        <v>0</v>
      </c>
      <c r="BD624" s="3">
        <v>0</v>
      </c>
      <c r="BE624" s="3">
        <v>0</v>
      </c>
      <c r="BG624" s="2" t="s">
        <v>91</v>
      </c>
      <c r="BH624" s="3">
        <v>3</v>
      </c>
      <c r="BJ624" s="2" t="s">
        <v>96</v>
      </c>
      <c r="BL624" s="2" t="s">
        <v>123</v>
      </c>
      <c r="BM624" s="2" t="s">
        <v>123</v>
      </c>
      <c r="BN624" s="2" t="s">
        <v>124</v>
      </c>
      <c r="BO624" s="2" t="s">
        <v>125</v>
      </c>
      <c r="BP624" s="2" t="s">
        <v>242</v>
      </c>
      <c r="BQ624" s="2" t="s">
        <v>124</v>
      </c>
      <c r="BR624" s="2" t="s">
        <v>126</v>
      </c>
      <c r="BS624" s="2" t="s">
        <v>127</v>
      </c>
      <c r="BT624" s="2" t="s">
        <v>199</v>
      </c>
      <c r="BU624" s="2" t="s">
        <v>200</v>
      </c>
      <c r="BV624" s="2" t="s">
        <v>166</v>
      </c>
      <c r="BW624" s="2" t="s">
        <v>167</v>
      </c>
      <c r="BX624" s="2" t="s">
        <v>91</v>
      </c>
      <c r="BY62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24" s="2">
        <f>IF(AND(Cases[[#This Row],[Priority Level]]&gt;=3,Cases[[#This Row],[System Role]]&lt;&gt;"Productive"),1,0)</f>
        <v>1</v>
      </c>
      <c r="CA624" s="2">
        <f>IFERROR(IF(Cases[[#This Row],[Days at Customer]]&gt;MAX(1,Cases[[#This Row],[Days at SAP]]*2),1,0),0)</f>
        <v>1</v>
      </c>
      <c r="CB624" s="2">
        <f>IF(AND(Cases[[#This Row],[Initial Component]]&lt;&gt;"",Cases[[#This Row],[Component]]&lt;&gt;"",Cases[[#This Row],[Initial Component]]&lt;&gt;Cases[[#This Row],[Component]]),1,0)</f>
        <v>0</v>
      </c>
      <c r="CC624" s="2">
        <f>IF(OR(Cases[[#This Row],[Is Reopened]]="X",Cases[[#This Row],[No. of Reopenings]]&gt;0),1,0)</f>
        <v>0</v>
      </c>
      <c r="CD624" s="2">
        <f>IF(Cases[[#This Row],[Confirmation Type]]="Automatic",1,0)</f>
        <v>1</v>
      </c>
      <c r="CE624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625" spans="1:83" x14ac:dyDescent="0.2">
      <c r="A625" s="1" t="s">
        <v>3477</v>
      </c>
      <c r="B625" s="2" t="s">
        <v>1418</v>
      </c>
      <c r="C625" s="2" t="s">
        <v>231</v>
      </c>
      <c r="D625" s="2" t="s">
        <v>238</v>
      </c>
      <c r="E625" s="3">
        <v>0.15</v>
      </c>
      <c r="F625" s="3">
        <v>21.56</v>
      </c>
      <c r="G625" s="2" t="s">
        <v>190</v>
      </c>
      <c r="H625" s="2" t="s">
        <v>191</v>
      </c>
      <c r="I625" s="3" t="s">
        <v>114</v>
      </c>
      <c r="J625" s="3">
        <v>210</v>
      </c>
      <c r="K625" s="2" t="s">
        <v>3478</v>
      </c>
      <c r="L625" s="4">
        <v>46033</v>
      </c>
      <c r="M625" s="4">
        <v>45939</v>
      </c>
      <c r="N625" s="2" t="s">
        <v>2727</v>
      </c>
      <c r="O625" s="2" t="s">
        <v>1805</v>
      </c>
      <c r="P625" s="2" t="s">
        <v>3126</v>
      </c>
      <c r="Q625" s="2" t="s">
        <v>1806</v>
      </c>
      <c r="R625" s="2" t="s">
        <v>233</v>
      </c>
      <c r="S625" s="4">
        <v>45917</v>
      </c>
      <c r="T625" s="2" t="s">
        <v>3264</v>
      </c>
      <c r="U625" s="2" t="s">
        <v>3265</v>
      </c>
      <c r="V625" s="2" t="s">
        <v>3423</v>
      </c>
      <c r="W625" s="2" t="s">
        <v>1806</v>
      </c>
      <c r="X625" s="2" t="s">
        <v>117</v>
      </c>
      <c r="Y625" s="3" t="s">
        <v>118</v>
      </c>
      <c r="Z625" s="3">
        <v>21.71</v>
      </c>
      <c r="AA625" s="2" t="s">
        <v>90</v>
      </c>
      <c r="AB625" s="2" t="s">
        <v>233</v>
      </c>
      <c r="AC625" s="2" t="s">
        <v>231</v>
      </c>
      <c r="AD625" t="str" cm="1">
        <f t="array" ref="AD62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625" s="2" t="s">
        <v>182</v>
      </c>
      <c r="AF625" s="2" t="s">
        <v>92</v>
      </c>
      <c r="AG625" s="2" t="s">
        <v>119</v>
      </c>
      <c r="AH625" s="2" t="s">
        <v>120</v>
      </c>
      <c r="AK625" s="2" t="s">
        <v>3479</v>
      </c>
      <c r="AN625" s="3">
        <v>1</v>
      </c>
      <c r="AO625" s="3">
        <v>0</v>
      </c>
      <c r="AP625" s="3">
        <v>1</v>
      </c>
      <c r="AQ625" s="3">
        <v>1</v>
      </c>
      <c r="AR625" s="3">
        <v>1</v>
      </c>
      <c r="AS625" s="3">
        <v>0</v>
      </c>
      <c r="AT625" s="3">
        <v>0</v>
      </c>
      <c r="AU625" s="3">
        <v>0</v>
      </c>
      <c r="AV625" s="3">
        <v>1</v>
      </c>
      <c r="AW625" s="3">
        <v>0</v>
      </c>
      <c r="AX625" s="3">
        <v>1</v>
      </c>
      <c r="AY625" s="3">
        <v>0</v>
      </c>
      <c r="AZ625" s="3">
        <v>0</v>
      </c>
      <c r="BA625" s="3">
        <v>0</v>
      </c>
      <c r="BB625" s="3">
        <v>0</v>
      </c>
      <c r="BC625" s="3">
        <v>1</v>
      </c>
      <c r="BD625" s="3">
        <v>0</v>
      </c>
      <c r="BE625" s="3">
        <v>0</v>
      </c>
      <c r="BG625" s="2" t="s">
        <v>91</v>
      </c>
      <c r="BH625" s="3">
        <v>3</v>
      </c>
      <c r="BJ625" s="2" t="s">
        <v>96</v>
      </c>
      <c r="BL625" s="2" t="s">
        <v>123</v>
      </c>
      <c r="BM625" s="2" t="s">
        <v>123</v>
      </c>
      <c r="BN625" s="2" t="s">
        <v>124</v>
      </c>
      <c r="BO625" s="2" t="s">
        <v>125</v>
      </c>
      <c r="BP625" s="2" t="s">
        <v>242</v>
      </c>
      <c r="BQ625" s="2" t="s">
        <v>124</v>
      </c>
      <c r="BR625" s="2" t="s">
        <v>126</v>
      </c>
      <c r="BS625" s="2" t="s">
        <v>127</v>
      </c>
      <c r="BT625" s="2" t="s">
        <v>207</v>
      </c>
      <c r="BU625" s="2" t="s">
        <v>208</v>
      </c>
      <c r="BV625" s="2" t="s">
        <v>150</v>
      </c>
      <c r="BW625" s="2" t="s">
        <v>151</v>
      </c>
      <c r="BX625" s="2" t="s">
        <v>182</v>
      </c>
      <c r="BY62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25" s="2">
        <f>IF(AND(Cases[[#This Row],[Priority Level]]&gt;=3,Cases[[#This Row],[System Role]]&lt;&gt;"Productive"),1,0)</f>
        <v>0</v>
      </c>
      <c r="CA625" s="2">
        <f>IFERROR(IF(Cases[[#This Row],[Days at Customer]]&gt;MAX(1,Cases[[#This Row],[Days at SAP]]*2),1,0),0)</f>
        <v>1</v>
      </c>
      <c r="CB625" s="2">
        <f>IF(AND(Cases[[#This Row],[Initial Component]]&lt;&gt;"",Cases[[#This Row],[Component]]&lt;&gt;"",Cases[[#This Row],[Initial Component]]&lt;&gt;Cases[[#This Row],[Component]]),1,0)</f>
        <v>0</v>
      </c>
      <c r="CC625" s="2">
        <f>IF(OR(Cases[[#This Row],[Is Reopened]]="X",Cases[[#This Row],[No. of Reopenings]]&gt;0),1,0)</f>
        <v>0</v>
      </c>
      <c r="CD625" s="2">
        <f>IF(Cases[[#This Row],[Confirmation Type]]="Automatic",1,0)</f>
        <v>1</v>
      </c>
      <c r="CE625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26" spans="1:83" x14ac:dyDescent="0.2">
      <c r="A626" s="1" t="s">
        <v>3480</v>
      </c>
      <c r="B626" s="2" t="s">
        <v>3481</v>
      </c>
      <c r="C626" s="2" t="s">
        <v>406</v>
      </c>
      <c r="D626" s="2" t="s">
        <v>238</v>
      </c>
      <c r="E626" s="3">
        <v>0.18</v>
      </c>
      <c r="F626" s="3">
        <v>21.4</v>
      </c>
      <c r="G626" s="2" t="s">
        <v>79</v>
      </c>
      <c r="H626" s="2" t="s">
        <v>80</v>
      </c>
      <c r="I626" s="3" t="s">
        <v>114</v>
      </c>
      <c r="J626" s="3">
        <v>210</v>
      </c>
      <c r="K626" s="2" t="s">
        <v>3482</v>
      </c>
      <c r="L626" s="4">
        <v>46033</v>
      </c>
      <c r="M626" s="4">
        <v>45938</v>
      </c>
      <c r="N626" s="2" t="s">
        <v>2727</v>
      </c>
      <c r="O626" s="2" t="s">
        <v>1805</v>
      </c>
      <c r="P626" s="2" t="s">
        <v>3126</v>
      </c>
      <c r="Q626" s="2" t="s">
        <v>1806</v>
      </c>
      <c r="R626" s="2" t="s">
        <v>408</v>
      </c>
      <c r="S626" s="4">
        <v>45917</v>
      </c>
      <c r="T626" s="2" t="s">
        <v>3264</v>
      </c>
      <c r="U626" s="2" t="s">
        <v>3265</v>
      </c>
      <c r="V626" s="2" t="s">
        <v>3423</v>
      </c>
      <c r="W626" s="2" t="s">
        <v>1806</v>
      </c>
      <c r="X626" s="2" t="s">
        <v>117</v>
      </c>
      <c r="Y626" s="3" t="s">
        <v>118</v>
      </c>
      <c r="Z626" s="3">
        <v>21.57</v>
      </c>
      <c r="AA626" s="2" t="s">
        <v>90</v>
      </c>
      <c r="AB626" s="2" t="s">
        <v>408</v>
      </c>
      <c r="AC626" s="2" t="s">
        <v>406</v>
      </c>
      <c r="AD626" t="str" cm="1">
        <f t="array" ref="AD62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626" s="2" t="s">
        <v>139</v>
      </c>
      <c r="AF626" s="2" t="s">
        <v>92</v>
      </c>
      <c r="AG626" s="2" t="s">
        <v>119</v>
      </c>
      <c r="AH626" s="2" t="s">
        <v>120</v>
      </c>
      <c r="AK626" s="2" t="s">
        <v>3483</v>
      </c>
      <c r="AN626" s="3">
        <v>1</v>
      </c>
      <c r="AO626" s="3">
        <v>0</v>
      </c>
      <c r="AP626" s="3">
        <v>1</v>
      </c>
      <c r="AQ626" s="3">
        <v>1</v>
      </c>
      <c r="AR626" s="3">
        <v>0</v>
      </c>
      <c r="AS626" s="3">
        <v>0</v>
      </c>
      <c r="AT626" s="3">
        <v>1</v>
      </c>
      <c r="AU626" s="3">
        <v>0</v>
      </c>
      <c r="AV626" s="3">
        <v>1</v>
      </c>
      <c r="AW626" s="3">
        <v>0</v>
      </c>
      <c r="AX626" s="3">
        <v>0</v>
      </c>
      <c r="AY626" s="3">
        <v>0</v>
      </c>
      <c r="AZ626" s="3">
        <v>1</v>
      </c>
      <c r="BA626" s="3">
        <v>1</v>
      </c>
      <c r="BB626" s="3">
        <v>0</v>
      </c>
      <c r="BC626" s="3">
        <v>0</v>
      </c>
      <c r="BD626" s="3">
        <v>0</v>
      </c>
      <c r="BE626" s="3">
        <v>0</v>
      </c>
      <c r="BG626" s="2" t="s">
        <v>139</v>
      </c>
      <c r="BH626" s="3">
        <v>2</v>
      </c>
      <c r="BJ626" s="2" t="s">
        <v>96</v>
      </c>
      <c r="BL626" s="2" t="s">
        <v>123</v>
      </c>
      <c r="BM626" s="2" t="s">
        <v>123</v>
      </c>
      <c r="BN626" s="2" t="s">
        <v>124</v>
      </c>
      <c r="BO626" s="2" t="s">
        <v>125</v>
      </c>
      <c r="BP626" s="2" t="s">
        <v>242</v>
      </c>
      <c r="BQ626" s="2" t="s">
        <v>124</v>
      </c>
      <c r="BR626" s="2" t="s">
        <v>126</v>
      </c>
      <c r="BS626" s="2" t="s">
        <v>127</v>
      </c>
      <c r="BT626" s="2" t="s">
        <v>199</v>
      </c>
      <c r="BU626" s="2" t="s">
        <v>200</v>
      </c>
      <c r="BV626" s="2" t="s">
        <v>166</v>
      </c>
      <c r="BW626" s="2" t="s">
        <v>167</v>
      </c>
      <c r="BX626" s="2" t="s">
        <v>139</v>
      </c>
      <c r="BY62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26" s="2">
        <f>IF(AND(Cases[[#This Row],[Priority Level]]&gt;=3,Cases[[#This Row],[System Role]]&lt;&gt;"Productive"),1,0)</f>
        <v>0</v>
      </c>
      <c r="CA626" s="2">
        <f>IFERROR(IF(Cases[[#This Row],[Days at Customer]]&gt;MAX(1,Cases[[#This Row],[Days at SAP]]*2),1,0),0)</f>
        <v>1</v>
      </c>
      <c r="CB626" s="2">
        <f>IF(AND(Cases[[#This Row],[Initial Component]]&lt;&gt;"",Cases[[#This Row],[Component]]&lt;&gt;"",Cases[[#This Row],[Initial Component]]&lt;&gt;Cases[[#This Row],[Component]]),1,0)</f>
        <v>0</v>
      </c>
      <c r="CC626" s="2">
        <f>IF(OR(Cases[[#This Row],[Is Reopened]]="X",Cases[[#This Row],[No. of Reopenings]]&gt;0),1,0)</f>
        <v>0</v>
      </c>
      <c r="CD626" s="2">
        <f>IF(Cases[[#This Row],[Confirmation Type]]="Automatic",1,0)</f>
        <v>1</v>
      </c>
      <c r="CE626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27" spans="1:83" x14ac:dyDescent="0.2">
      <c r="A627" s="1" t="s">
        <v>3484</v>
      </c>
      <c r="B627" s="2" t="s">
        <v>3485</v>
      </c>
      <c r="C627" s="2" t="s">
        <v>3486</v>
      </c>
      <c r="D627" s="2" t="s">
        <v>238</v>
      </c>
      <c r="E627" s="3">
        <v>8.17</v>
      </c>
      <c r="F627" s="3">
        <v>33.4</v>
      </c>
      <c r="G627" s="2" t="s">
        <v>113</v>
      </c>
      <c r="H627" s="2" t="s">
        <v>113</v>
      </c>
      <c r="I627" s="3" t="s">
        <v>114</v>
      </c>
      <c r="J627" s="3">
        <v>210</v>
      </c>
      <c r="K627" s="2" t="s">
        <v>3487</v>
      </c>
      <c r="L627" s="4">
        <v>46054</v>
      </c>
      <c r="M627" s="4">
        <v>45958</v>
      </c>
      <c r="N627" s="2" t="s">
        <v>2727</v>
      </c>
      <c r="O627" s="2" t="s">
        <v>1805</v>
      </c>
      <c r="P627" s="2" t="s">
        <v>2717</v>
      </c>
      <c r="Q627" s="2" t="s">
        <v>1806</v>
      </c>
      <c r="R627" s="2" t="s">
        <v>3488</v>
      </c>
      <c r="S627" s="4">
        <v>45917</v>
      </c>
      <c r="T627" s="2" t="s">
        <v>3264</v>
      </c>
      <c r="U627" s="2" t="s">
        <v>3265</v>
      </c>
      <c r="V627" s="2" t="s">
        <v>3423</v>
      </c>
      <c r="W627" s="2" t="s">
        <v>1806</v>
      </c>
      <c r="X627" s="2" t="s">
        <v>117</v>
      </c>
      <c r="Y627" s="3" t="s">
        <v>118</v>
      </c>
      <c r="Z627" s="3">
        <v>41.57</v>
      </c>
      <c r="AA627" s="2" t="s">
        <v>138</v>
      </c>
      <c r="AB627" s="2" t="s">
        <v>137</v>
      </c>
      <c r="AC627" s="2" t="s">
        <v>132</v>
      </c>
      <c r="AD627" t="str" cm="1">
        <f t="array" ref="AD62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627" s="2" t="s">
        <v>139</v>
      </c>
      <c r="AF627" s="2" t="s">
        <v>92</v>
      </c>
      <c r="AG627" s="2" t="s">
        <v>140</v>
      </c>
      <c r="AH627" s="2" t="s">
        <v>141</v>
      </c>
      <c r="AK627" s="2" t="s">
        <v>3489</v>
      </c>
      <c r="AN627" s="3">
        <v>1</v>
      </c>
      <c r="AO627" s="3">
        <v>0</v>
      </c>
      <c r="AP627" s="3">
        <v>1</v>
      </c>
      <c r="AQ627" s="3">
        <v>1</v>
      </c>
      <c r="AR627" s="3">
        <v>0</v>
      </c>
      <c r="AS627" s="3">
        <v>0</v>
      </c>
      <c r="AT627" s="3">
        <v>1</v>
      </c>
      <c r="AU627" s="3">
        <v>0</v>
      </c>
      <c r="AV627" s="3">
        <v>1</v>
      </c>
      <c r="AW627" s="3">
        <v>0</v>
      </c>
      <c r="AX627" s="3">
        <v>0</v>
      </c>
      <c r="AY627" s="3">
        <v>0</v>
      </c>
      <c r="AZ627" s="3">
        <v>1</v>
      </c>
      <c r="BA627" s="3">
        <v>0</v>
      </c>
      <c r="BB627" s="3">
        <v>0</v>
      </c>
      <c r="BC627" s="3">
        <v>1</v>
      </c>
      <c r="BD627" s="3">
        <v>0</v>
      </c>
      <c r="BE627" s="3">
        <v>0</v>
      </c>
      <c r="BG627" s="2" t="s">
        <v>139</v>
      </c>
      <c r="BH627" s="3">
        <v>2</v>
      </c>
      <c r="BJ627" s="2" t="s">
        <v>96</v>
      </c>
      <c r="BL627" s="2" t="s">
        <v>143</v>
      </c>
      <c r="BM627" s="2" t="s">
        <v>144</v>
      </c>
      <c r="BN627" s="2" t="s">
        <v>99</v>
      </c>
      <c r="BO627" s="2" t="s">
        <v>100</v>
      </c>
      <c r="BP627" s="2" t="s">
        <v>242</v>
      </c>
      <c r="BQ627" s="2" t="s">
        <v>145</v>
      </c>
      <c r="BR627" s="2" t="s">
        <v>146</v>
      </c>
      <c r="BS627" s="2" t="s">
        <v>147</v>
      </c>
      <c r="BT627" s="2" t="s">
        <v>148</v>
      </c>
      <c r="BU627" s="2" t="s">
        <v>149</v>
      </c>
      <c r="BV627" s="2" t="s">
        <v>150</v>
      </c>
      <c r="BW627" s="2" t="s">
        <v>151</v>
      </c>
      <c r="BX627" s="2" t="s">
        <v>139</v>
      </c>
      <c r="BY62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27" s="2">
        <f>IF(AND(Cases[[#This Row],[Priority Level]]&gt;=3,Cases[[#This Row],[System Role]]&lt;&gt;"Productive"),1,0)</f>
        <v>0</v>
      </c>
      <c r="CA627" s="2">
        <f>IFERROR(IF(Cases[[#This Row],[Days at Customer]]&gt;MAX(1,Cases[[#This Row],[Days at SAP]]*2),1,0),0)</f>
        <v>1</v>
      </c>
      <c r="CB627" s="2">
        <f>IF(AND(Cases[[#This Row],[Initial Component]]&lt;&gt;"",Cases[[#This Row],[Component]]&lt;&gt;"",Cases[[#This Row],[Initial Component]]&lt;&gt;Cases[[#This Row],[Component]]),1,0)</f>
        <v>1</v>
      </c>
      <c r="CC627" s="2">
        <f>IF(OR(Cases[[#This Row],[Is Reopened]]="X",Cases[[#This Row],[No. of Reopenings]]&gt;0),1,0)</f>
        <v>0</v>
      </c>
      <c r="CD627" s="2">
        <f>IF(Cases[[#This Row],[Confirmation Type]]="Automatic",1,0)</f>
        <v>1</v>
      </c>
      <c r="CE62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28" spans="1:83" x14ac:dyDescent="0.2">
      <c r="A628" s="1" t="s">
        <v>3490</v>
      </c>
      <c r="B628" s="2" t="s">
        <v>3491</v>
      </c>
      <c r="C628" s="2" t="s">
        <v>231</v>
      </c>
      <c r="D628" s="2" t="s">
        <v>238</v>
      </c>
      <c r="E628" s="3">
        <v>7.19</v>
      </c>
      <c r="F628" s="3">
        <v>21.25</v>
      </c>
      <c r="G628" s="2" t="s">
        <v>79</v>
      </c>
      <c r="H628" s="2" t="s">
        <v>80</v>
      </c>
      <c r="I628" s="3" t="s">
        <v>114</v>
      </c>
      <c r="J628" s="3">
        <v>210</v>
      </c>
      <c r="K628" s="2" t="s">
        <v>3492</v>
      </c>
      <c r="L628" s="4">
        <v>46040</v>
      </c>
      <c r="M628" s="4">
        <v>45945</v>
      </c>
      <c r="N628" s="2" t="s">
        <v>2727</v>
      </c>
      <c r="O628" s="2" t="s">
        <v>1805</v>
      </c>
      <c r="P628" s="2" t="s">
        <v>2936</v>
      </c>
      <c r="Q628" s="2" t="s">
        <v>1806</v>
      </c>
      <c r="R628" s="2" t="s">
        <v>233</v>
      </c>
      <c r="S628" s="4">
        <v>45917</v>
      </c>
      <c r="T628" s="2" t="s">
        <v>3264</v>
      </c>
      <c r="U628" s="2" t="s">
        <v>3265</v>
      </c>
      <c r="V628" s="2" t="s">
        <v>3423</v>
      </c>
      <c r="W628" s="2" t="s">
        <v>1806</v>
      </c>
      <c r="X628" s="2" t="s">
        <v>117</v>
      </c>
      <c r="Y628" s="3" t="s">
        <v>118</v>
      </c>
      <c r="Z628" s="3">
        <v>28.44</v>
      </c>
      <c r="AA628" s="2" t="s">
        <v>90</v>
      </c>
      <c r="AB628" s="2" t="s">
        <v>233</v>
      </c>
      <c r="AC628" s="2" t="s">
        <v>231</v>
      </c>
      <c r="AD628" t="str" cm="1">
        <f t="array" ref="AD62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628" s="2" t="s">
        <v>91</v>
      </c>
      <c r="AF628" s="2" t="s">
        <v>92</v>
      </c>
      <c r="AG628" s="2" t="s">
        <v>119</v>
      </c>
      <c r="AH628" s="2" t="s">
        <v>120</v>
      </c>
      <c r="AK628" s="2" t="s">
        <v>3493</v>
      </c>
      <c r="AN628" s="3">
        <v>1</v>
      </c>
      <c r="AO628" s="3">
        <v>0</v>
      </c>
      <c r="AP628" s="3">
        <v>1</v>
      </c>
      <c r="AQ628" s="3">
        <v>1</v>
      </c>
      <c r="AR628" s="3">
        <v>1</v>
      </c>
      <c r="AS628" s="3">
        <v>0</v>
      </c>
      <c r="AT628" s="3">
        <v>0</v>
      </c>
      <c r="AU628" s="3">
        <v>0</v>
      </c>
      <c r="AV628" s="3">
        <v>1</v>
      </c>
      <c r="AW628" s="3">
        <v>0</v>
      </c>
      <c r="AX628" s="3">
        <v>1</v>
      </c>
      <c r="AY628" s="3">
        <v>0</v>
      </c>
      <c r="AZ628" s="3">
        <v>0</v>
      </c>
      <c r="BA628" s="3">
        <v>0</v>
      </c>
      <c r="BB628" s="3">
        <v>0</v>
      </c>
      <c r="BC628" s="3">
        <v>1</v>
      </c>
      <c r="BD628" s="3">
        <v>0</v>
      </c>
      <c r="BE628" s="3">
        <v>0</v>
      </c>
      <c r="BG628" s="2" t="s">
        <v>91</v>
      </c>
      <c r="BH628" s="3">
        <v>3</v>
      </c>
      <c r="BJ628" s="2" t="s">
        <v>96</v>
      </c>
      <c r="BL628" s="2" t="s">
        <v>123</v>
      </c>
      <c r="BM628" s="2" t="s">
        <v>123</v>
      </c>
      <c r="BN628" s="2" t="s">
        <v>124</v>
      </c>
      <c r="BO628" s="2" t="s">
        <v>125</v>
      </c>
      <c r="BP628" s="2" t="s">
        <v>242</v>
      </c>
      <c r="BQ628" s="2" t="s">
        <v>124</v>
      </c>
      <c r="BR628" s="2" t="s">
        <v>126</v>
      </c>
      <c r="BS628" s="2" t="s">
        <v>127</v>
      </c>
      <c r="BT628" s="2" t="s">
        <v>207</v>
      </c>
      <c r="BU628" s="2" t="s">
        <v>208</v>
      </c>
      <c r="BV628" s="2" t="s">
        <v>150</v>
      </c>
      <c r="BW628" s="2" t="s">
        <v>151</v>
      </c>
      <c r="BX628" s="2" t="s">
        <v>91</v>
      </c>
      <c r="BY62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28" s="2">
        <f>IF(AND(Cases[[#This Row],[Priority Level]]&gt;=3,Cases[[#This Row],[System Role]]&lt;&gt;"Productive"),1,0)</f>
        <v>0</v>
      </c>
      <c r="CA628" s="2">
        <f>IFERROR(IF(Cases[[#This Row],[Days at Customer]]&gt;MAX(1,Cases[[#This Row],[Days at SAP]]*2),1,0),0)</f>
        <v>1</v>
      </c>
      <c r="CB628" s="2">
        <f>IF(AND(Cases[[#This Row],[Initial Component]]&lt;&gt;"",Cases[[#This Row],[Component]]&lt;&gt;"",Cases[[#This Row],[Initial Component]]&lt;&gt;Cases[[#This Row],[Component]]),1,0)</f>
        <v>0</v>
      </c>
      <c r="CC628" s="2">
        <f>IF(OR(Cases[[#This Row],[Is Reopened]]="X",Cases[[#This Row],[No. of Reopenings]]&gt;0),1,0)</f>
        <v>0</v>
      </c>
      <c r="CD628" s="2">
        <f>IF(Cases[[#This Row],[Confirmation Type]]="Automatic",1,0)</f>
        <v>1</v>
      </c>
      <c r="CE62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29" spans="1:83" x14ac:dyDescent="0.2">
      <c r="A629" s="1" t="s">
        <v>3494</v>
      </c>
      <c r="B629" s="2" t="s">
        <v>3495</v>
      </c>
      <c r="C629" s="2" t="s">
        <v>731</v>
      </c>
      <c r="D629" s="2" t="s">
        <v>238</v>
      </c>
      <c r="E629" s="3">
        <v>0</v>
      </c>
      <c r="F629" s="3">
        <v>21.26</v>
      </c>
      <c r="G629" s="2" t="s">
        <v>79</v>
      </c>
      <c r="H629" s="2" t="s">
        <v>178</v>
      </c>
      <c r="I629" s="3" t="s">
        <v>114</v>
      </c>
      <c r="J629" s="3">
        <v>210</v>
      </c>
      <c r="K629" s="2" t="s">
        <v>3496</v>
      </c>
      <c r="L629" s="4">
        <v>46033</v>
      </c>
      <c r="M629" s="4">
        <v>45938</v>
      </c>
      <c r="N629" s="2" t="s">
        <v>2727</v>
      </c>
      <c r="O629" s="2" t="s">
        <v>1805</v>
      </c>
      <c r="P629" s="2" t="s">
        <v>3126</v>
      </c>
      <c r="Q629" s="2" t="s">
        <v>1806</v>
      </c>
      <c r="R629" s="2" t="s">
        <v>734</v>
      </c>
      <c r="S629" s="4">
        <v>45917</v>
      </c>
      <c r="T629" s="2" t="s">
        <v>3264</v>
      </c>
      <c r="U629" s="2" t="s">
        <v>3265</v>
      </c>
      <c r="V629" s="2" t="s">
        <v>3423</v>
      </c>
      <c r="W629" s="2" t="s">
        <v>1806</v>
      </c>
      <c r="X629" s="2" t="s">
        <v>117</v>
      </c>
      <c r="Y629" s="3" t="s">
        <v>118</v>
      </c>
      <c r="Z629" s="3">
        <v>21.26</v>
      </c>
      <c r="AA629" s="2" t="s">
        <v>90</v>
      </c>
      <c r="AB629" s="2" t="s">
        <v>734</v>
      </c>
      <c r="AC629" s="2" t="s">
        <v>731</v>
      </c>
      <c r="AD629" t="str" cm="1">
        <f t="array" ref="AD62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629" s="2" t="s">
        <v>139</v>
      </c>
      <c r="AF629" s="2" t="s">
        <v>92</v>
      </c>
      <c r="AG629" s="2" t="s">
        <v>119</v>
      </c>
      <c r="AH629" s="2" t="s">
        <v>120</v>
      </c>
      <c r="AK629" s="2" t="s">
        <v>3497</v>
      </c>
      <c r="AN629" s="3">
        <v>1</v>
      </c>
      <c r="AO629" s="3">
        <v>0</v>
      </c>
      <c r="AP629" s="3">
        <v>1</v>
      </c>
      <c r="AQ629" s="3">
        <v>1</v>
      </c>
      <c r="AR629" s="3">
        <v>0</v>
      </c>
      <c r="AS629" s="3">
        <v>0</v>
      </c>
      <c r="AT629" s="3">
        <v>1</v>
      </c>
      <c r="AU629" s="3">
        <v>0</v>
      </c>
      <c r="AV629" s="3">
        <v>1</v>
      </c>
      <c r="AW629" s="3">
        <v>0</v>
      </c>
      <c r="AX629" s="3">
        <v>0</v>
      </c>
      <c r="AY629" s="3">
        <v>0</v>
      </c>
      <c r="AZ629" s="3">
        <v>1</v>
      </c>
      <c r="BA629" s="3">
        <v>0</v>
      </c>
      <c r="BB629" s="3">
        <v>0</v>
      </c>
      <c r="BC629" s="3">
        <v>1</v>
      </c>
      <c r="BD629" s="3">
        <v>0</v>
      </c>
      <c r="BE629" s="3">
        <v>0</v>
      </c>
      <c r="BG629" s="2" t="s">
        <v>139</v>
      </c>
      <c r="BH629" s="3">
        <v>2</v>
      </c>
      <c r="BJ629" s="2" t="s">
        <v>96</v>
      </c>
      <c r="BL629" s="2" t="s">
        <v>123</v>
      </c>
      <c r="BM629" s="2" t="s">
        <v>123</v>
      </c>
      <c r="BN629" s="2" t="s">
        <v>124</v>
      </c>
      <c r="BO629" s="2" t="s">
        <v>125</v>
      </c>
      <c r="BP629" s="2" t="s">
        <v>242</v>
      </c>
      <c r="BQ629" s="2" t="s">
        <v>124</v>
      </c>
      <c r="BR629" s="2" t="s">
        <v>126</v>
      </c>
      <c r="BS629" s="2" t="s">
        <v>127</v>
      </c>
      <c r="BT629" s="2" t="s">
        <v>207</v>
      </c>
      <c r="BU629" s="2" t="s">
        <v>208</v>
      </c>
      <c r="BV629" s="2" t="s">
        <v>150</v>
      </c>
      <c r="BW629" s="2" t="s">
        <v>151</v>
      </c>
      <c r="BX629" s="2" t="s">
        <v>139</v>
      </c>
      <c r="BY62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29" s="2">
        <f>IF(AND(Cases[[#This Row],[Priority Level]]&gt;=3,Cases[[#This Row],[System Role]]&lt;&gt;"Productive"),1,0)</f>
        <v>0</v>
      </c>
      <c r="CA629" s="2">
        <f>IFERROR(IF(Cases[[#This Row],[Days at Customer]]&gt;MAX(1,Cases[[#This Row],[Days at SAP]]*2),1,0),0)</f>
        <v>1</v>
      </c>
      <c r="CB629" s="2">
        <f>IF(AND(Cases[[#This Row],[Initial Component]]&lt;&gt;"",Cases[[#This Row],[Component]]&lt;&gt;"",Cases[[#This Row],[Initial Component]]&lt;&gt;Cases[[#This Row],[Component]]),1,0)</f>
        <v>0</v>
      </c>
      <c r="CC629" s="2">
        <f>IF(OR(Cases[[#This Row],[Is Reopened]]="X",Cases[[#This Row],[No. of Reopenings]]&gt;0),1,0)</f>
        <v>0</v>
      </c>
      <c r="CD629" s="2">
        <f>IF(Cases[[#This Row],[Confirmation Type]]="Automatic",1,0)</f>
        <v>1</v>
      </c>
      <c r="CE629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30" spans="1:83" x14ac:dyDescent="0.2">
      <c r="A630" s="1" t="s">
        <v>283</v>
      </c>
      <c r="B630" s="2" t="s">
        <v>284</v>
      </c>
      <c r="C630" s="2" t="s">
        <v>111</v>
      </c>
      <c r="D630" s="2" t="s">
        <v>238</v>
      </c>
      <c r="E630" s="3">
        <v>0</v>
      </c>
      <c r="F630" s="3">
        <v>21.4</v>
      </c>
      <c r="G630" s="2" t="s">
        <v>112</v>
      </c>
      <c r="H630" s="2" t="s">
        <v>113</v>
      </c>
      <c r="I630" s="3" t="s">
        <v>114</v>
      </c>
      <c r="J630" s="3">
        <v>28</v>
      </c>
      <c r="K630" s="2" t="s">
        <v>285</v>
      </c>
      <c r="L630" s="4">
        <v>46124</v>
      </c>
      <c r="M630" s="4">
        <v>46122</v>
      </c>
      <c r="N630" s="2" t="s">
        <v>83</v>
      </c>
      <c r="O630" s="2" t="s">
        <v>84</v>
      </c>
      <c r="P630" s="2" t="s">
        <v>85</v>
      </c>
      <c r="Q630" s="2" t="s">
        <v>86</v>
      </c>
      <c r="R630" s="2" t="s">
        <v>116</v>
      </c>
      <c r="S630" s="4">
        <v>46099</v>
      </c>
      <c r="T630" s="2" t="s">
        <v>180</v>
      </c>
      <c r="U630" s="2" t="s">
        <v>181</v>
      </c>
      <c r="V630" s="2" t="s">
        <v>260</v>
      </c>
      <c r="W630" s="2" t="s">
        <v>86</v>
      </c>
      <c r="X630" s="2" t="s">
        <v>117</v>
      </c>
      <c r="Y630" s="3" t="s">
        <v>118</v>
      </c>
      <c r="Z630" s="3">
        <v>21.4</v>
      </c>
      <c r="AA630" s="2" t="s">
        <v>90</v>
      </c>
      <c r="AB630" s="2" t="s">
        <v>116</v>
      </c>
      <c r="AC630" s="2" t="s">
        <v>111</v>
      </c>
      <c r="AD630" t="str" cm="1">
        <f t="array" ref="AD63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630" s="2" t="s">
        <v>139</v>
      </c>
      <c r="AF630" s="2" t="s">
        <v>92</v>
      </c>
      <c r="AG630" s="2" t="s">
        <v>119</v>
      </c>
      <c r="AH630" s="2" t="s">
        <v>120</v>
      </c>
      <c r="AK630" s="2" t="s">
        <v>286</v>
      </c>
      <c r="AN630" s="3">
        <v>1</v>
      </c>
      <c r="AO630" s="3">
        <v>1</v>
      </c>
      <c r="AP630" s="3">
        <v>1</v>
      </c>
      <c r="AQ630" s="3">
        <v>1</v>
      </c>
      <c r="AR630" s="3">
        <v>0</v>
      </c>
      <c r="AS630" s="3">
        <v>0</v>
      </c>
      <c r="AT630" s="3">
        <v>1</v>
      </c>
      <c r="AU630" s="3">
        <v>0</v>
      </c>
      <c r="AV630" s="3">
        <v>1</v>
      </c>
      <c r="AW630" s="3">
        <v>0</v>
      </c>
      <c r="AX630" s="3">
        <v>0</v>
      </c>
      <c r="AY630" s="3">
        <v>0</v>
      </c>
      <c r="AZ630" s="3">
        <v>1</v>
      </c>
      <c r="BA630" s="3">
        <v>0</v>
      </c>
      <c r="BB630" s="3">
        <v>0</v>
      </c>
      <c r="BC630" s="3">
        <v>1</v>
      </c>
      <c r="BD630" s="3">
        <v>0</v>
      </c>
      <c r="BE630" s="3">
        <v>0</v>
      </c>
      <c r="BG630" s="2" t="s">
        <v>139</v>
      </c>
      <c r="BH630" s="3">
        <v>2</v>
      </c>
      <c r="BI630" s="2" t="s">
        <v>122</v>
      </c>
      <c r="BJ630" s="2" t="s">
        <v>96</v>
      </c>
      <c r="BL630" s="2" t="s">
        <v>123</v>
      </c>
      <c r="BM630" s="2" t="s">
        <v>123</v>
      </c>
      <c r="BN630" s="2" t="s">
        <v>124</v>
      </c>
      <c r="BO630" s="2" t="s">
        <v>125</v>
      </c>
      <c r="BP630" s="2" t="s">
        <v>242</v>
      </c>
      <c r="BQ630" s="2" t="s">
        <v>124</v>
      </c>
      <c r="BR630" s="2" t="s">
        <v>126</v>
      </c>
      <c r="BS630" s="2" t="s">
        <v>127</v>
      </c>
      <c r="BT630" s="2" t="s">
        <v>207</v>
      </c>
      <c r="BU630" s="2" t="s">
        <v>208</v>
      </c>
      <c r="BV630" s="2" t="s">
        <v>150</v>
      </c>
      <c r="BW630" s="2" t="s">
        <v>151</v>
      </c>
      <c r="BX630" s="2" t="s">
        <v>139</v>
      </c>
      <c r="BY63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30" s="2">
        <f>IF(AND(Cases[[#This Row],[Priority Level]]&gt;=3,Cases[[#This Row],[System Role]]&lt;&gt;"Productive"),1,0)</f>
        <v>0</v>
      </c>
      <c r="CA630" s="2">
        <f>IFERROR(IF(Cases[[#This Row],[Days at Customer]]&gt;MAX(1,Cases[[#This Row],[Days at SAP]]*2),1,0),0)</f>
        <v>1</v>
      </c>
      <c r="CB630" s="2">
        <f>IF(AND(Cases[[#This Row],[Initial Component]]&lt;&gt;"",Cases[[#This Row],[Component]]&lt;&gt;"",Cases[[#This Row],[Initial Component]]&lt;&gt;Cases[[#This Row],[Component]]),1,0)</f>
        <v>0</v>
      </c>
      <c r="CC630" s="2">
        <f>IF(OR(Cases[[#This Row],[Is Reopened]]="X",Cases[[#This Row],[No. of Reopenings]]&gt;0),1,0)</f>
        <v>0</v>
      </c>
      <c r="CD630" s="2">
        <f>IF(Cases[[#This Row],[Confirmation Type]]="Automatic",1,0)</f>
        <v>1</v>
      </c>
      <c r="CE630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31" spans="1:83" x14ac:dyDescent="0.2">
      <c r="A631" s="1" t="s">
        <v>3501</v>
      </c>
      <c r="B631" s="2" t="s">
        <v>3502</v>
      </c>
      <c r="C631" s="2" t="s">
        <v>3503</v>
      </c>
      <c r="D631" s="2" t="s">
        <v>238</v>
      </c>
      <c r="E631" s="3">
        <v>2.13</v>
      </c>
      <c r="F631" s="3">
        <v>29.64</v>
      </c>
      <c r="G631" s="2" t="s">
        <v>133</v>
      </c>
      <c r="H631" s="2" t="s">
        <v>324</v>
      </c>
      <c r="I631" s="3" t="s">
        <v>114</v>
      </c>
      <c r="J631" s="3">
        <v>211</v>
      </c>
      <c r="K631" s="2" t="s">
        <v>3504</v>
      </c>
      <c r="L631" s="4">
        <v>46040</v>
      </c>
      <c r="M631" s="4">
        <v>45948</v>
      </c>
      <c r="N631" s="2" t="s">
        <v>2727</v>
      </c>
      <c r="O631" s="2" t="s">
        <v>1805</v>
      </c>
      <c r="P631" s="2" t="s">
        <v>2936</v>
      </c>
      <c r="Q631" s="2" t="s">
        <v>1806</v>
      </c>
      <c r="R631" s="2" t="s">
        <v>3505</v>
      </c>
      <c r="S631" s="4">
        <v>45916</v>
      </c>
      <c r="T631" s="2" t="s">
        <v>3264</v>
      </c>
      <c r="U631" s="2" t="s">
        <v>3265</v>
      </c>
      <c r="V631" s="2" t="s">
        <v>3423</v>
      </c>
      <c r="W631" s="2" t="s">
        <v>1806</v>
      </c>
      <c r="X631" s="2" t="s">
        <v>117</v>
      </c>
      <c r="Y631" s="3" t="s">
        <v>118</v>
      </c>
      <c r="Z631" s="3">
        <v>31.78</v>
      </c>
      <c r="AA631" s="2" t="s">
        <v>90</v>
      </c>
      <c r="AB631" s="2" t="s">
        <v>1020</v>
      </c>
      <c r="AC631" s="2" t="s">
        <v>1018</v>
      </c>
      <c r="AD631" t="str" cm="1">
        <f t="array" ref="AD63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631" s="2" t="s">
        <v>91</v>
      </c>
      <c r="AF631" s="2" t="s">
        <v>92</v>
      </c>
      <c r="AG631" s="2" t="s">
        <v>527</v>
      </c>
      <c r="AH631" s="2" t="s">
        <v>528</v>
      </c>
      <c r="AK631" s="2" t="s">
        <v>3506</v>
      </c>
      <c r="AN631" s="3">
        <v>1</v>
      </c>
      <c r="AO631" s="3">
        <v>0</v>
      </c>
      <c r="AP631" s="3">
        <v>1</v>
      </c>
      <c r="AQ631" s="3">
        <v>1</v>
      </c>
      <c r="AR631" s="3">
        <v>1</v>
      </c>
      <c r="AS631" s="3">
        <v>0</v>
      </c>
      <c r="AT631" s="3">
        <v>0</v>
      </c>
      <c r="AU631" s="3">
        <v>0</v>
      </c>
      <c r="AV631" s="3">
        <v>1</v>
      </c>
      <c r="AW631" s="3">
        <v>0</v>
      </c>
      <c r="AX631" s="3">
        <v>1</v>
      </c>
      <c r="AY631" s="3">
        <v>0</v>
      </c>
      <c r="AZ631" s="3">
        <v>0</v>
      </c>
      <c r="BA631" s="3">
        <v>0</v>
      </c>
      <c r="BB631" s="3">
        <v>0</v>
      </c>
      <c r="BC631" s="3">
        <v>1</v>
      </c>
      <c r="BD631" s="3">
        <v>0</v>
      </c>
      <c r="BE631" s="3">
        <v>0</v>
      </c>
      <c r="BG631" s="2" t="s">
        <v>91</v>
      </c>
      <c r="BH631" s="3">
        <v>3</v>
      </c>
      <c r="BJ631" s="2" t="s">
        <v>96</v>
      </c>
      <c r="BL631" s="2" t="s">
        <v>184</v>
      </c>
      <c r="BM631" s="2" t="s">
        <v>184</v>
      </c>
      <c r="BN631" s="2" t="s">
        <v>124</v>
      </c>
      <c r="BO631" s="2" t="s">
        <v>125</v>
      </c>
      <c r="BP631" s="2" t="s">
        <v>242</v>
      </c>
      <c r="BQ631" s="2" t="s">
        <v>124</v>
      </c>
      <c r="BR631" s="2" t="s">
        <v>126</v>
      </c>
      <c r="BS631" s="2" t="s">
        <v>127</v>
      </c>
      <c r="BT631" s="2" t="s">
        <v>185</v>
      </c>
      <c r="BU631" s="2" t="s">
        <v>530</v>
      </c>
      <c r="BV631" s="2" t="s">
        <v>150</v>
      </c>
      <c r="BW631" s="2" t="s">
        <v>151</v>
      </c>
      <c r="BX631" s="2" t="s">
        <v>91</v>
      </c>
      <c r="BY63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31" s="2">
        <f>IF(AND(Cases[[#This Row],[Priority Level]]&gt;=3,Cases[[#This Row],[System Role]]&lt;&gt;"Productive"),1,0)</f>
        <v>0</v>
      </c>
      <c r="CA631" s="2">
        <f>IFERROR(IF(Cases[[#This Row],[Days at Customer]]&gt;MAX(1,Cases[[#This Row],[Days at SAP]]*2),1,0),0)</f>
        <v>1</v>
      </c>
      <c r="CB631" s="2">
        <f>IF(AND(Cases[[#This Row],[Initial Component]]&lt;&gt;"",Cases[[#This Row],[Component]]&lt;&gt;"",Cases[[#This Row],[Initial Component]]&lt;&gt;Cases[[#This Row],[Component]]),1,0)</f>
        <v>1</v>
      </c>
      <c r="CC631" s="2">
        <f>IF(OR(Cases[[#This Row],[Is Reopened]]="X",Cases[[#This Row],[No. of Reopenings]]&gt;0),1,0)</f>
        <v>0</v>
      </c>
      <c r="CD631" s="2">
        <f>IF(Cases[[#This Row],[Confirmation Type]]="Automatic",1,0)</f>
        <v>1</v>
      </c>
      <c r="CE631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32" spans="1:83" x14ac:dyDescent="0.2">
      <c r="A632" s="1" t="s">
        <v>3507</v>
      </c>
      <c r="B632" s="2" t="s">
        <v>3508</v>
      </c>
      <c r="C632" s="2" t="s">
        <v>3509</v>
      </c>
      <c r="D632" s="2" t="s">
        <v>238</v>
      </c>
      <c r="E632" s="3">
        <v>2.58</v>
      </c>
      <c r="F632" s="3">
        <v>39.94</v>
      </c>
      <c r="G632" s="2" t="s">
        <v>133</v>
      </c>
      <c r="H632" s="2" t="s">
        <v>324</v>
      </c>
      <c r="I632" s="3" t="s">
        <v>114</v>
      </c>
      <c r="J632" s="3">
        <v>211</v>
      </c>
      <c r="K632" s="2" t="s">
        <v>3510</v>
      </c>
      <c r="L632" s="4">
        <v>46054</v>
      </c>
      <c r="M632" s="4">
        <v>45959</v>
      </c>
      <c r="N632" s="2" t="s">
        <v>2727</v>
      </c>
      <c r="O632" s="2" t="s">
        <v>1805</v>
      </c>
      <c r="P632" s="2" t="s">
        <v>2717</v>
      </c>
      <c r="Q632" s="2" t="s">
        <v>1806</v>
      </c>
      <c r="R632" s="2" t="s">
        <v>3511</v>
      </c>
      <c r="S632" s="4">
        <v>45916</v>
      </c>
      <c r="T632" s="2" t="s">
        <v>3264</v>
      </c>
      <c r="U632" s="2" t="s">
        <v>3265</v>
      </c>
      <c r="V632" s="2" t="s">
        <v>3423</v>
      </c>
      <c r="W632" s="2" t="s">
        <v>1806</v>
      </c>
      <c r="X632" s="2" t="s">
        <v>117</v>
      </c>
      <c r="Y632" s="3" t="s">
        <v>118</v>
      </c>
      <c r="Z632" s="3">
        <v>42.52</v>
      </c>
      <c r="AA632" s="2" t="s">
        <v>90</v>
      </c>
      <c r="AB632" s="2" t="s">
        <v>2592</v>
      </c>
      <c r="AC632" s="2" t="s">
        <v>2593</v>
      </c>
      <c r="AD632" t="str" cm="1">
        <f t="array" ref="AD63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632" s="2" t="s">
        <v>91</v>
      </c>
      <c r="AF632" s="2" t="s">
        <v>92</v>
      </c>
      <c r="AG632" s="2" t="s">
        <v>527</v>
      </c>
      <c r="AH632" s="2" t="s">
        <v>528</v>
      </c>
      <c r="AK632" s="2" t="s">
        <v>3512</v>
      </c>
      <c r="AN632" s="3">
        <v>1</v>
      </c>
      <c r="AO632" s="3">
        <v>0</v>
      </c>
      <c r="AP632" s="3">
        <v>1</v>
      </c>
      <c r="AQ632" s="3">
        <v>1</v>
      </c>
      <c r="AR632" s="3">
        <v>1</v>
      </c>
      <c r="AS632" s="3">
        <v>0</v>
      </c>
      <c r="AT632" s="3">
        <v>0</v>
      </c>
      <c r="AU632" s="3">
        <v>0</v>
      </c>
      <c r="AV632" s="3">
        <v>1</v>
      </c>
      <c r="AW632" s="3">
        <v>0</v>
      </c>
      <c r="AX632" s="3">
        <v>1</v>
      </c>
      <c r="AY632" s="3">
        <v>0</v>
      </c>
      <c r="AZ632" s="3">
        <v>0</v>
      </c>
      <c r="BA632" s="3">
        <v>0</v>
      </c>
      <c r="BB632" s="3">
        <v>0</v>
      </c>
      <c r="BC632" s="3">
        <v>1</v>
      </c>
      <c r="BD632" s="3">
        <v>0</v>
      </c>
      <c r="BE632" s="3">
        <v>0</v>
      </c>
      <c r="BG632" s="2" t="s">
        <v>91</v>
      </c>
      <c r="BH632" s="3">
        <v>3</v>
      </c>
      <c r="BJ632" s="2" t="s">
        <v>96</v>
      </c>
      <c r="BL632" s="2" t="s">
        <v>184</v>
      </c>
      <c r="BM632" s="2" t="s">
        <v>184</v>
      </c>
      <c r="BN632" s="2" t="s">
        <v>124</v>
      </c>
      <c r="BO632" s="2" t="s">
        <v>125</v>
      </c>
      <c r="BP632" s="2" t="s">
        <v>242</v>
      </c>
      <c r="BQ632" s="2" t="s">
        <v>124</v>
      </c>
      <c r="BR632" s="2" t="s">
        <v>126</v>
      </c>
      <c r="BS632" s="2" t="s">
        <v>127</v>
      </c>
      <c r="BT632" s="2" t="s">
        <v>185</v>
      </c>
      <c r="BU632" s="2" t="s">
        <v>530</v>
      </c>
      <c r="BV632" s="2" t="s">
        <v>150</v>
      </c>
      <c r="BW632" s="2" t="s">
        <v>151</v>
      </c>
      <c r="BX632" s="2" t="s">
        <v>91</v>
      </c>
      <c r="BY63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32" s="2">
        <f>IF(AND(Cases[[#This Row],[Priority Level]]&gt;=3,Cases[[#This Row],[System Role]]&lt;&gt;"Productive"),1,0)</f>
        <v>0</v>
      </c>
      <c r="CA632" s="2">
        <f>IFERROR(IF(Cases[[#This Row],[Days at Customer]]&gt;MAX(1,Cases[[#This Row],[Days at SAP]]*2),1,0),0)</f>
        <v>1</v>
      </c>
      <c r="CB632" s="2">
        <f>IF(AND(Cases[[#This Row],[Initial Component]]&lt;&gt;"",Cases[[#This Row],[Component]]&lt;&gt;"",Cases[[#This Row],[Initial Component]]&lt;&gt;Cases[[#This Row],[Component]]),1,0)</f>
        <v>1</v>
      </c>
      <c r="CC632" s="2">
        <f>IF(OR(Cases[[#This Row],[Is Reopened]]="X",Cases[[#This Row],[No. of Reopenings]]&gt;0),1,0)</f>
        <v>0</v>
      </c>
      <c r="CD632" s="2">
        <f>IF(Cases[[#This Row],[Confirmation Type]]="Automatic",1,0)</f>
        <v>1</v>
      </c>
      <c r="CE632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33" spans="1:83" x14ac:dyDescent="0.2">
      <c r="A633" s="1" t="s">
        <v>3513</v>
      </c>
      <c r="B633" s="2" t="s">
        <v>3514</v>
      </c>
      <c r="C633" s="2" t="s">
        <v>1645</v>
      </c>
      <c r="D633" s="2" t="s">
        <v>238</v>
      </c>
      <c r="E633" s="3">
        <v>25.88</v>
      </c>
      <c r="F633" s="3">
        <v>57.97</v>
      </c>
      <c r="G633" s="2" t="s">
        <v>79</v>
      </c>
      <c r="H633" s="2" t="s">
        <v>178</v>
      </c>
      <c r="I633" s="3" t="s">
        <v>114</v>
      </c>
      <c r="J633" s="3">
        <v>211</v>
      </c>
      <c r="K633" s="2" t="s">
        <v>3515</v>
      </c>
      <c r="L633" s="4">
        <v>46009</v>
      </c>
      <c r="M633" s="4">
        <v>46000</v>
      </c>
      <c r="N633" s="2" t="s">
        <v>1804</v>
      </c>
      <c r="O633" s="2" t="s">
        <v>1805</v>
      </c>
      <c r="P633" s="2" t="s">
        <v>2037</v>
      </c>
      <c r="Q633" s="2" t="s">
        <v>1806</v>
      </c>
      <c r="R633" s="2" t="s">
        <v>1647</v>
      </c>
      <c r="S633" s="4">
        <v>45916</v>
      </c>
      <c r="T633" s="2" t="s">
        <v>3264</v>
      </c>
      <c r="U633" s="2" t="s">
        <v>3265</v>
      </c>
      <c r="V633" s="2" t="s">
        <v>3423</v>
      </c>
      <c r="W633" s="2" t="s">
        <v>1806</v>
      </c>
      <c r="X633" s="2" t="s">
        <v>117</v>
      </c>
      <c r="Y633" s="3" t="s">
        <v>118</v>
      </c>
      <c r="Z633" s="3">
        <v>83.85</v>
      </c>
      <c r="AA633" s="2" t="s">
        <v>90</v>
      </c>
      <c r="AB633" s="2" t="s">
        <v>1647</v>
      </c>
      <c r="AC633" s="2" t="s">
        <v>1645</v>
      </c>
      <c r="AD633" t="str" cm="1">
        <f t="array" ref="AD63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633" s="2" t="s">
        <v>91</v>
      </c>
      <c r="AF633" s="2" t="s">
        <v>92</v>
      </c>
      <c r="AG633" s="2" t="s">
        <v>119</v>
      </c>
      <c r="AH633" s="2" t="s">
        <v>120</v>
      </c>
      <c r="AJ633" s="2" t="s">
        <v>122</v>
      </c>
      <c r="AK633" s="2" t="s">
        <v>3516</v>
      </c>
      <c r="AN633" s="3">
        <v>1</v>
      </c>
      <c r="AO633" s="3">
        <v>0</v>
      </c>
      <c r="AP633" s="3">
        <v>1</v>
      </c>
      <c r="AQ633" s="3">
        <v>1</v>
      </c>
      <c r="AR633" s="3">
        <v>1</v>
      </c>
      <c r="AS633" s="3">
        <v>0</v>
      </c>
      <c r="AT633" s="3">
        <v>0</v>
      </c>
      <c r="AU633" s="3">
        <v>0</v>
      </c>
      <c r="AV633" s="3">
        <v>1</v>
      </c>
      <c r="AW633" s="3">
        <v>0</v>
      </c>
      <c r="AX633" s="3">
        <v>1</v>
      </c>
      <c r="AY633" s="3">
        <v>0</v>
      </c>
      <c r="AZ633" s="3">
        <v>0</v>
      </c>
      <c r="BA633" s="3">
        <v>0</v>
      </c>
      <c r="BB633" s="3">
        <v>0</v>
      </c>
      <c r="BC633" s="3">
        <v>1</v>
      </c>
      <c r="BD633" s="3">
        <v>1</v>
      </c>
      <c r="BE633" s="3">
        <v>0</v>
      </c>
      <c r="BG633" s="2" t="s">
        <v>91</v>
      </c>
      <c r="BH633" s="3">
        <v>3</v>
      </c>
      <c r="BJ633" s="2" t="s">
        <v>96</v>
      </c>
      <c r="BL633" s="2" t="s">
        <v>123</v>
      </c>
      <c r="BM633" s="2" t="s">
        <v>123</v>
      </c>
      <c r="BN633" s="2" t="s">
        <v>124</v>
      </c>
      <c r="BO633" s="2" t="s">
        <v>125</v>
      </c>
      <c r="BP633" s="2" t="s">
        <v>242</v>
      </c>
      <c r="BQ633" s="2" t="s">
        <v>124</v>
      </c>
      <c r="BR633" s="2" t="s">
        <v>126</v>
      </c>
      <c r="BS633" s="2" t="s">
        <v>127</v>
      </c>
      <c r="BT633" s="2" t="s">
        <v>174</v>
      </c>
      <c r="BU633" s="2" t="s">
        <v>175</v>
      </c>
      <c r="BV633" s="2" t="s">
        <v>150</v>
      </c>
      <c r="BW633" s="2" t="s">
        <v>151</v>
      </c>
      <c r="BX633" s="2" t="s">
        <v>91</v>
      </c>
      <c r="BY63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33" s="2">
        <f>IF(AND(Cases[[#This Row],[Priority Level]]&gt;=3,Cases[[#This Row],[System Role]]&lt;&gt;"Productive"),1,0)</f>
        <v>0</v>
      </c>
      <c r="CA633" s="2">
        <f>IFERROR(IF(Cases[[#This Row],[Days at Customer]]&gt;MAX(1,Cases[[#This Row],[Days at SAP]]*2),1,0),0)</f>
        <v>1</v>
      </c>
      <c r="CB633" s="2">
        <f>IF(AND(Cases[[#This Row],[Initial Component]]&lt;&gt;"",Cases[[#This Row],[Component]]&lt;&gt;"",Cases[[#This Row],[Initial Component]]&lt;&gt;Cases[[#This Row],[Component]]),1,0)</f>
        <v>0</v>
      </c>
      <c r="CC633" s="2">
        <f>IF(OR(Cases[[#This Row],[Is Reopened]]="X",Cases[[#This Row],[No. of Reopenings]]&gt;0),1,0)</f>
        <v>1</v>
      </c>
      <c r="CD633" s="2">
        <f>IF(Cases[[#This Row],[Confirmation Type]]="Automatic",1,0)</f>
        <v>1</v>
      </c>
      <c r="CE633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634" spans="1:83" x14ac:dyDescent="0.2">
      <c r="A634" s="1" t="s">
        <v>3517</v>
      </c>
      <c r="B634" s="2" t="s">
        <v>3518</v>
      </c>
      <c r="C634" s="2" t="s">
        <v>3519</v>
      </c>
      <c r="D634" s="2" t="s">
        <v>238</v>
      </c>
      <c r="E634" s="3">
        <v>29.73</v>
      </c>
      <c r="F634" s="3">
        <v>26.89</v>
      </c>
      <c r="G634" s="2" t="s">
        <v>79</v>
      </c>
      <c r="H634" s="2" t="s">
        <v>732</v>
      </c>
      <c r="I634" s="3" t="s">
        <v>114</v>
      </c>
      <c r="J634" s="3">
        <v>211</v>
      </c>
      <c r="K634" s="2" t="s">
        <v>3520</v>
      </c>
      <c r="L634" s="4">
        <v>46064</v>
      </c>
      <c r="M634" s="4">
        <v>45973</v>
      </c>
      <c r="N634" s="2" t="s">
        <v>2274</v>
      </c>
      <c r="O634" s="2" t="s">
        <v>1805</v>
      </c>
      <c r="P634" s="2" t="s">
        <v>2467</v>
      </c>
      <c r="Q634" s="2" t="s">
        <v>1806</v>
      </c>
      <c r="R634" s="2" t="s">
        <v>3521</v>
      </c>
      <c r="S634" s="4">
        <v>45916</v>
      </c>
      <c r="T634" s="2" t="s">
        <v>3264</v>
      </c>
      <c r="U634" s="2" t="s">
        <v>3265</v>
      </c>
      <c r="V634" s="2" t="s">
        <v>3423</v>
      </c>
      <c r="W634" s="2" t="s">
        <v>1806</v>
      </c>
      <c r="X634" s="2" t="s">
        <v>117</v>
      </c>
      <c r="Y634" s="3" t="s">
        <v>118</v>
      </c>
      <c r="Z634" s="3">
        <v>56.62</v>
      </c>
      <c r="AA634" s="2" t="s">
        <v>90</v>
      </c>
      <c r="AB634" s="2" t="s">
        <v>3522</v>
      </c>
      <c r="AC634" s="2" t="s">
        <v>3523</v>
      </c>
      <c r="AD634" t="str" cm="1">
        <f t="array" ref="AD63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634" s="2" t="s">
        <v>91</v>
      </c>
      <c r="AF634" s="2" t="s">
        <v>92</v>
      </c>
      <c r="AG634" s="2" t="s">
        <v>119</v>
      </c>
      <c r="AH634" s="2" t="s">
        <v>120</v>
      </c>
      <c r="AK634" s="2" t="s">
        <v>3524</v>
      </c>
      <c r="AN634" s="3">
        <v>1</v>
      </c>
      <c r="AO634" s="3">
        <v>0</v>
      </c>
      <c r="AP634" s="3">
        <v>1</v>
      </c>
      <c r="AQ634" s="3">
        <v>1</v>
      </c>
      <c r="AR634" s="3">
        <v>1</v>
      </c>
      <c r="AS634" s="3">
        <v>0</v>
      </c>
      <c r="AT634" s="3">
        <v>0</v>
      </c>
      <c r="AU634" s="3">
        <v>0</v>
      </c>
      <c r="AV634" s="3">
        <v>1</v>
      </c>
      <c r="AW634" s="3">
        <v>0</v>
      </c>
      <c r="AX634" s="3">
        <v>1</v>
      </c>
      <c r="AY634" s="3">
        <v>0</v>
      </c>
      <c r="AZ634" s="3">
        <v>0</v>
      </c>
      <c r="BA634" s="3">
        <v>0</v>
      </c>
      <c r="BB634" s="3">
        <v>0</v>
      </c>
      <c r="BC634" s="3">
        <v>1</v>
      </c>
      <c r="BD634" s="3">
        <v>0</v>
      </c>
      <c r="BE634" s="3">
        <v>0</v>
      </c>
      <c r="BG634" s="2" t="s">
        <v>91</v>
      </c>
      <c r="BH634" s="3">
        <v>3</v>
      </c>
      <c r="BJ634" s="2" t="s">
        <v>96</v>
      </c>
      <c r="BL634" s="2" t="s">
        <v>382</v>
      </c>
      <c r="BM634" s="2" t="s">
        <v>382</v>
      </c>
      <c r="BN634" s="2" t="s">
        <v>99</v>
      </c>
      <c r="BO634" s="2" t="s">
        <v>100</v>
      </c>
      <c r="BP634" s="2" t="s">
        <v>242</v>
      </c>
      <c r="BQ634" s="2" t="s">
        <v>383</v>
      </c>
      <c r="BR634" s="2" t="s">
        <v>384</v>
      </c>
      <c r="BS634" s="2" t="s">
        <v>127</v>
      </c>
      <c r="BT634" s="2" t="s">
        <v>1000</v>
      </c>
      <c r="BU634" s="2" t="s">
        <v>1001</v>
      </c>
      <c r="BV634" s="2" t="s">
        <v>150</v>
      </c>
      <c r="BW634" s="2" t="s">
        <v>151</v>
      </c>
      <c r="BX634" s="2" t="s">
        <v>91</v>
      </c>
      <c r="BY63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34" s="2">
        <f>IF(AND(Cases[[#This Row],[Priority Level]]&gt;=3,Cases[[#This Row],[System Role]]&lt;&gt;"Productive"),1,0)</f>
        <v>0</v>
      </c>
      <c r="CA634" s="2">
        <f>IFERROR(IF(Cases[[#This Row],[Days at Customer]]&gt;MAX(1,Cases[[#This Row],[Days at SAP]]*2),1,0),0)</f>
        <v>0</v>
      </c>
      <c r="CB634" s="2">
        <f>IF(AND(Cases[[#This Row],[Initial Component]]&lt;&gt;"",Cases[[#This Row],[Component]]&lt;&gt;"",Cases[[#This Row],[Initial Component]]&lt;&gt;Cases[[#This Row],[Component]]),1,0)</f>
        <v>1</v>
      </c>
      <c r="CC634" s="2">
        <f>IF(OR(Cases[[#This Row],[Is Reopened]]="X",Cases[[#This Row],[No. of Reopenings]]&gt;0),1,0)</f>
        <v>0</v>
      </c>
      <c r="CD634" s="2">
        <f>IF(Cases[[#This Row],[Confirmation Type]]="Automatic",1,0)</f>
        <v>1</v>
      </c>
      <c r="CE63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35" spans="1:83" x14ac:dyDescent="0.2">
      <c r="A635" s="1" t="s">
        <v>3525</v>
      </c>
      <c r="B635" s="2" t="s">
        <v>3526</v>
      </c>
      <c r="C635" s="2" t="s">
        <v>77</v>
      </c>
      <c r="D635" s="2" t="s">
        <v>78</v>
      </c>
      <c r="E635" s="3">
        <v>20.12</v>
      </c>
      <c r="F635" s="3">
        <v>4.8600000000000003</v>
      </c>
      <c r="G635" s="2" t="s">
        <v>79</v>
      </c>
      <c r="H635" s="2" t="s">
        <v>178</v>
      </c>
      <c r="I635" s="3" t="s">
        <v>81</v>
      </c>
      <c r="J635" s="3">
        <v>212</v>
      </c>
      <c r="K635" s="2" t="s">
        <v>3527</v>
      </c>
      <c r="L635" s="4">
        <v>46033</v>
      </c>
      <c r="M635" s="4">
        <v>45940</v>
      </c>
      <c r="N635" s="2" t="s">
        <v>2727</v>
      </c>
      <c r="O635" s="2" t="s">
        <v>1805</v>
      </c>
      <c r="P635" s="2" t="s">
        <v>3126</v>
      </c>
      <c r="Q635" s="2" t="s">
        <v>1806</v>
      </c>
      <c r="R635" s="2" t="s">
        <v>87</v>
      </c>
      <c r="S635" s="4">
        <v>45915</v>
      </c>
      <c r="T635" s="2" t="s">
        <v>3264</v>
      </c>
      <c r="U635" s="2" t="s">
        <v>3265</v>
      </c>
      <c r="V635" s="2" t="s">
        <v>3423</v>
      </c>
      <c r="W635" s="2" t="s">
        <v>1806</v>
      </c>
      <c r="X635" s="2" t="s">
        <v>88</v>
      </c>
      <c r="Y635" s="3" t="s">
        <v>89</v>
      </c>
      <c r="Z635" s="3">
        <v>24.98</v>
      </c>
      <c r="AA635" s="2" t="s">
        <v>90</v>
      </c>
      <c r="AB635" s="2" t="s">
        <v>87</v>
      </c>
      <c r="AC635" s="2" t="s">
        <v>77</v>
      </c>
      <c r="AD635" t="str" cm="1">
        <f t="array" ref="AD63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635" s="2" t="s">
        <v>139</v>
      </c>
      <c r="AF635" s="2" t="s">
        <v>92</v>
      </c>
      <c r="AG635" s="2" t="s">
        <v>93</v>
      </c>
      <c r="AH635" s="2" t="s">
        <v>94</v>
      </c>
      <c r="AK635" s="2" t="s">
        <v>3528</v>
      </c>
      <c r="AN635" s="3">
        <v>1</v>
      </c>
      <c r="AO635" s="3">
        <v>0</v>
      </c>
      <c r="AP635" s="3">
        <v>1</v>
      </c>
      <c r="AQ635" s="3">
        <v>1</v>
      </c>
      <c r="AR635" s="3">
        <v>1</v>
      </c>
      <c r="AS635" s="3">
        <v>0</v>
      </c>
      <c r="AT635" s="3">
        <v>0</v>
      </c>
      <c r="AU635" s="3">
        <v>0</v>
      </c>
      <c r="AV635" s="3">
        <v>0</v>
      </c>
      <c r="AW635" s="3">
        <v>1</v>
      </c>
      <c r="AX635" s="3">
        <v>1</v>
      </c>
      <c r="AY635" s="3">
        <v>0</v>
      </c>
      <c r="AZ635" s="3">
        <v>0</v>
      </c>
      <c r="BA635" s="3">
        <v>1</v>
      </c>
      <c r="BB635" s="3">
        <v>0</v>
      </c>
      <c r="BC635" s="3">
        <v>0</v>
      </c>
      <c r="BD635" s="3">
        <v>0</v>
      </c>
      <c r="BE635" s="3">
        <v>0</v>
      </c>
      <c r="BG635" s="2" t="s">
        <v>91</v>
      </c>
      <c r="BH635" s="3">
        <v>3</v>
      </c>
      <c r="BJ635" s="2" t="s">
        <v>96</v>
      </c>
      <c r="BL635" s="2" t="s">
        <v>184</v>
      </c>
      <c r="BM635" s="2" t="s">
        <v>184</v>
      </c>
      <c r="BN635" s="2" t="s">
        <v>124</v>
      </c>
      <c r="BO635" s="2" t="s">
        <v>125</v>
      </c>
      <c r="BP635" s="2" t="s">
        <v>101</v>
      </c>
      <c r="BQ635" s="2" t="s">
        <v>124</v>
      </c>
      <c r="BR635" s="2" t="s">
        <v>126</v>
      </c>
      <c r="BS635" s="2" t="s">
        <v>104</v>
      </c>
      <c r="BT635" s="2" t="s">
        <v>343</v>
      </c>
      <c r="BU635" s="2" t="s">
        <v>344</v>
      </c>
      <c r="BV635" s="2" t="s">
        <v>166</v>
      </c>
      <c r="BW635" s="2" t="s">
        <v>167</v>
      </c>
      <c r="BX635" s="2" t="s">
        <v>91</v>
      </c>
      <c r="BY63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35" s="2">
        <f>IF(AND(Cases[[#This Row],[Priority Level]]&gt;=3,Cases[[#This Row],[System Role]]&lt;&gt;"Productive"),1,0)</f>
        <v>1</v>
      </c>
      <c r="CA635" s="2">
        <f>IFERROR(IF(Cases[[#This Row],[Days at Customer]]&gt;MAX(1,Cases[[#This Row],[Days at SAP]]*2),1,0),0)</f>
        <v>0</v>
      </c>
      <c r="CB635" s="2">
        <f>IF(AND(Cases[[#This Row],[Initial Component]]&lt;&gt;"",Cases[[#This Row],[Component]]&lt;&gt;"",Cases[[#This Row],[Initial Component]]&lt;&gt;Cases[[#This Row],[Component]]),1,0)</f>
        <v>0</v>
      </c>
      <c r="CC635" s="2">
        <f>IF(OR(Cases[[#This Row],[Is Reopened]]="X",Cases[[#This Row],[No. of Reopenings]]&gt;0),1,0)</f>
        <v>0</v>
      </c>
      <c r="CD635" s="2">
        <f>IF(Cases[[#This Row],[Confirmation Type]]="Automatic",1,0)</f>
        <v>0</v>
      </c>
      <c r="CE635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36" spans="1:83" x14ac:dyDescent="0.2">
      <c r="A636" s="1" t="s">
        <v>3529</v>
      </c>
      <c r="B636" s="2" t="s">
        <v>3530</v>
      </c>
      <c r="C636" s="2" t="s">
        <v>418</v>
      </c>
      <c r="D636" s="2" t="s">
        <v>238</v>
      </c>
      <c r="E636" s="3">
        <v>0</v>
      </c>
      <c r="F636" s="3">
        <v>30.43</v>
      </c>
      <c r="G636" s="2" t="s">
        <v>79</v>
      </c>
      <c r="H636" s="2" t="s">
        <v>80</v>
      </c>
      <c r="I636" s="3" t="s">
        <v>114</v>
      </c>
      <c r="J636" s="3">
        <v>212</v>
      </c>
      <c r="K636" s="2" t="s">
        <v>3531</v>
      </c>
      <c r="L636" s="4">
        <v>46040</v>
      </c>
      <c r="M636" s="4">
        <v>45946</v>
      </c>
      <c r="N636" s="2" t="s">
        <v>2727</v>
      </c>
      <c r="O636" s="2" t="s">
        <v>1805</v>
      </c>
      <c r="P636" s="2" t="s">
        <v>2936</v>
      </c>
      <c r="Q636" s="2" t="s">
        <v>1806</v>
      </c>
      <c r="R636" s="2" t="s">
        <v>417</v>
      </c>
      <c r="S636" s="4">
        <v>45915</v>
      </c>
      <c r="T636" s="2" t="s">
        <v>3264</v>
      </c>
      <c r="U636" s="2" t="s">
        <v>3265</v>
      </c>
      <c r="V636" s="2" t="s">
        <v>3423</v>
      </c>
      <c r="W636" s="2" t="s">
        <v>1806</v>
      </c>
      <c r="X636" s="2" t="s">
        <v>117</v>
      </c>
      <c r="Y636" s="3" t="s">
        <v>118</v>
      </c>
      <c r="Z636" s="3">
        <v>30.43</v>
      </c>
      <c r="AA636" s="2" t="s">
        <v>90</v>
      </c>
      <c r="AB636" s="2" t="s">
        <v>417</v>
      </c>
      <c r="AC636" s="2" t="s">
        <v>418</v>
      </c>
      <c r="AD636" t="str" cm="1">
        <f t="array" ref="AD63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636" s="2" t="s">
        <v>139</v>
      </c>
      <c r="AF636" s="2" t="s">
        <v>92</v>
      </c>
      <c r="AG636" s="2" t="s">
        <v>159</v>
      </c>
      <c r="AH636" s="2" t="s">
        <v>160</v>
      </c>
      <c r="AK636" s="2" t="s">
        <v>3532</v>
      </c>
      <c r="AN636" s="3">
        <v>1</v>
      </c>
      <c r="AO636" s="3">
        <v>0</v>
      </c>
      <c r="AP636" s="3">
        <v>1</v>
      </c>
      <c r="AQ636" s="3">
        <v>1</v>
      </c>
      <c r="AR636" s="3">
        <v>0</v>
      </c>
      <c r="AS636" s="3">
        <v>0</v>
      </c>
      <c r="AT636" s="3">
        <v>1</v>
      </c>
      <c r="AU636" s="3">
        <v>0</v>
      </c>
      <c r="AV636" s="3">
        <v>1</v>
      </c>
      <c r="AW636" s="3">
        <v>0</v>
      </c>
      <c r="AX636" s="3">
        <v>0</v>
      </c>
      <c r="AY636" s="3">
        <v>0</v>
      </c>
      <c r="AZ636" s="3">
        <v>1</v>
      </c>
      <c r="BA636" s="3">
        <v>0</v>
      </c>
      <c r="BB636" s="3">
        <v>0</v>
      </c>
      <c r="BC636" s="3">
        <v>1</v>
      </c>
      <c r="BD636" s="3">
        <v>0</v>
      </c>
      <c r="BE636" s="3">
        <v>0</v>
      </c>
      <c r="BG636" s="2" t="s">
        <v>139</v>
      </c>
      <c r="BH636" s="3">
        <v>2</v>
      </c>
      <c r="BJ636" s="2" t="s">
        <v>96</v>
      </c>
      <c r="BL636" s="2" t="s">
        <v>162</v>
      </c>
      <c r="BM636" s="2" t="s">
        <v>163</v>
      </c>
      <c r="BN636" s="2" t="s">
        <v>99</v>
      </c>
      <c r="BO636" s="2" t="s">
        <v>100</v>
      </c>
      <c r="BP636" s="2" t="s">
        <v>242</v>
      </c>
      <c r="BQ636" s="2" t="s">
        <v>102</v>
      </c>
      <c r="BR636" s="2" t="s">
        <v>103</v>
      </c>
      <c r="BS636" s="2" t="s">
        <v>127</v>
      </c>
      <c r="BT636" s="2" t="s">
        <v>398</v>
      </c>
      <c r="BU636" s="2" t="s">
        <v>399</v>
      </c>
      <c r="BV636" s="2" t="s">
        <v>150</v>
      </c>
      <c r="BW636" s="2" t="s">
        <v>151</v>
      </c>
      <c r="BX636" s="2" t="s">
        <v>139</v>
      </c>
      <c r="BY63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36" s="2">
        <f>IF(AND(Cases[[#This Row],[Priority Level]]&gt;=3,Cases[[#This Row],[System Role]]&lt;&gt;"Productive"),1,0)</f>
        <v>0</v>
      </c>
      <c r="CA636" s="2">
        <f>IFERROR(IF(Cases[[#This Row],[Days at Customer]]&gt;MAX(1,Cases[[#This Row],[Days at SAP]]*2),1,0),0)</f>
        <v>1</v>
      </c>
      <c r="CB636" s="2">
        <f>IF(AND(Cases[[#This Row],[Initial Component]]&lt;&gt;"",Cases[[#This Row],[Component]]&lt;&gt;"",Cases[[#This Row],[Initial Component]]&lt;&gt;Cases[[#This Row],[Component]]),1,0)</f>
        <v>0</v>
      </c>
      <c r="CC636" s="2">
        <f>IF(OR(Cases[[#This Row],[Is Reopened]]="X",Cases[[#This Row],[No. of Reopenings]]&gt;0),1,0)</f>
        <v>0</v>
      </c>
      <c r="CD636" s="2">
        <f>IF(Cases[[#This Row],[Confirmation Type]]="Automatic",1,0)</f>
        <v>1</v>
      </c>
      <c r="CE636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37" spans="1:83" x14ac:dyDescent="0.2">
      <c r="A637" s="1" t="s">
        <v>3533</v>
      </c>
      <c r="B637" s="2" t="s">
        <v>3534</v>
      </c>
      <c r="C637" s="2" t="s">
        <v>925</v>
      </c>
      <c r="D637" s="2" t="s">
        <v>238</v>
      </c>
      <c r="E637" s="3">
        <v>0.4</v>
      </c>
      <c r="F637" s="3">
        <v>21.07</v>
      </c>
      <c r="G637" s="2" t="s">
        <v>79</v>
      </c>
      <c r="H637" s="2" t="s">
        <v>290</v>
      </c>
      <c r="I637" s="3" t="s">
        <v>114</v>
      </c>
      <c r="J637" s="3">
        <v>212</v>
      </c>
      <c r="K637" s="2" t="s">
        <v>3535</v>
      </c>
      <c r="L637" s="4">
        <v>46033</v>
      </c>
      <c r="M637" s="4">
        <v>45936</v>
      </c>
      <c r="N637" s="2" t="s">
        <v>2727</v>
      </c>
      <c r="O637" s="2" t="s">
        <v>1805</v>
      </c>
      <c r="P637" s="2" t="s">
        <v>3126</v>
      </c>
      <c r="Q637" s="2" t="s">
        <v>1806</v>
      </c>
      <c r="R637" s="2" t="s">
        <v>927</v>
      </c>
      <c r="S637" s="4">
        <v>45915</v>
      </c>
      <c r="T637" s="2" t="s">
        <v>3264</v>
      </c>
      <c r="U637" s="2" t="s">
        <v>3265</v>
      </c>
      <c r="V637" s="2" t="s">
        <v>3423</v>
      </c>
      <c r="W637" s="2" t="s">
        <v>1806</v>
      </c>
      <c r="X637" s="2" t="s">
        <v>117</v>
      </c>
      <c r="Y637" s="3" t="s">
        <v>118</v>
      </c>
      <c r="Z637" s="3">
        <v>21.46</v>
      </c>
      <c r="AA637" s="2" t="s">
        <v>138</v>
      </c>
      <c r="AB637" s="2" t="s">
        <v>927</v>
      </c>
      <c r="AC637" s="2" t="s">
        <v>925</v>
      </c>
      <c r="AD637" t="str" cm="1">
        <f t="array" ref="AD63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EAM</v>
      </c>
      <c r="AE637" s="2" t="s">
        <v>91</v>
      </c>
      <c r="AF637" s="2" t="s">
        <v>92</v>
      </c>
      <c r="AG637" s="2" t="s">
        <v>274</v>
      </c>
      <c r="AH637" s="2" t="s">
        <v>275</v>
      </c>
      <c r="AK637" s="2" t="s">
        <v>3536</v>
      </c>
      <c r="AN637" s="3">
        <v>1</v>
      </c>
      <c r="AO637" s="3">
        <v>0</v>
      </c>
      <c r="AP637" s="3">
        <v>1</v>
      </c>
      <c r="AQ637" s="3">
        <v>1</v>
      </c>
      <c r="AR637" s="3">
        <v>1</v>
      </c>
      <c r="AS637" s="3">
        <v>0</v>
      </c>
      <c r="AT637" s="3">
        <v>0</v>
      </c>
      <c r="AU637" s="3">
        <v>0</v>
      </c>
      <c r="AV637" s="3">
        <v>1</v>
      </c>
      <c r="AW637" s="3">
        <v>0</v>
      </c>
      <c r="AX637" s="3">
        <v>1</v>
      </c>
      <c r="AY637" s="3">
        <v>0</v>
      </c>
      <c r="AZ637" s="3">
        <v>0</v>
      </c>
      <c r="BA637" s="3">
        <v>0</v>
      </c>
      <c r="BB637" s="3">
        <v>0</v>
      </c>
      <c r="BC637" s="3">
        <v>1</v>
      </c>
      <c r="BD637" s="3">
        <v>0</v>
      </c>
      <c r="BE637" s="3">
        <v>0</v>
      </c>
      <c r="BG637" s="2" t="s">
        <v>91</v>
      </c>
      <c r="BH637" s="3">
        <v>3</v>
      </c>
      <c r="BJ637" s="2" t="s">
        <v>96</v>
      </c>
      <c r="BL637" s="2" t="s">
        <v>931</v>
      </c>
      <c r="BM637" s="2" t="s">
        <v>932</v>
      </c>
      <c r="BN637" s="2" t="s">
        <v>279</v>
      </c>
      <c r="BO637" s="2" t="s">
        <v>280</v>
      </c>
      <c r="BP637" s="2" t="s">
        <v>242</v>
      </c>
      <c r="BQ637" s="2" t="s">
        <v>448</v>
      </c>
      <c r="BR637" s="2" t="s">
        <v>449</v>
      </c>
      <c r="BS637" s="2" t="s">
        <v>450</v>
      </c>
      <c r="BT637" s="2" t="s">
        <v>148</v>
      </c>
      <c r="BU637" s="2" t="s">
        <v>2250</v>
      </c>
      <c r="BV637" s="2" t="s">
        <v>150</v>
      </c>
      <c r="BW637" s="2" t="s">
        <v>151</v>
      </c>
      <c r="BX637" s="2" t="s">
        <v>91</v>
      </c>
      <c r="BY63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37" s="2">
        <f>IF(AND(Cases[[#This Row],[Priority Level]]&gt;=3,Cases[[#This Row],[System Role]]&lt;&gt;"Productive"),1,0)</f>
        <v>0</v>
      </c>
      <c r="CA637" s="2">
        <f>IFERROR(IF(Cases[[#This Row],[Days at Customer]]&gt;MAX(1,Cases[[#This Row],[Days at SAP]]*2),1,0),0)</f>
        <v>1</v>
      </c>
      <c r="CB637" s="2">
        <f>IF(AND(Cases[[#This Row],[Initial Component]]&lt;&gt;"",Cases[[#This Row],[Component]]&lt;&gt;"",Cases[[#This Row],[Initial Component]]&lt;&gt;Cases[[#This Row],[Component]]),1,0)</f>
        <v>0</v>
      </c>
      <c r="CC637" s="2">
        <f>IF(OR(Cases[[#This Row],[Is Reopened]]="X",Cases[[#This Row],[No. of Reopenings]]&gt;0),1,0)</f>
        <v>0</v>
      </c>
      <c r="CD637" s="2">
        <f>IF(Cases[[#This Row],[Confirmation Type]]="Automatic",1,0)</f>
        <v>1</v>
      </c>
      <c r="CE63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38" spans="1:83" x14ac:dyDescent="0.2">
      <c r="A638" s="1" t="s">
        <v>3537</v>
      </c>
      <c r="B638" s="2" t="s">
        <v>3538</v>
      </c>
      <c r="C638" s="2" t="s">
        <v>1534</v>
      </c>
      <c r="D638" s="2" t="s">
        <v>238</v>
      </c>
      <c r="E638" s="3">
        <v>18.59</v>
      </c>
      <c r="F638" s="3">
        <v>22.5</v>
      </c>
      <c r="G638" s="2" t="s">
        <v>79</v>
      </c>
      <c r="H638" s="2" t="s">
        <v>178</v>
      </c>
      <c r="I638" s="3" t="s">
        <v>114</v>
      </c>
      <c r="J638" s="3">
        <v>214</v>
      </c>
      <c r="K638" s="2" t="s">
        <v>3539</v>
      </c>
      <c r="L638" s="4">
        <v>46047</v>
      </c>
      <c r="M638" s="4">
        <v>45954</v>
      </c>
      <c r="N638" s="2" t="s">
        <v>2727</v>
      </c>
      <c r="O638" s="2" t="s">
        <v>1805</v>
      </c>
      <c r="P638" s="2" t="s">
        <v>2887</v>
      </c>
      <c r="Q638" s="2" t="s">
        <v>1806</v>
      </c>
      <c r="R638" s="2" t="s">
        <v>1536</v>
      </c>
      <c r="S638" s="4">
        <v>45913</v>
      </c>
      <c r="T638" s="2" t="s">
        <v>3264</v>
      </c>
      <c r="U638" s="2" t="s">
        <v>3265</v>
      </c>
      <c r="V638" s="2" t="s">
        <v>3540</v>
      </c>
      <c r="W638" s="2" t="s">
        <v>1806</v>
      </c>
      <c r="X638" s="2" t="s">
        <v>117</v>
      </c>
      <c r="Y638" s="3" t="s">
        <v>118</v>
      </c>
      <c r="Z638" s="3">
        <v>41.09</v>
      </c>
      <c r="AA638" s="2" t="s">
        <v>138</v>
      </c>
      <c r="AB638" s="2" t="s">
        <v>443</v>
      </c>
      <c r="AC638" s="2" t="s">
        <v>444</v>
      </c>
      <c r="AD638" t="str" cm="1">
        <f t="array" ref="AD63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638" s="2" t="s">
        <v>139</v>
      </c>
      <c r="AF638" s="2" t="s">
        <v>92</v>
      </c>
      <c r="AG638" s="2" t="s">
        <v>274</v>
      </c>
      <c r="AH638" s="2" t="s">
        <v>275</v>
      </c>
      <c r="AK638" s="2" t="s">
        <v>3541</v>
      </c>
      <c r="AN638" s="3">
        <v>1</v>
      </c>
      <c r="AO638" s="3">
        <v>0</v>
      </c>
      <c r="AP638" s="3">
        <v>1</v>
      </c>
      <c r="AQ638" s="3">
        <v>1</v>
      </c>
      <c r="AR638" s="3">
        <v>1</v>
      </c>
      <c r="AS638" s="3">
        <v>0</v>
      </c>
      <c r="AT638" s="3">
        <v>0</v>
      </c>
      <c r="AU638" s="3">
        <v>0</v>
      </c>
      <c r="AV638" s="3">
        <v>1</v>
      </c>
      <c r="AW638" s="3">
        <v>0</v>
      </c>
      <c r="AX638" s="3">
        <v>1</v>
      </c>
      <c r="AY638" s="3">
        <v>0</v>
      </c>
      <c r="AZ638" s="3">
        <v>0</v>
      </c>
      <c r="BA638" s="3">
        <v>1</v>
      </c>
      <c r="BB638" s="3">
        <v>0</v>
      </c>
      <c r="BC638" s="3">
        <v>0</v>
      </c>
      <c r="BD638" s="3">
        <v>0</v>
      </c>
      <c r="BE638" s="3">
        <v>0</v>
      </c>
      <c r="BG638" s="2" t="s">
        <v>91</v>
      </c>
      <c r="BH638" s="3">
        <v>3</v>
      </c>
      <c r="BJ638" s="2" t="s">
        <v>96</v>
      </c>
      <c r="BL638" s="2" t="s">
        <v>446</v>
      </c>
      <c r="BM638" s="2" t="s">
        <v>447</v>
      </c>
      <c r="BN638" s="2" t="s">
        <v>279</v>
      </c>
      <c r="BO638" s="2" t="s">
        <v>280</v>
      </c>
      <c r="BP638" s="2" t="s">
        <v>242</v>
      </c>
      <c r="BQ638" s="2" t="s">
        <v>448</v>
      </c>
      <c r="BR638" s="2" t="s">
        <v>449</v>
      </c>
      <c r="BS638" s="2" t="s">
        <v>450</v>
      </c>
      <c r="BT638" s="2" t="s">
        <v>1030</v>
      </c>
      <c r="BU638" s="2" t="s">
        <v>1031</v>
      </c>
      <c r="BV638" s="2" t="s">
        <v>166</v>
      </c>
      <c r="BW638" s="2" t="s">
        <v>167</v>
      </c>
      <c r="BX638" s="2" t="s">
        <v>91</v>
      </c>
      <c r="BY63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38" s="2">
        <f>IF(AND(Cases[[#This Row],[Priority Level]]&gt;=3,Cases[[#This Row],[System Role]]&lt;&gt;"Productive"),1,0)</f>
        <v>1</v>
      </c>
      <c r="CA638" s="2">
        <f>IFERROR(IF(Cases[[#This Row],[Days at Customer]]&gt;MAX(1,Cases[[#This Row],[Days at SAP]]*2),1,0),0)</f>
        <v>0</v>
      </c>
      <c r="CB638" s="2">
        <f>IF(AND(Cases[[#This Row],[Initial Component]]&lt;&gt;"",Cases[[#This Row],[Component]]&lt;&gt;"",Cases[[#This Row],[Initial Component]]&lt;&gt;Cases[[#This Row],[Component]]),1,0)</f>
        <v>1</v>
      </c>
      <c r="CC638" s="2">
        <f>IF(OR(Cases[[#This Row],[Is Reopened]]="X",Cases[[#This Row],[No. of Reopenings]]&gt;0),1,0)</f>
        <v>0</v>
      </c>
      <c r="CD638" s="2">
        <f>IF(Cases[[#This Row],[Confirmation Type]]="Automatic",1,0)</f>
        <v>1</v>
      </c>
      <c r="CE638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639" spans="1:83" x14ac:dyDescent="0.2">
      <c r="A639" s="1" t="s">
        <v>3542</v>
      </c>
      <c r="B639" s="2" t="s">
        <v>3543</v>
      </c>
      <c r="C639" s="2" t="s">
        <v>3544</v>
      </c>
      <c r="D639" s="2" t="s">
        <v>238</v>
      </c>
      <c r="E639" s="3">
        <v>24.39</v>
      </c>
      <c r="F639" s="3">
        <v>71.11</v>
      </c>
      <c r="G639" s="2" t="s">
        <v>79</v>
      </c>
      <c r="H639" s="2" t="s">
        <v>290</v>
      </c>
      <c r="I639" s="3" t="s">
        <v>114</v>
      </c>
      <c r="J639" s="3">
        <v>215</v>
      </c>
      <c r="K639" s="2" t="s">
        <v>3545</v>
      </c>
      <c r="L639" s="4">
        <v>46012</v>
      </c>
      <c r="M639" s="4">
        <v>46007</v>
      </c>
      <c r="N639" s="2" t="s">
        <v>1804</v>
      </c>
      <c r="O639" s="2" t="s">
        <v>1805</v>
      </c>
      <c r="P639" s="2" t="s">
        <v>1930</v>
      </c>
      <c r="Q639" s="2" t="s">
        <v>1806</v>
      </c>
      <c r="R639" s="2" t="s">
        <v>3546</v>
      </c>
      <c r="S639" s="4">
        <v>45912</v>
      </c>
      <c r="T639" s="2" t="s">
        <v>3264</v>
      </c>
      <c r="U639" s="2" t="s">
        <v>3265</v>
      </c>
      <c r="V639" s="2" t="s">
        <v>3540</v>
      </c>
      <c r="W639" s="2" t="s">
        <v>1806</v>
      </c>
      <c r="X639" s="2" t="s">
        <v>117</v>
      </c>
      <c r="Y639" s="3" t="s">
        <v>118</v>
      </c>
      <c r="Z639" s="3">
        <v>95.5</v>
      </c>
      <c r="AA639" s="2" t="s">
        <v>90</v>
      </c>
      <c r="AB639" s="2" t="s">
        <v>734</v>
      </c>
      <c r="AC639" s="2" t="s">
        <v>731</v>
      </c>
      <c r="AD639" t="str" cm="1">
        <f t="array" ref="AD63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639" s="2" t="s">
        <v>182</v>
      </c>
      <c r="AF639" s="2" t="s">
        <v>92</v>
      </c>
      <c r="AG639" s="2" t="s">
        <v>119</v>
      </c>
      <c r="AH639" s="2" t="s">
        <v>120</v>
      </c>
      <c r="AJ639" s="2" t="s">
        <v>122</v>
      </c>
      <c r="AK639" s="2" t="s">
        <v>3547</v>
      </c>
      <c r="AN639" s="3">
        <v>1</v>
      </c>
      <c r="AO639" s="3">
        <v>0</v>
      </c>
      <c r="AP639" s="3">
        <v>1</v>
      </c>
      <c r="AQ639" s="3">
        <v>1</v>
      </c>
      <c r="AR639" s="3">
        <v>1</v>
      </c>
      <c r="AS639" s="3">
        <v>0</v>
      </c>
      <c r="AT639" s="3">
        <v>0</v>
      </c>
      <c r="AU639" s="3">
        <v>0</v>
      </c>
      <c r="AV639" s="3">
        <v>1</v>
      </c>
      <c r="AW639" s="3">
        <v>0</v>
      </c>
      <c r="AX639" s="3">
        <v>1</v>
      </c>
      <c r="AY639" s="3">
        <v>0</v>
      </c>
      <c r="AZ639" s="3">
        <v>0</v>
      </c>
      <c r="BA639" s="3">
        <v>0</v>
      </c>
      <c r="BB639" s="3">
        <v>0</v>
      </c>
      <c r="BC639" s="3">
        <v>1</v>
      </c>
      <c r="BD639" s="3">
        <v>1</v>
      </c>
      <c r="BE639" s="3">
        <v>0</v>
      </c>
      <c r="BG639" s="2" t="s">
        <v>91</v>
      </c>
      <c r="BH639" s="3">
        <v>3</v>
      </c>
      <c r="BJ639" s="2" t="s">
        <v>96</v>
      </c>
      <c r="BL639" s="2" t="s">
        <v>123</v>
      </c>
      <c r="BM639" s="2" t="s">
        <v>123</v>
      </c>
      <c r="BN639" s="2" t="s">
        <v>124</v>
      </c>
      <c r="BO639" s="2" t="s">
        <v>125</v>
      </c>
      <c r="BP639" s="2" t="s">
        <v>242</v>
      </c>
      <c r="BQ639" s="2" t="s">
        <v>124</v>
      </c>
      <c r="BR639" s="2" t="s">
        <v>126</v>
      </c>
      <c r="BS639" s="2" t="s">
        <v>127</v>
      </c>
      <c r="BT639" s="2" t="s">
        <v>207</v>
      </c>
      <c r="BU639" s="2" t="s">
        <v>208</v>
      </c>
      <c r="BV639" s="2" t="s">
        <v>150</v>
      </c>
      <c r="BW639" s="2" t="s">
        <v>151</v>
      </c>
      <c r="BX639" s="2" t="s">
        <v>182</v>
      </c>
      <c r="BY63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39" s="2">
        <f>IF(AND(Cases[[#This Row],[Priority Level]]&gt;=3,Cases[[#This Row],[System Role]]&lt;&gt;"Productive"),1,0)</f>
        <v>0</v>
      </c>
      <c r="CA639" s="2">
        <f>IFERROR(IF(Cases[[#This Row],[Days at Customer]]&gt;MAX(1,Cases[[#This Row],[Days at SAP]]*2),1,0),0)</f>
        <v>1</v>
      </c>
      <c r="CB639" s="2">
        <f>IF(AND(Cases[[#This Row],[Initial Component]]&lt;&gt;"",Cases[[#This Row],[Component]]&lt;&gt;"",Cases[[#This Row],[Initial Component]]&lt;&gt;Cases[[#This Row],[Component]]),1,0)</f>
        <v>1</v>
      </c>
      <c r="CC639" s="2">
        <f>IF(OR(Cases[[#This Row],[Is Reopened]]="X",Cases[[#This Row],[No. of Reopenings]]&gt;0),1,0)</f>
        <v>1</v>
      </c>
      <c r="CD639" s="2">
        <f>IF(Cases[[#This Row],[Confirmation Type]]="Automatic",1,0)</f>
        <v>1</v>
      </c>
      <c r="CE639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640" spans="1:83" x14ac:dyDescent="0.2">
      <c r="A640" s="1" t="s">
        <v>366</v>
      </c>
      <c r="B640" s="2" t="s">
        <v>367</v>
      </c>
      <c r="C640" s="2" t="s">
        <v>111</v>
      </c>
      <c r="D640" s="2" t="s">
        <v>238</v>
      </c>
      <c r="E640" s="3">
        <v>0</v>
      </c>
      <c r="F640" s="3">
        <v>24.34</v>
      </c>
      <c r="G640" s="2" t="s">
        <v>112</v>
      </c>
      <c r="H640" s="2" t="s">
        <v>113</v>
      </c>
      <c r="I640" s="3" t="s">
        <v>114</v>
      </c>
      <c r="J640" s="3">
        <v>33</v>
      </c>
      <c r="K640" s="2" t="s">
        <v>368</v>
      </c>
      <c r="L640" s="4">
        <v>46124</v>
      </c>
      <c r="M640" s="4">
        <v>46120</v>
      </c>
      <c r="N640" s="2" t="s">
        <v>83</v>
      </c>
      <c r="O640" s="2" t="s">
        <v>84</v>
      </c>
      <c r="P640" s="2" t="s">
        <v>85</v>
      </c>
      <c r="Q640" s="2" t="s">
        <v>86</v>
      </c>
      <c r="R640" s="2" t="s">
        <v>116</v>
      </c>
      <c r="S640" s="4">
        <v>46094</v>
      </c>
      <c r="T640" s="2" t="s">
        <v>180</v>
      </c>
      <c r="U640" s="2" t="s">
        <v>181</v>
      </c>
      <c r="V640" s="2" t="s">
        <v>350</v>
      </c>
      <c r="W640" s="2" t="s">
        <v>86</v>
      </c>
      <c r="X640" s="2" t="s">
        <v>117</v>
      </c>
      <c r="Y640" s="3" t="s">
        <v>118</v>
      </c>
      <c r="Z640" s="3">
        <v>24.34</v>
      </c>
      <c r="AA640" s="2" t="s">
        <v>90</v>
      </c>
      <c r="AB640" s="2" t="s">
        <v>116</v>
      </c>
      <c r="AC640" s="2" t="s">
        <v>111</v>
      </c>
      <c r="AD640" t="str" cm="1">
        <f t="array" ref="AD64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640" s="2" t="s">
        <v>91</v>
      </c>
      <c r="AF640" s="2" t="s">
        <v>92</v>
      </c>
      <c r="AG640" s="2" t="s">
        <v>119</v>
      </c>
      <c r="AH640" s="2" t="s">
        <v>120</v>
      </c>
      <c r="AK640" s="2" t="s">
        <v>369</v>
      </c>
      <c r="AN640" s="3">
        <v>1</v>
      </c>
      <c r="AO640" s="3">
        <v>1</v>
      </c>
      <c r="AP640" s="3">
        <v>1</v>
      </c>
      <c r="AQ640" s="3">
        <v>1</v>
      </c>
      <c r="AR640" s="3">
        <v>1</v>
      </c>
      <c r="AS640" s="3">
        <v>0</v>
      </c>
      <c r="AT640" s="3">
        <v>0</v>
      </c>
      <c r="AU640" s="3">
        <v>0</v>
      </c>
      <c r="AV640" s="3">
        <v>1</v>
      </c>
      <c r="AW640" s="3">
        <v>0</v>
      </c>
      <c r="AX640" s="3">
        <v>1</v>
      </c>
      <c r="AY640" s="3">
        <v>0</v>
      </c>
      <c r="AZ640" s="3">
        <v>0</v>
      </c>
      <c r="BA640" s="3">
        <v>0</v>
      </c>
      <c r="BB640" s="3">
        <v>0</v>
      </c>
      <c r="BC640" s="3">
        <v>1</v>
      </c>
      <c r="BD640" s="3">
        <v>0</v>
      </c>
      <c r="BE640" s="3">
        <v>0</v>
      </c>
      <c r="BG640" s="2" t="s">
        <v>91</v>
      </c>
      <c r="BH640" s="3">
        <v>3</v>
      </c>
      <c r="BI640" s="2" t="s">
        <v>122</v>
      </c>
      <c r="BJ640" s="2" t="s">
        <v>96</v>
      </c>
      <c r="BL640" s="2" t="s">
        <v>123</v>
      </c>
      <c r="BM640" s="2" t="s">
        <v>123</v>
      </c>
      <c r="BN640" s="2" t="s">
        <v>124</v>
      </c>
      <c r="BO640" s="2" t="s">
        <v>125</v>
      </c>
      <c r="BP640" s="2" t="s">
        <v>242</v>
      </c>
      <c r="BQ640" s="2" t="s">
        <v>124</v>
      </c>
      <c r="BR640" s="2" t="s">
        <v>126</v>
      </c>
      <c r="BS640" s="2" t="s">
        <v>127</v>
      </c>
      <c r="BT640" s="2" t="s">
        <v>207</v>
      </c>
      <c r="BU640" s="2" t="s">
        <v>208</v>
      </c>
      <c r="BV640" s="2" t="s">
        <v>150</v>
      </c>
      <c r="BW640" s="2" t="s">
        <v>151</v>
      </c>
      <c r="BX640" s="2" t="s">
        <v>91</v>
      </c>
      <c r="BY64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40" s="2">
        <f>IF(AND(Cases[[#This Row],[Priority Level]]&gt;=3,Cases[[#This Row],[System Role]]&lt;&gt;"Productive"),1,0)</f>
        <v>0</v>
      </c>
      <c r="CA640" s="2">
        <f>IFERROR(IF(Cases[[#This Row],[Days at Customer]]&gt;MAX(1,Cases[[#This Row],[Days at SAP]]*2),1,0),0)</f>
        <v>1</v>
      </c>
      <c r="CB640" s="2">
        <f>IF(AND(Cases[[#This Row],[Initial Component]]&lt;&gt;"",Cases[[#This Row],[Component]]&lt;&gt;"",Cases[[#This Row],[Initial Component]]&lt;&gt;Cases[[#This Row],[Component]]),1,0)</f>
        <v>0</v>
      </c>
      <c r="CC640" s="2">
        <f>IF(OR(Cases[[#This Row],[Is Reopened]]="X",Cases[[#This Row],[No. of Reopenings]]&gt;0),1,0)</f>
        <v>0</v>
      </c>
      <c r="CD640" s="2">
        <f>IF(Cases[[#This Row],[Confirmation Type]]="Automatic",1,0)</f>
        <v>1</v>
      </c>
      <c r="CE640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41" spans="1:83" x14ac:dyDescent="0.2">
      <c r="A641" s="1" t="s">
        <v>400</v>
      </c>
      <c r="B641" s="2" t="s">
        <v>401</v>
      </c>
      <c r="C641" s="2" t="s">
        <v>203</v>
      </c>
      <c r="D641" s="2" t="s">
        <v>238</v>
      </c>
      <c r="E641" s="3">
        <v>0</v>
      </c>
      <c r="F641" s="3">
        <v>21.4</v>
      </c>
      <c r="G641" s="2" t="s">
        <v>112</v>
      </c>
      <c r="H641" s="2" t="s">
        <v>113</v>
      </c>
      <c r="I641" s="3" t="s">
        <v>114</v>
      </c>
      <c r="J641" s="3">
        <v>34</v>
      </c>
      <c r="K641" s="2" t="s">
        <v>402</v>
      </c>
      <c r="L641" s="4">
        <v>46124</v>
      </c>
      <c r="M641" s="4">
        <v>46120</v>
      </c>
      <c r="N641" s="2" t="s">
        <v>83</v>
      </c>
      <c r="O641" s="2" t="s">
        <v>84</v>
      </c>
      <c r="P641" s="2" t="s">
        <v>85</v>
      </c>
      <c r="Q641" s="2" t="s">
        <v>86</v>
      </c>
      <c r="R641" s="2" t="s">
        <v>205</v>
      </c>
      <c r="S641" s="4">
        <v>46093</v>
      </c>
      <c r="T641" s="2" t="s">
        <v>180</v>
      </c>
      <c r="U641" s="2" t="s">
        <v>181</v>
      </c>
      <c r="V641" s="2" t="s">
        <v>350</v>
      </c>
      <c r="W641" s="2" t="s">
        <v>86</v>
      </c>
      <c r="X641" s="2" t="s">
        <v>117</v>
      </c>
      <c r="Y641" s="3" t="s">
        <v>118</v>
      </c>
      <c r="Z641" s="3">
        <v>21.4</v>
      </c>
      <c r="AA641" s="2" t="s">
        <v>90</v>
      </c>
      <c r="AB641" s="2" t="s">
        <v>205</v>
      </c>
      <c r="AC641" s="2" t="s">
        <v>203</v>
      </c>
      <c r="AD641" t="str" cm="1">
        <f t="array" ref="AD64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641" s="2" t="s">
        <v>91</v>
      </c>
      <c r="AF641" s="2" t="s">
        <v>92</v>
      </c>
      <c r="AG641" s="2" t="s">
        <v>119</v>
      </c>
      <c r="AH641" s="2" t="s">
        <v>120</v>
      </c>
      <c r="AK641" s="2" t="s">
        <v>403</v>
      </c>
      <c r="AN641" s="3">
        <v>1</v>
      </c>
      <c r="AO641" s="3">
        <v>1</v>
      </c>
      <c r="AP641" s="3">
        <v>1</v>
      </c>
      <c r="AQ641" s="3">
        <v>1</v>
      </c>
      <c r="AR641" s="3">
        <v>0</v>
      </c>
      <c r="AS641" s="3">
        <v>0</v>
      </c>
      <c r="AT641" s="3">
        <v>1</v>
      </c>
      <c r="AU641" s="3">
        <v>0</v>
      </c>
      <c r="AV641" s="3">
        <v>1</v>
      </c>
      <c r="AW641" s="3">
        <v>0</v>
      </c>
      <c r="AX641" s="3">
        <v>0</v>
      </c>
      <c r="AY641" s="3">
        <v>0</v>
      </c>
      <c r="AZ641" s="3">
        <v>1</v>
      </c>
      <c r="BA641" s="3">
        <v>0</v>
      </c>
      <c r="BB641" s="3">
        <v>0</v>
      </c>
      <c r="BC641" s="3">
        <v>1</v>
      </c>
      <c r="BD641" s="3">
        <v>0</v>
      </c>
      <c r="BE641" s="3">
        <v>0</v>
      </c>
      <c r="BG641" s="2" t="s">
        <v>139</v>
      </c>
      <c r="BH641" s="3">
        <v>2</v>
      </c>
      <c r="BI641" s="2" t="s">
        <v>122</v>
      </c>
      <c r="BJ641" s="2" t="s">
        <v>96</v>
      </c>
      <c r="BL641" s="2" t="s">
        <v>123</v>
      </c>
      <c r="BM641" s="2" t="s">
        <v>123</v>
      </c>
      <c r="BN641" s="2" t="s">
        <v>124</v>
      </c>
      <c r="BO641" s="2" t="s">
        <v>125</v>
      </c>
      <c r="BP641" s="2" t="s">
        <v>242</v>
      </c>
      <c r="BQ641" s="2" t="s">
        <v>124</v>
      </c>
      <c r="BR641" s="2" t="s">
        <v>126</v>
      </c>
      <c r="BS641" s="2" t="s">
        <v>127</v>
      </c>
      <c r="BT641" s="2" t="s">
        <v>207</v>
      </c>
      <c r="BU641" s="2" t="s">
        <v>208</v>
      </c>
      <c r="BV641" s="2" t="s">
        <v>150</v>
      </c>
      <c r="BW641" s="2" t="s">
        <v>151</v>
      </c>
      <c r="BX641" s="2" t="s">
        <v>91</v>
      </c>
      <c r="BY64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41" s="2">
        <f>IF(AND(Cases[[#This Row],[Priority Level]]&gt;=3,Cases[[#This Row],[System Role]]&lt;&gt;"Productive"),1,0)</f>
        <v>0</v>
      </c>
      <c r="CA641" s="2">
        <f>IFERROR(IF(Cases[[#This Row],[Days at Customer]]&gt;MAX(1,Cases[[#This Row],[Days at SAP]]*2),1,0),0)</f>
        <v>1</v>
      </c>
      <c r="CB641" s="2">
        <f>IF(AND(Cases[[#This Row],[Initial Component]]&lt;&gt;"",Cases[[#This Row],[Component]]&lt;&gt;"",Cases[[#This Row],[Initial Component]]&lt;&gt;Cases[[#This Row],[Component]]),1,0)</f>
        <v>0</v>
      </c>
      <c r="CC641" s="2">
        <f>IF(OR(Cases[[#This Row],[Is Reopened]]="X",Cases[[#This Row],[No. of Reopenings]]&gt;0),1,0)</f>
        <v>0</v>
      </c>
      <c r="CD641" s="2">
        <f>IF(Cases[[#This Row],[Confirmation Type]]="Automatic",1,0)</f>
        <v>1</v>
      </c>
      <c r="CE641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42" spans="1:83" x14ac:dyDescent="0.2">
      <c r="A642" s="1" t="s">
        <v>3556</v>
      </c>
      <c r="B642" s="2" t="s">
        <v>3557</v>
      </c>
      <c r="C642" s="2" t="s">
        <v>1056</v>
      </c>
      <c r="D642" s="2" t="s">
        <v>238</v>
      </c>
      <c r="E642" s="3">
        <v>2.81</v>
      </c>
      <c r="F642" s="3">
        <v>24.55</v>
      </c>
      <c r="G642" s="2" t="s">
        <v>79</v>
      </c>
      <c r="H642" s="2" t="s">
        <v>80</v>
      </c>
      <c r="I642" s="3" t="s">
        <v>114</v>
      </c>
      <c r="J642" s="3">
        <v>216</v>
      </c>
      <c r="K642" s="2" t="s">
        <v>3558</v>
      </c>
      <c r="L642" s="4">
        <v>46033</v>
      </c>
      <c r="M642" s="4">
        <v>45938</v>
      </c>
      <c r="N642" s="2" t="s">
        <v>2727</v>
      </c>
      <c r="O642" s="2" t="s">
        <v>1805</v>
      </c>
      <c r="P642" s="2" t="s">
        <v>3126</v>
      </c>
      <c r="Q642" s="2" t="s">
        <v>1806</v>
      </c>
      <c r="R642" s="2" t="s">
        <v>1058</v>
      </c>
      <c r="S642" s="4">
        <v>45911</v>
      </c>
      <c r="T642" s="2" t="s">
        <v>3264</v>
      </c>
      <c r="U642" s="2" t="s">
        <v>3265</v>
      </c>
      <c r="V642" s="2" t="s">
        <v>3540</v>
      </c>
      <c r="W642" s="2" t="s">
        <v>1806</v>
      </c>
      <c r="X642" s="2" t="s">
        <v>117</v>
      </c>
      <c r="Y642" s="3" t="s">
        <v>118</v>
      </c>
      <c r="Z642" s="3">
        <v>27.36</v>
      </c>
      <c r="AA642" s="2" t="s">
        <v>90</v>
      </c>
      <c r="AB642" s="2" t="s">
        <v>1058</v>
      </c>
      <c r="AC642" s="2" t="s">
        <v>1056</v>
      </c>
      <c r="AD642" t="str" cm="1">
        <f t="array" ref="AD64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642" s="2" t="s">
        <v>91</v>
      </c>
      <c r="AF642" s="2" t="s">
        <v>92</v>
      </c>
      <c r="AG642" s="2" t="s">
        <v>3559</v>
      </c>
      <c r="AH642" s="2" t="s">
        <v>3560</v>
      </c>
      <c r="AK642" s="2" t="s">
        <v>3561</v>
      </c>
      <c r="AN642" s="3">
        <v>1</v>
      </c>
      <c r="AO642" s="3">
        <v>0</v>
      </c>
      <c r="AP642" s="3">
        <v>1</v>
      </c>
      <c r="AQ642" s="3">
        <v>1</v>
      </c>
      <c r="AR642" s="3">
        <v>1</v>
      </c>
      <c r="AS642" s="3">
        <v>0</v>
      </c>
      <c r="AT642" s="3">
        <v>0</v>
      </c>
      <c r="AU642" s="3">
        <v>0</v>
      </c>
      <c r="AV642" s="3">
        <v>1</v>
      </c>
      <c r="AW642" s="3">
        <v>0</v>
      </c>
      <c r="AX642" s="3">
        <v>1</v>
      </c>
      <c r="AY642" s="3">
        <v>0</v>
      </c>
      <c r="AZ642" s="3">
        <v>0</v>
      </c>
      <c r="BA642" s="3">
        <v>0</v>
      </c>
      <c r="BB642" s="3">
        <v>0</v>
      </c>
      <c r="BC642" s="3">
        <v>1</v>
      </c>
      <c r="BD642" s="3">
        <v>0</v>
      </c>
      <c r="BE642" s="3">
        <v>0</v>
      </c>
      <c r="BG642" s="2" t="s">
        <v>91</v>
      </c>
      <c r="BH642" s="3">
        <v>3</v>
      </c>
      <c r="BJ642" s="2" t="s">
        <v>96</v>
      </c>
      <c r="BL642" s="2" t="s">
        <v>3562</v>
      </c>
      <c r="BM642" s="2" t="s">
        <v>3563</v>
      </c>
      <c r="BN642" s="2" t="s">
        <v>981</v>
      </c>
      <c r="BO642" s="2" t="s">
        <v>982</v>
      </c>
      <c r="BP642" s="2" t="s">
        <v>242</v>
      </c>
      <c r="BQ642" s="2" t="s">
        <v>3564</v>
      </c>
      <c r="BR642" s="2" t="s">
        <v>3565</v>
      </c>
      <c r="BS642" s="2" t="s">
        <v>713</v>
      </c>
      <c r="BT642" s="2" t="s">
        <v>3566</v>
      </c>
      <c r="BU642" s="2" t="s">
        <v>3567</v>
      </c>
      <c r="BV642" s="2" t="s">
        <v>150</v>
      </c>
      <c r="BW642" s="2" t="s">
        <v>151</v>
      </c>
      <c r="BX642" s="2" t="s">
        <v>91</v>
      </c>
      <c r="BY64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42" s="2">
        <f>IF(AND(Cases[[#This Row],[Priority Level]]&gt;=3,Cases[[#This Row],[System Role]]&lt;&gt;"Productive"),1,0)</f>
        <v>0</v>
      </c>
      <c r="CA642" s="2">
        <f>IFERROR(IF(Cases[[#This Row],[Days at Customer]]&gt;MAX(1,Cases[[#This Row],[Days at SAP]]*2),1,0),0)</f>
        <v>1</v>
      </c>
      <c r="CB642" s="2">
        <f>IF(AND(Cases[[#This Row],[Initial Component]]&lt;&gt;"",Cases[[#This Row],[Component]]&lt;&gt;"",Cases[[#This Row],[Initial Component]]&lt;&gt;Cases[[#This Row],[Component]]),1,0)</f>
        <v>0</v>
      </c>
      <c r="CC642" s="2">
        <f>IF(OR(Cases[[#This Row],[Is Reopened]]="X",Cases[[#This Row],[No. of Reopenings]]&gt;0),1,0)</f>
        <v>0</v>
      </c>
      <c r="CD642" s="2">
        <f>IF(Cases[[#This Row],[Confirmation Type]]="Automatic",1,0)</f>
        <v>1</v>
      </c>
      <c r="CE642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43" spans="1:83" x14ac:dyDescent="0.2">
      <c r="A643" s="1" t="s">
        <v>3568</v>
      </c>
      <c r="B643" s="2" t="s">
        <v>3569</v>
      </c>
      <c r="C643" s="2" t="s">
        <v>2307</v>
      </c>
      <c r="D643" s="2" t="s">
        <v>238</v>
      </c>
      <c r="E643" s="3">
        <v>1.76</v>
      </c>
      <c r="F643" s="3">
        <v>25.83</v>
      </c>
      <c r="G643" s="2" t="s">
        <v>190</v>
      </c>
      <c r="H643" s="2" t="s">
        <v>666</v>
      </c>
      <c r="I643" s="3" t="s">
        <v>114</v>
      </c>
      <c r="J643" s="3">
        <v>217</v>
      </c>
      <c r="K643" s="2" t="s">
        <v>3570</v>
      </c>
      <c r="L643" s="4">
        <v>46033</v>
      </c>
      <c r="M643" s="4">
        <v>45937</v>
      </c>
      <c r="N643" s="2" t="s">
        <v>2727</v>
      </c>
      <c r="O643" s="2" t="s">
        <v>1805</v>
      </c>
      <c r="P643" s="2" t="s">
        <v>3126</v>
      </c>
      <c r="Q643" s="2" t="s">
        <v>1806</v>
      </c>
      <c r="R643" s="2" t="s">
        <v>362</v>
      </c>
      <c r="S643" s="4">
        <v>45910</v>
      </c>
      <c r="T643" s="2" t="s">
        <v>3264</v>
      </c>
      <c r="U643" s="2" t="s">
        <v>3265</v>
      </c>
      <c r="V643" s="2" t="s">
        <v>3540</v>
      </c>
      <c r="W643" s="2" t="s">
        <v>1806</v>
      </c>
      <c r="X643" s="2" t="s">
        <v>117</v>
      </c>
      <c r="Y643" s="3" t="s">
        <v>118</v>
      </c>
      <c r="Z643" s="3">
        <v>27.59</v>
      </c>
      <c r="AA643" s="2" t="s">
        <v>90</v>
      </c>
      <c r="AB643" s="2" t="s">
        <v>362</v>
      </c>
      <c r="AC643" s="2" t="s">
        <v>2307</v>
      </c>
      <c r="AD643" t="str" cm="1">
        <f t="array" ref="AD64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643" s="2" t="s">
        <v>139</v>
      </c>
      <c r="AF643" s="2" t="s">
        <v>92</v>
      </c>
      <c r="AG643" s="2" t="s">
        <v>119</v>
      </c>
      <c r="AH643" s="2" t="s">
        <v>120</v>
      </c>
      <c r="AJ643" s="2" t="s">
        <v>122</v>
      </c>
      <c r="AK643" s="2" t="s">
        <v>3571</v>
      </c>
      <c r="AN643" s="3">
        <v>1</v>
      </c>
      <c r="AO643" s="3">
        <v>0</v>
      </c>
      <c r="AP643" s="3">
        <v>1</v>
      </c>
      <c r="AQ643" s="3">
        <v>1</v>
      </c>
      <c r="AR643" s="3">
        <v>0</v>
      </c>
      <c r="AS643" s="3">
        <v>0</v>
      </c>
      <c r="AT643" s="3">
        <v>1</v>
      </c>
      <c r="AU643" s="3">
        <v>0</v>
      </c>
      <c r="AV643" s="3">
        <v>1</v>
      </c>
      <c r="AW643" s="3">
        <v>0</v>
      </c>
      <c r="AX643" s="3">
        <v>0</v>
      </c>
      <c r="AY643" s="3">
        <v>0</v>
      </c>
      <c r="AZ643" s="3">
        <v>1</v>
      </c>
      <c r="BA643" s="3">
        <v>1</v>
      </c>
      <c r="BB643" s="3">
        <v>0</v>
      </c>
      <c r="BC643" s="3">
        <v>0</v>
      </c>
      <c r="BD643" s="3">
        <v>1</v>
      </c>
      <c r="BE643" s="3">
        <v>0</v>
      </c>
      <c r="BG643" s="2" t="s">
        <v>139</v>
      </c>
      <c r="BH643" s="3">
        <v>2</v>
      </c>
      <c r="BJ643" s="2" t="s">
        <v>96</v>
      </c>
      <c r="BL643" s="2" t="s">
        <v>123</v>
      </c>
      <c r="BM643" s="2" t="s">
        <v>123</v>
      </c>
      <c r="BN643" s="2" t="s">
        <v>124</v>
      </c>
      <c r="BO643" s="2" t="s">
        <v>125</v>
      </c>
      <c r="BP643" s="2" t="s">
        <v>242</v>
      </c>
      <c r="BQ643" s="2" t="s">
        <v>124</v>
      </c>
      <c r="BR643" s="2" t="s">
        <v>126</v>
      </c>
      <c r="BS643" s="2" t="s">
        <v>713</v>
      </c>
      <c r="BT643" s="2" t="s">
        <v>2240</v>
      </c>
      <c r="BU643" s="2" t="s">
        <v>2241</v>
      </c>
      <c r="BV643" s="2" t="s">
        <v>107</v>
      </c>
      <c r="BW643" s="2" t="s">
        <v>108</v>
      </c>
      <c r="BX643" s="2" t="s">
        <v>139</v>
      </c>
      <c r="BY64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43" s="2">
        <f>IF(AND(Cases[[#This Row],[Priority Level]]&gt;=3,Cases[[#This Row],[System Role]]&lt;&gt;"Productive"),1,0)</f>
        <v>0</v>
      </c>
      <c r="CA643" s="2">
        <f>IFERROR(IF(Cases[[#This Row],[Days at Customer]]&gt;MAX(1,Cases[[#This Row],[Days at SAP]]*2),1,0),0)</f>
        <v>1</v>
      </c>
      <c r="CB643" s="2">
        <f>IF(AND(Cases[[#This Row],[Initial Component]]&lt;&gt;"",Cases[[#This Row],[Component]]&lt;&gt;"",Cases[[#This Row],[Initial Component]]&lt;&gt;Cases[[#This Row],[Component]]),1,0)</f>
        <v>0</v>
      </c>
      <c r="CC643" s="2">
        <f>IF(OR(Cases[[#This Row],[Is Reopened]]="X",Cases[[#This Row],[No. of Reopenings]]&gt;0),1,0)</f>
        <v>1</v>
      </c>
      <c r="CD643" s="2">
        <f>IF(Cases[[#This Row],[Confirmation Type]]="Automatic",1,0)</f>
        <v>1</v>
      </c>
      <c r="CE643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44" spans="1:83" x14ac:dyDescent="0.2">
      <c r="A644" s="1" t="s">
        <v>3572</v>
      </c>
      <c r="B644" s="2" t="s">
        <v>3573</v>
      </c>
      <c r="C644" s="2" t="s">
        <v>2164</v>
      </c>
      <c r="D644" s="2" t="s">
        <v>238</v>
      </c>
      <c r="E644" s="3">
        <v>9.9499999999999993</v>
      </c>
      <c r="F644" s="3">
        <v>25.5</v>
      </c>
      <c r="G644" s="2" t="s">
        <v>79</v>
      </c>
      <c r="H644" s="2" t="s">
        <v>178</v>
      </c>
      <c r="I644" s="3" t="s">
        <v>114</v>
      </c>
      <c r="J644" s="3">
        <v>217</v>
      </c>
      <c r="K644" s="2" t="s">
        <v>3574</v>
      </c>
      <c r="L644" s="4">
        <v>46040</v>
      </c>
      <c r="M644" s="4">
        <v>45946</v>
      </c>
      <c r="N644" s="2" t="s">
        <v>2727</v>
      </c>
      <c r="O644" s="2" t="s">
        <v>1805</v>
      </c>
      <c r="P644" s="2" t="s">
        <v>2936</v>
      </c>
      <c r="Q644" s="2" t="s">
        <v>1806</v>
      </c>
      <c r="R644" s="2" t="s">
        <v>2163</v>
      </c>
      <c r="S644" s="4">
        <v>45910</v>
      </c>
      <c r="T644" s="2" t="s">
        <v>3264</v>
      </c>
      <c r="U644" s="2" t="s">
        <v>3265</v>
      </c>
      <c r="V644" s="2" t="s">
        <v>3540</v>
      </c>
      <c r="W644" s="2" t="s">
        <v>1806</v>
      </c>
      <c r="X644" s="2" t="s">
        <v>117</v>
      </c>
      <c r="Y644" s="3" t="s">
        <v>118</v>
      </c>
      <c r="Z644" s="3">
        <v>35.450000000000003</v>
      </c>
      <c r="AA644" s="2" t="s">
        <v>90</v>
      </c>
      <c r="AB644" s="2" t="s">
        <v>1352</v>
      </c>
      <c r="AC644" s="2" t="s">
        <v>2768</v>
      </c>
      <c r="AD644" t="str" cm="1">
        <f t="array" ref="AD64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644" s="2" t="s">
        <v>139</v>
      </c>
      <c r="AF644" s="2" t="s">
        <v>92</v>
      </c>
      <c r="AG644" s="2" t="s">
        <v>119</v>
      </c>
      <c r="AH644" s="2" t="s">
        <v>120</v>
      </c>
      <c r="AK644" s="2" t="s">
        <v>3575</v>
      </c>
      <c r="AN644" s="3">
        <v>1</v>
      </c>
      <c r="AO644" s="3">
        <v>0</v>
      </c>
      <c r="AP644" s="3">
        <v>1</v>
      </c>
      <c r="AQ644" s="3">
        <v>1</v>
      </c>
      <c r="AR644" s="3">
        <v>0</v>
      </c>
      <c r="AS644" s="3">
        <v>0</v>
      </c>
      <c r="AT644" s="3">
        <v>1</v>
      </c>
      <c r="AU644" s="3">
        <v>0</v>
      </c>
      <c r="AV644" s="3">
        <v>1</v>
      </c>
      <c r="AW644" s="3">
        <v>0</v>
      </c>
      <c r="AX644" s="3">
        <v>0</v>
      </c>
      <c r="AY644" s="3">
        <v>0</v>
      </c>
      <c r="AZ644" s="3">
        <v>1</v>
      </c>
      <c r="BA644" s="3">
        <v>1</v>
      </c>
      <c r="BB644" s="3">
        <v>0</v>
      </c>
      <c r="BC644" s="3">
        <v>0</v>
      </c>
      <c r="BD644" s="3">
        <v>0</v>
      </c>
      <c r="BE644" s="3">
        <v>0</v>
      </c>
      <c r="BG644" s="2" t="s">
        <v>139</v>
      </c>
      <c r="BH644" s="3">
        <v>2</v>
      </c>
      <c r="BJ644" s="2" t="s">
        <v>96</v>
      </c>
      <c r="BL644" s="2" t="s">
        <v>123</v>
      </c>
      <c r="BM644" s="2" t="s">
        <v>123</v>
      </c>
      <c r="BN644" s="2" t="s">
        <v>124</v>
      </c>
      <c r="BO644" s="2" t="s">
        <v>125</v>
      </c>
      <c r="BP644" s="2" t="s">
        <v>242</v>
      </c>
      <c r="BQ644" s="2" t="s">
        <v>124</v>
      </c>
      <c r="BR644" s="2" t="s">
        <v>126</v>
      </c>
      <c r="BS644" s="2" t="s">
        <v>127</v>
      </c>
      <c r="BT644" s="2" t="s">
        <v>199</v>
      </c>
      <c r="BU644" s="2" t="s">
        <v>200</v>
      </c>
      <c r="BV644" s="2" t="s">
        <v>166</v>
      </c>
      <c r="BW644" s="2" t="s">
        <v>167</v>
      </c>
      <c r="BX644" s="2" t="s">
        <v>139</v>
      </c>
      <c r="BY64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44" s="2">
        <f>IF(AND(Cases[[#This Row],[Priority Level]]&gt;=3,Cases[[#This Row],[System Role]]&lt;&gt;"Productive"),1,0)</f>
        <v>0</v>
      </c>
      <c r="CA644" s="2">
        <f>IFERROR(IF(Cases[[#This Row],[Days at Customer]]&gt;MAX(1,Cases[[#This Row],[Days at SAP]]*2),1,0),0)</f>
        <v>1</v>
      </c>
      <c r="CB644" s="2">
        <f>IF(AND(Cases[[#This Row],[Initial Component]]&lt;&gt;"",Cases[[#This Row],[Component]]&lt;&gt;"",Cases[[#This Row],[Initial Component]]&lt;&gt;Cases[[#This Row],[Component]]),1,0)</f>
        <v>1</v>
      </c>
      <c r="CC644" s="2">
        <f>IF(OR(Cases[[#This Row],[Is Reopened]]="X",Cases[[#This Row],[No. of Reopenings]]&gt;0),1,0)</f>
        <v>0</v>
      </c>
      <c r="CD644" s="2">
        <f>IF(Cases[[#This Row],[Confirmation Type]]="Automatic",1,0)</f>
        <v>1</v>
      </c>
      <c r="CE644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645" spans="1:83" x14ac:dyDescent="0.2">
      <c r="A645" s="1" t="s">
        <v>3576</v>
      </c>
      <c r="B645" s="2" t="s">
        <v>3577</v>
      </c>
      <c r="C645" s="2" t="s">
        <v>231</v>
      </c>
      <c r="D645" s="2" t="s">
        <v>238</v>
      </c>
      <c r="E645" s="3">
        <v>0.99</v>
      </c>
      <c r="F645" s="3">
        <v>26.74</v>
      </c>
      <c r="G645" s="2" t="s">
        <v>79</v>
      </c>
      <c r="H645" s="2" t="s">
        <v>178</v>
      </c>
      <c r="I645" s="3" t="s">
        <v>114</v>
      </c>
      <c r="J645" s="3">
        <v>218</v>
      </c>
      <c r="K645" s="2" t="s">
        <v>3578</v>
      </c>
      <c r="L645" s="4">
        <v>46033</v>
      </c>
      <c r="M645" s="4">
        <v>45937</v>
      </c>
      <c r="N645" s="2" t="s">
        <v>2727</v>
      </c>
      <c r="O645" s="2" t="s">
        <v>1805</v>
      </c>
      <c r="P645" s="2" t="s">
        <v>3126</v>
      </c>
      <c r="Q645" s="2" t="s">
        <v>1806</v>
      </c>
      <c r="R645" s="2" t="s">
        <v>233</v>
      </c>
      <c r="S645" s="4">
        <v>45909</v>
      </c>
      <c r="T645" s="2" t="s">
        <v>3264</v>
      </c>
      <c r="U645" s="2" t="s">
        <v>3265</v>
      </c>
      <c r="V645" s="2" t="s">
        <v>3540</v>
      </c>
      <c r="W645" s="2" t="s">
        <v>1806</v>
      </c>
      <c r="X645" s="2" t="s">
        <v>117</v>
      </c>
      <c r="Y645" s="3" t="s">
        <v>118</v>
      </c>
      <c r="Z645" s="3">
        <v>27.73</v>
      </c>
      <c r="AA645" s="2" t="s">
        <v>90</v>
      </c>
      <c r="AB645" s="2" t="s">
        <v>233</v>
      </c>
      <c r="AC645" s="2" t="s">
        <v>231</v>
      </c>
      <c r="AD645" t="str" cm="1">
        <f t="array" ref="AD64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645" s="2" t="s">
        <v>182</v>
      </c>
      <c r="AF645" s="2" t="s">
        <v>92</v>
      </c>
      <c r="AG645" s="2" t="s">
        <v>119</v>
      </c>
      <c r="AH645" s="2" t="s">
        <v>120</v>
      </c>
      <c r="AK645" s="2" t="s">
        <v>3579</v>
      </c>
      <c r="AN645" s="3">
        <v>1</v>
      </c>
      <c r="AO645" s="3">
        <v>0</v>
      </c>
      <c r="AP645" s="3">
        <v>1</v>
      </c>
      <c r="AQ645" s="3">
        <v>1</v>
      </c>
      <c r="AR645" s="3">
        <v>1</v>
      </c>
      <c r="AS645" s="3">
        <v>0</v>
      </c>
      <c r="AT645" s="3">
        <v>0</v>
      </c>
      <c r="AU645" s="3">
        <v>0</v>
      </c>
      <c r="AV645" s="3">
        <v>1</v>
      </c>
      <c r="AW645" s="3">
        <v>0</v>
      </c>
      <c r="AX645" s="3">
        <v>1</v>
      </c>
      <c r="AY645" s="3">
        <v>0</v>
      </c>
      <c r="AZ645" s="3">
        <v>0</v>
      </c>
      <c r="BA645" s="3">
        <v>0</v>
      </c>
      <c r="BB645" s="3">
        <v>0</v>
      </c>
      <c r="BC645" s="3">
        <v>1</v>
      </c>
      <c r="BD645" s="3">
        <v>0</v>
      </c>
      <c r="BE645" s="3">
        <v>0</v>
      </c>
      <c r="BG645" s="2" t="s">
        <v>91</v>
      </c>
      <c r="BH645" s="3">
        <v>3</v>
      </c>
      <c r="BJ645" s="2" t="s">
        <v>96</v>
      </c>
      <c r="BL645" s="2" t="s">
        <v>123</v>
      </c>
      <c r="BM645" s="2" t="s">
        <v>123</v>
      </c>
      <c r="BN645" s="2" t="s">
        <v>124</v>
      </c>
      <c r="BO645" s="2" t="s">
        <v>125</v>
      </c>
      <c r="BP645" s="2" t="s">
        <v>242</v>
      </c>
      <c r="BQ645" s="2" t="s">
        <v>124</v>
      </c>
      <c r="BR645" s="2" t="s">
        <v>126</v>
      </c>
      <c r="BS645" s="2" t="s">
        <v>127</v>
      </c>
      <c r="BT645" s="2" t="s">
        <v>174</v>
      </c>
      <c r="BU645" s="2" t="s">
        <v>175</v>
      </c>
      <c r="BV645" s="2" t="s">
        <v>150</v>
      </c>
      <c r="BW645" s="2" t="s">
        <v>151</v>
      </c>
      <c r="BX645" s="2" t="s">
        <v>182</v>
      </c>
      <c r="BY64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45" s="2">
        <f>IF(AND(Cases[[#This Row],[Priority Level]]&gt;=3,Cases[[#This Row],[System Role]]&lt;&gt;"Productive"),1,0)</f>
        <v>0</v>
      </c>
      <c r="CA645" s="2">
        <f>IFERROR(IF(Cases[[#This Row],[Days at Customer]]&gt;MAX(1,Cases[[#This Row],[Days at SAP]]*2),1,0),0)</f>
        <v>1</v>
      </c>
      <c r="CB645" s="2">
        <f>IF(AND(Cases[[#This Row],[Initial Component]]&lt;&gt;"",Cases[[#This Row],[Component]]&lt;&gt;"",Cases[[#This Row],[Initial Component]]&lt;&gt;Cases[[#This Row],[Component]]),1,0)</f>
        <v>0</v>
      </c>
      <c r="CC645" s="2">
        <f>IF(OR(Cases[[#This Row],[Is Reopened]]="X",Cases[[#This Row],[No. of Reopenings]]&gt;0),1,0)</f>
        <v>0</v>
      </c>
      <c r="CD645" s="2">
        <f>IF(Cases[[#This Row],[Confirmation Type]]="Automatic",1,0)</f>
        <v>1</v>
      </c>
      <c r="CE645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46" spans="1:83" x14ac:dyDescent="0.2">
      <c r="A646" s="1" t="s">
        <v>3580</v>
      </c>
      <c r="B646" s="2" t="s">
        <v>3581</v>
      </c>
      <c r="C646" s="2" t="s">
        <v>231</v>
      </c>
      <c r="D646" s="2" t="s">
        <v>238</v>
      </c>
      <c r="E646" s="3">
        <v>9.17</v>
      </c>
      <c r="F646" s="3">
        <v>29.52</v>
      </c>
      <c r="G646" s="2" t="s">
        <v>190</v>
      </c>
      <c r="H646" s="2" t="s">
        <v>308</v>
      </c>
      <c r="I646" s="3" t="s">
        <v>114</v>
      </c>
      <c r="J646" s="3">
        <v>218</v>
      </c>
      <c r="K646" s="2" t="s">
        <v>3582</v>
      </c>
      <c r="L646" s="4">
        <v>46040</v>
      </c>
      <c r="M646" s="4">
        <v>45948</v>
      </c>
      <c r="N646" s="2" t="s">
        <v>2727</v>
      </c>
      <c r="O646" s="2" t="s">
        <v>1805</v>
      </c>
      <c r="P646" s="2" t="s">
        <v>2936</v>
      </c>
      <c r="Q646" s="2" t="s">
        <v>1806</v>
      </c>
      <c r="R646" s="2" t="s">
        <v>233</v>
      </c>
      <c r="S646" s="4">
        <v>45909</v>
      </c>
      <c r="T646" s="2" t="s">
        <v>3264</v>
      </c>
      <c r="U646" s="2" t="s">
        <v>3265</v>
      </c>
      <c r="V646" s="2" t="s">
        <v>3540</v>
      </c>
      <c r="W646" s="2" t="s">
        <v>1806</v>
      </c>
      <c r="X646" s="2" t="s">
        <v>117</v>
      </c>
      <c r="Y646" s="3" t="s">
        <v>118</v>
      </c>
      <c r="Z646" s="3">
        <v>38.68</v>
      </c>
      <c r="AA646" s="2" t="s">
        <v>90</v>
      </c>
      <c r="AB646" s="2" t="s">
        <v>3583</v>
      </c>
      <c r="AC646" s="2" t="s">
        <v>3584</v>
      </c>
      <c r="AD646" t="str" cm="1">
        <f t="array" ref="AD64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646" s="2" t="s">
        <v>182</v>
      </c>
      <c r="AF646" s="2" t="s">
        <v>92</v>
      </c>
      <c r="AG646" s="2" t="s">
        <v>119</v>
      </c>
      <c r="AH646" s="2" t="s">
        <v>120</v>
      </c>
      <c r="AK646" s="2" t="s">
        <v>3585</v>
      </c>
      <c r="AN646" s="3">
        <v>1</v>
      </c>
      <c r="AO646" s="3">
        <v>0</v>
      </c>
      <c r="AP646" s="3">
        <v>1</v>
      </c>
      <c r="AQ646" s="3">
        <v>1</v>
      </c>
      <c r="AR646" s="3">
        <v>1</v>
      </c>
      <c r="AS646" s="3">
        <v>0</v>
      </c>
      <c r="AT646" s="3">
        <v>0</v>
      </c>
      <c r="AU646" s="3">
        <v>0</v>
      </c>
      <c r="AV646" s="3">
        <v>1</v>
      </c>
      <c r="AW646" s="3">
        <v>0</v>
      </c>
      <c r="AX646" s="3">
        <v>1</v>
      </c>
      <c r="AY646" s="3">
        <v>0</v>
      </c>
      <c r="AZ646" s="3">
        <v>0</v>
      </c>
      <c r="BA646" s="3">
        <v>0</v>
      </c>
      <c r="BB646" s="3">
        <v>0</v>
      </c>
      <c r="BC646" s="3">
        <v>1</v>
      </c>
      <c r="BD646" s="3">
        <v>0</v>
      </c>
      <c r="BE646" s="3">
        <v>0</v>
      </c>
      <c r="BG646" s="2" t="s">
        <v>91</v>
      </c>
      <c r="BH646" s="3">
        <v>3</v>
      </c>
      <c r="BJ646" s="2" t="s">
        <v>96</v>
      </c>
      <c r="BL646" s="2" t="s">
        <v>123</v>
      </c>
      <c r="BM646" s="2" t="s">
        <v>123</v>
      </c>
      <c r="BN646" s="2" t="s">
        <v>124</v>
      </c>
      <c r="BO646" s="2" t="s">
        <v>125</v>
      </c>
      <c r="BP646" s="2" t="s">
        <v>242</v>
      </c>
      <c r="BQ646" s="2" t="s">
        <v>124</v>
      </c>
      <c r="BR646" s="2" t="s">
        <v>126</v>
      </c>
      <c r="BS646" s="2" t="s">
        <v>127</v>
      </c>
      <c r="BT646" s="2" t="s">
        <v>174</v>
      </c>
      <c r="BU646" s="2" t="s">
        <v>175</v>
      </c>
      <c r="BV646" s="2" t="s">
        <v>150</v>
      </c>
      <c r="BW646" s="2" t="s">
        <v>151</v>
      </c>
      <c r="BX646" s="2" t="s">
        <v>182</v>
      </c>
      <c r="BY64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46" s="2">
        <f>IF(AND(Cases[[#This Row],[Priority Level]]&gt;=3,Cases[[#This Row],[System Role]]&lt;&gt;"Productive"),1,0)</f>
        <v>0</v>
      </c>
      <c r="CA646" s="2">
        <f>IFERROR(IF(Cases[[#This Row],[Days at Customer]]&gt;MAX(1,Cases[[#This Row],[Days at SAP]]*2),1,0),0)</f>
        <v>1</v>
      </c>
      <c r="CB646" s="2">
        <f>IF(AND(Cases[[#This Row],[Initial Component]]&lt;&gt;"",Cases[[#This Row],[Component]]&lt;&gt;"",Cases[[#This Row],[Initial Component]]&lt;&gt;Cases[[#This Row],[Component]]),1,0)</f>
        <v>1</v>
      </c>
      <c r="CC646" s="2">
        <f>IF(OR(Cases[[#This Row],[Is Reopened]]="X",Cases[[#This Row],[No. of Reopenings]]&gt;0),1,0)</f>
        <v>0</v>
      </c>
      <c r="CD646" s="2">
        <f>IF(Cases[[#This Row],[Confirmation Type]]="Automatic",1,0)</f>
        <v>1</v>
      </c>
      <c r="CE64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47" spans="1:83" x14ac:dyDescent="0.2">
      <c r="A647" s="1" t="s">
        <v>3586</v>
      </c>
      <c r="B647" s="2" t="s">
        <v>3587</v>
      </c>
      <c r="C647" s="2" t="s">
        <v>550</v>
      </c>
      <c r="D647" s="2" t="s">
        <v>238</v>
      </c>
      <c r="E647" s="3">
        <v>0.23</v>
      </c>
      <c r="F647" s="3">
        <v>23.31</v>
      </c>
      <c r="G647" s="2" t="s">
        <v>190</v>
      </c>
      <c r="H647" s="2" t="s">
        <v>191</v>
      </c>
      <c r="I647" s="3" t="s">
        <v>114</v>
      </c>
      <c r="J647" s="3">
        <v>218</v>
      </c>
      <c r="K647" s="2" t="s">
        <v>3588</v>
      </c>
      <c r="L647" s="4">
        <v>46026</v>
      </c>
      <c r="M647" s="4">
        <v>45933</v>
      </c>
      <c r="N647" s="2" t="s">
        <v>2727</v>
      </c>
      <c r="O647" s="2" t="s">
        <v>1805</v>
      </c>
      <c r="P647" s="2" t="s">
        <v>3224</v>
      </c>
      <c r="Q647" s="2" t="s">
        <v>1806</v>
      </c>
      <c r="R647" s="2" t="s">
        <v>552</v>
      </c>
      <c r="S647" s="4">
        <v>45909</v>
      </c>
      <c r="T647" s="2" t="s">
        <v>3264</v>
      </c>
      <c r="U647" s="2" t="s">
        <v>3265</v>
      </c>
      <c r="V647" s="2" t="s">
        <v>3540</v>
      </c>
      <c r="W647" s="2" t="s">
        <v>1806</v>
      </c>
      <c r="X647" s="2" t="s">
        <v>117</v>
      </c>
      <c r="Y647" s="3" t="s">
        <v>118</v>
      </c>
      <c r="Z647" s="3">
        <v>23.54</v>
      </c>
      <c r="AA647" s="2" t="s">
        <v>90</v>
      </c>
      <c r="AB647" s="2" t="s">
        <v>552</v>
      </c>
      <c r="AC647" s="2" t="s">
        <v>550</v>
      </c>
      <c r="AD647" t="str" cm="1">
        <f t="array" ref="AD64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647" s="2" t="s">
        <v>139</v>
      </c>
      <c r="AF647" s="2" t="s">
        <v>92</v>
      </c>
      <c r="AG647" s="2" t="s">
        <v>553</v>
      </c>
      <c r="AH647" s="2" t="s">
        <v>554</v>
      </c>
      <c r="AK647" s="2" t="s">
        <v>3589</v>
      </c>
      <c r="AN647" s="3">
        <v>1</v>
      </c>
      <c r="AO647" s="3">
        <v>0</v>
      </c>
      <c r="AP647" s="3">
        <v>1</v>
      </c>
      <c r="AQ647" s="3">
        <v>1</v>
      </c>
      <c r="AR647" s="3">
        <v>0</v>
      </c>
      <c r="AS647" s="3">
        <v>0</v>
      </c>
      <c r="AT647" s="3">
        <v>1</v>
      </c>
      <c r="AU647" s="3">
        <v>0</v>
      </c>
      <c r="AV647" s="3">
        <v>1</v>
      </c>
      <c r="AW647" s="3">
        <v>0</v>
      </c>
      <c r="AX647" s="3">
        <v>0</v>
      </c>
      <c r="AY647" s="3">
        <v>0</v>
      </c>
      <c r="AZ647" s="3">
        <v>1</v>
      </c>
      <c r="BA647" s="3">
        <v>0</v>
      </c>
      <c r="BB647" s="3">
        <v>0</v>
      </c>
      <c r="BC647" s="3">
        <v>1</v>
      </c>
      <c r="BD647" s="3">
        <v>0</v>
      </c>
      <c r="BE647" s="3">
        <v>0</v>
      </c>
      <c r="BG647" s="2" t="s">
        <v>139</v>
      </c>
      <c r="BH647" s="3">
        <v>2</v>
      </c>
      <c r="BJ647" s="2" t="s">
        <v>96</v>
      </c>
      <c r="BL647" s="2" t="s">
        <v>556</v>
      </c>
      <c r="BM647" s="2" t="s">
        <v>557</v>
      </c>
      <c r="BN647" s="2" t="s">
        <v>99</v>
      </c>
      <c r="BO647" s="2" t="s">
        <v>100</v>
      </c>
      <c r="BP647" s="2" t="s">
        <v>242</v>
      </c>
      <c r="BQ647" s="2" t="s">
        <v>102</v>
      </c>
      <c r="BR647" s="2" t="s">
        <v>103</v>
      </c>
      <c r="BS647" s="2" t="s">
        <v>127</v>
      </c>
      <c r="BT647" s="2" t="s">
        <v>1171</v>
      </c>
      <c r="BU647" s="2" t="s">
        <v>1172</v>
      </c>
      <c r="BV647" s="2" t="s">
        <v>150</v>
      </c>
      <c r="BW647" s="2" t="s">
        <v>151</v>
      </c>
      <c r="BX647" s="2" t="s">
        <v>139</v>
      </c>
      <c r="BY64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47" s="2">
        <f>IF(AND(Cases[[#This Row],[Priority Level]]&gt;=3,Cases[[#This Row],[System Role]]&lt;&gt;"Productive"),1,0)</f>
        <v>0</v>
      </c>
      <c r="CA647" s="2">
        <f>IFERROR(IF(Cases[[#This Row],[Days at Customer]]&gt;MAX(1,Cases[[#This Row],[Days at SAP]]*2),1,0),0)</f>
        <v>1</v>
      </c>
      <c r="CB647" s="2">
        <f>IF(AND(Cases[[#This Row],[Initial Component]]&lt;&gt;"",Cases[[#This Row],[Component]]&lt;&gt;"",Cases[[#This Row],[Initial Component]]&lt;&gt;Cases[[#This Row],[Component]]),1,0)</f>
        <v>0</v>
      </c>
      <c r="CC647" s="2">
        <f>IF(OR(Cases[[#This Row],[Is Reopened]]="X",Cases[[#This Row],[No. of Reopenings]]&gt;0),1,0)</f>
        <v>0</v>
      </c>
      <c r="CD647" s="2">
        <f>IF(Cases[[#This Row],[Confirmation Type]]="Automatic",1,0)</f>
        <v>1</v>
      </c>
      <c r="CE647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48" spans="1:83" x14ac:dyDescent="0.2">
      <c r="A648" s="1" t="s">
        <v>3590</v>
      </c>
      <c r="B648" s="2" t="s">
        <v>3591</v>
      </c>
      <c r="C648" s="2" t="s">
        <v>1974</v>
      </c>
      <c r="D648" s="2" t="s">
        <v>238</v>
      </c>
      <c r="E648" s="3">
        <v>0</v>
      </c>
      <c r="F648" s="3">
        <v>36.29</v>
      </c>
      <c r="G648" s="2" t="s">
        <v>79</v>
      </c>
      <c r="H648" s="2" t="s">
        <v>178</v>
      </c>
      <c r="I648" s="3" t="s">
        <v>81</v>
      </c>
      <c r="J648" s="3">
        <v>219</v>
      </c>
      <c r="K648" s="2" t="s">
        <v>3592</v>
      </c>
      <c r="L648" s="4">
        <v>46040</v>
      </c>
      <c r="M648" s="4">
        <v>45944</v>
      </c>
      <c r="N648" s="2" t="s">
        <v>2727</v>
      </c>
      <c r="O648" s="2" t="s">
        <v>1805</v>
      </c>
      <c r="P648" s="2" t="s">
        <v>2936</v>
      </c>
      <c r="Q648" s="2" t="s">
        <v>1806</v>
      </c>
      <c r="R648" s="2" t="s">
        <v>1976</v>
      </c>
      <c r="S648" s="4">
        <v>45908</v>
      </c>
      <c r="T648" s="2" t="s">
        <v>3264</v>
      </c>
      <c r="U648" s="2" t="s">
        <v>3265</v>
      </c>
      <c r="V648" s="2" t="s">
        <v>3540</v>
      </c>
      <c r="W648" s="2" t="s">
        <v>1806</v>
      </c>
      <c r="X648" s="2" t="s">
        <v>88</v>
      </c>
      <c r="Y648" s="3" t="s">
        <v>89</v>
      </c>
      <c r="Z648" s="3">
        <v>36.29</v>
      </c>
      <c r="AA648" s="2" t="s">
        <v>90</v>
      </c>
      <c r="AB648" s="2" t="s">
        <v>1976</v>
      </c>
      <c r="AC648" s="2" t="s">
        <v>1974</v>
      </c>
      <c r="AD648" t="str" cm="1">
        <f t="array" ref="AD64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OTC</v>
      </c>
      <c r="AE648" s="2" t="s">
        <v>139</v>
      </c>
      <c r="AF648" s="2" t="s">
        <v>92</v>
      </c>
      <c r="AG648" s="2" t="s">
        <v>93</v>
      </c>
      <c r="AH648" s="2" t="s">
        <v>94</v>
      </c>
      <c r="AK648" s="2" t="s">
        <v>3593</v>
      </c>
      <c r="AN648" s="3">
        <v>1</v>
      </c>
      <c r="AO648" s="3">
        <v>0</v>
      </c>
      <c r="AP648" s="3">
        <v>1</v>
      </c>
      <c r="AQ648" s="3">
        <v>1</v>
      </c>
      <c r="AR648" s="3">
        <v>0</v>
      </c>
      <c r="AS648" s="3">
        <v>0</v>
      </c>
      <c r="AT648" s="3">
        <v>1</v>
      </c>
      <c r="AU648" s="3">
        <v>0</v>
      </c>
      <c r="AV648" s="3">
        <v>1</v>
      </c>
      <c r="AW648" s="3">
        <v>0</v>
      </c>
      <c r="AX648" s="3">
        <v>0</v>
      </c>
      <c r="AY648" s="3">
        <v>0</v>
      </c>
      <c r="AZ648" s="3">
        <v>1</v>
      </c>
      <c r="BA648" s="3">
        <v>0</v>
      </c>
      <c r="BB648" s="3">
        <v>0</v>
      </c>
      <c r="BC648" s="3">
        <v>1</v>
      </c>
      <c r="BD648" s="3">
        <v>0</v>
      </c>
      <c r="BE648" s="3">
        <v>0</v>
      </c>
      <c r="BG648" s="2" t="s">
        <v>139</v>
      </c>
      <c r="BH648" s="3">
        <v>2</v>
      </c>
      <c r="BJ648" s="2" t="s">
        <v>96</v>
      </c>
      <c r="BL648" s="2" t="s">
        <v>184</v>
      </c>
      <c r="BM648" s="2" t="s">
        <v>184</v>
      </c>
      <c r="BN648" s="2" t="s">
        <v>124</v>
      </c>
      <c r="BO648" s="2" t="s">
        <v>125</v>
      </c>
      <c r="BP648" s="2" t="s">
        <v>242</v>
      </c>
      <c r="BQ648" s="2" t="s">
        <v>124</v>
      </c>
      <c r="BR648" s="2" t="s">
        <v>126</v>
      </c>
      <c r="BS648" s="2" t="s">
        <v>127</v>
      </c>
      <c r="BT648" s="2" t="s">
        <v>185</v>
      </c>
      <c r="BU648" s="2" t="s">
        <v>186</v>
      </c>
      <c r="BV648" s="2" t="s">
        <v>150</v>
      </c>
      <c r="BW648" s="2" t="s">
        <v>151</v>
      </c>
      <c r="BX648" s="2" t="s">
        <v>139</v>
      </c>
      <c r="BY64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48" s="2">
        <f>IF(AND(Cases[[#This Row],[Priority Level]]&gt;=3,Cases[[#This Row],[System Role]]&lt;&gt;"Productive"),1,0)</f>
        <v>0</v>
      </c>
      <c r="CA648" s="2">
        <f>IFERROR(IF(Cases[[#This Row],[Days at Customer]]&gt;MAX(1,Cases[[#This Row],[Days at SAP]]*2),1,0),0)</f>
        <v>1</v>
      </c>
      <c r="CB648" s="2">
        <f>IF(AND(Cases[[#This Row],[Initial Component]]&lt;&gt;"",Cases[[#This Row],[Component]]&lt;&gt;"",Cases[[#This Row],[Initial Component]]&lt;&gt;Cases[[#This Row],[Component]]),1,0)</f>
        <v>0</v>
      </c>
      <c r="CC648" s="2">
        <f>IF(OR(Cases[[#This Row],[Is Reopened]]="X",Cases[[#This Row],[No. of Reopenings]]&gt;0),1,0)</f>
        <v>0</v>
      </c>
      <c r="CD648" s="2">
        <f>IF(Cases[[#This Row],[Confirmation Type]]="Automatic",1,0)</f>
        <v>1</v>
      </c>
      <c r="CE648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49" spans="1:83" x14ac:dyDescent="0.2">
      <c r="A649" s="1" t="s">
        <v>507</v>
      </c>
      <c r="B649" s="2" t="s">
        <v>508</v>
      </c>
      <c r="C649" s="2" t="s">
        <v>203</v>
      </c>
      <c r="D649" s="2" t="s">
        <v>238</v>
      </c>
      <c r="E649" s="3">
        <v>0</v>
      </c>
      <c r="F649" s="3">
        <v>21.72</v>
      </c>
      <c r="G649" s="2" t="s">
        <v>112</v>
      </c>
      <c r="H649" s="2" t="s">
        <v>113</v>
      </c>
      <c r="I649" s="3" t="s">
        <v>114</v>
      </c>
      <c r="J649" s="3">
        <v>37</v>
      </c>
      <c r="K649" s="2" t="s">
        <v>509</v>
      </c>
      <c r="L649" s="4">
        <v>46124</v>
      </c>
      <c r="M649" s="4">
        <v>46123</v>
      </c>
      <c r="N649" s="2" t="s">
        <v>83</v>
      </c>
      <c r="O649" s="2" t="s">
        <v>84</v>
      </c>
      <c r="P649" s="2" t="s">
        <v>85</v>
      </c>
      <c r="Q649" s="2" t="s">
        <v>86</v>
      </c>
      <c r="R649" s="2" t="s">
        <v>205</v>
      </c>
      <c r="S649" s="4">
        <v>46090</v>
      </c>
      <c r="T649" s="2" t="s">
        <v>180</v>
      </c>
      <c r="U649" s="2" t="s">
        <v>181</v>
      </c>
      <c r="V649" s="2" t="s">
        <v>350</v>
      </c>
      <c r="W649" s="2" t="s">
        <v>86</v>
      </c>
      <c r="X649" s="2" t="s">
        <v>117</v>
      </c>
      <c r="Y649" s="3" t="s">
        <v>118</v>
      </c>
      <c r="Z649" s="3">
        <v>21.72</v>
      </c>
      <c r="AA649" s="2" t="s">
        <v>90</v>
      </c>
      <c r="AB649" s="2" t="s">
        <v>205</v>
      </c>
      <c r="AC649" s="2" t="s">
        <v>203</v>
      </c>
      <c r="AD649" t="str" cm="1">
        <f t="array" ref="AD64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649" s="2" t="s">
        <v>91</v>
      </c>
      <c r="AF649" s="2" t="s">
        <v>92</v>
      </c>
      <c r="AG649" s="2" t="s">
        <v>119</v>
      </c>
      <c r="AH649" s="2" t="s">
        <v>120</v>
      </c>
      <c r="AK649" s="2" t="s">
        <v>510</v>
      </c>
      <c r="AN649" s="3">
        <v>1</v>
      </c>
      <c r="AO649" s="3">
        <v>1</v>
      </c>
      <c r="AP649" s="3">
        <v>1</v>
      </c>
      <c r="AQ649" s="3">
        <v>1</v>
      </c>
      <c r="AR649" s="3">
        <v>1</v>
      </c>
      <c r="AS649" s="3">
        <v>0</v>
      </c>
      <c r="AT649" s="3">
        <v>0</v>
      </c>
      <c r="AU649" s="3">
        <v>0</v>
      </c>
      <c r="AV649" s="3">
        <v>1</v>
      </c>
      <c r="AW649" s="3">
        <v>0</v>
      </c>
      <c r="AX649" s="3">
        <v>1</v>
      </c>
      <c r="AY649" s="3">
        <v>0</v>
      </c>
      <c r="AZ649" s="3">
        <v>0</v>
      </c>
      <c r="BA649" s="3">
        <v>1</v>
      </c>
      <c r="BB649" s="3">
        <v>0</v>
      </c>
      <c r="BC649" s="3">
        <v>0</v>
      </c>
      <c r="BD649" s="3">
        <v>0</v>
      </c>
      <c r="BE649" s="3">
        <v>0</v>
      </c>
      <c r="BG649" s="2" t="s">
        <v>91</v>
      </c>
      <c r="BH649" s="3">
        <v>3</v>
      </c>
      <c r="BI649" s="2" t="s">
        <v>122</v>
      </c>
      <c r="BJ649" s="2" t="s">
        <v>96</v>
      </c>
      <c r="BL649" s="2" t="s">
        <v>123</v>
      </c>
      <c r="BM649" s="2" t="s">
        <v>123</v>
      </c>
      <c r="BN649" s="2" t="s">
        <v>124</v>
      </c>
      <c r="BO649" s="2" t="s">
        <v>125</v>
      </c>
      <c r="BP649" s="2" t="s">
        <v>242</v>
      </c>
      <c r="BQ649" s="2" t="s">
        <v>124</v>
      </c>
      <c r="BR649" s="2" t="s">
        <v>126</v>
      </c>
      <c r="BS649" s="2" t="s">
        <v>127</v>
      </c>
      <c r="BT649" s="2" t="s">
        <v>410</v>
      </c>
      <c r="BU649" s="2" t="s">
        <v>411</v>
      </c>
      <c r="BV649" s="2" t="s">
        <v>166</v>
      </c>
      <c r="BW649" s="2" t="s">
        <v>167</v>
      </c>
      <c r="BX649" s="2" t="s">
        <v>91</v>
      </c>
      <c r="BY64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49" s="2">
        <f>IF(AND(Cases[[#This Row],[Priority Level]]&gt;=3,Cases[[#This Row],[System Role]]&lt;&gt;"Productive"),1,0)</f>
        <v>1</v>
      </c>
      <c r="CA649" s="2">
        <f>IFERROR(IF(Cases[[#This Row],[Days at Customer]]&gt;MAX(1,Cases[[#This Row],[Days at SAP]]*2),1,0),0)</f>
        <v>1</v>
      </c>
      <c r="CB649" s="2">
        <f>IF(AND(Cases[[#This Row],[Initial Component]]&lt;&gt;"",Cases[[#This Row],[Component]]&lt;&gt;"",Cases[[#This Row],[Initial Component]]&lt;&gt;Cases[[#This Row],[Component]]),1,0)</f>
        <v>0</v>
      </c>
      <c r="CC649" s="2">
        <f>IF(OR(Cases[[#This Row],[Is Reopened]]="X",Cases[[#This Row],[No. of Reopenings]]&gt;0),1,0)</f>
        <v>0</v>
      </c>
      <c r="CD649" s="2">
        <f>IF(Cases[[#This Row],[Confirmation Type]]="Automatic",1,0)</f>
        <v>1</v>
      </c>
      <c r="CE649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50" spans="1:83" x14ac:dyDescent="0.2">
      <c r="A650" s="1" t="s">
        <v>3600</v>
      </c>
      <c r="B650" s="2" t="s">
        <v>3601</v>
      </c>
      <c r="C650" s="2" t="s">
        <v>537</v>
      </c>
      <c r="D650" s="2" t="s">
        <v>238</v>
      </c>
      <c r="E650" s="3">
        <v>0.01</v>
      </c>
      <c r="F650" s="3">
        <v>24.16</v>
      </c>
      <c r="G650" s="2" t="s">
        <v>79</v>
      </c>
      <c r="H650" s="2" t="s">
        <v>178</v>
      </c>
      <c r="I650" s="3" t="s">
        <v>114</v>
      </c>
      <c r="J650" s="3">
        <v>220</v>
      </c>
      <c r="K650" s="2" t="s">
        <v>3602</v>
      </c>
      <c r="L650" s="4">
        <v>46026</v>
      </c>
      <c r="M650" s="4">
        <v>45932</v>
      </c>
      <c r="N650" s="2" t="s">
        <v>2727</v>
      </c>
      <c r="O650" s="2" t="s">
        <v>1805</v>
      </c>
      <c r="P650" s="2" t="s">
        <v>3224</v>
      </c>
      <c r="Q650" s="2" t="s">
        <v>1806</v>
      </c>
      <c r="R650" s="2" t="s">
        <v>539</v>
      </c>
      <c r="S650" s="4">
        <v>45907</v>
      </c>
      <c r="T650" s="2" t="s">
        <v>3264</v>
      </c>
      <c r="U650" s="2" t="s">
        <v>3265</v>
      </c>
      <c r="V650" s="2" t="s">
        <v>3603</v>
      </c>
      <c r="W650" s="2" t="s">
        <v>1806</v>
      </c>
      <c r="X650" s="2" t="s">
        <v>117</v>
      </c>
      <c r="Y650" s="3" t="s">
        <v>118</v>
      </c>
      <c r="Z650" s="3">
        <v>24.17</v>
      </c>
      <c r="AA650" s="2" t="s">
        <v>90</v>
      </c>
      <c r="AB650" s="2" t="s">
        <v>539</v>
      </c>
      <c r="AC650" s="2" t="s">
        <v>537</v>
      </c>
      <c r="AD650" t="str" cm="1">
        <f t="array" ref="AD65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650" s="2" t="s">
        <v>139</v>
      </c>
      <c r="AF650" s="2" t="s">
        <v>92</v>
      </c>
      <c r="AG650" s="2" t="s">
        <v>159</v>
      </c>
      <c r="AH650" s="2" t="s">
        <v>160</v>
      </c>
      <c r="AK650" s="2" t="s">
        <v>3604</v>
      </c>
      <c r="AN650" s="3">
        <v>1</v>
      </c>
      <c r="AO650" s="3">
        <v>0</v>
      </c>
      <c r="AP650" s="3">
        <v>1</v>
      </c>
      <c r="AQ650" s="3">
        <v>1</v>
      </c>
      <c r="AR650" s="3">
        <v>0</v>
      </c>
      <c r="AS650" s="3">
        <v>0</v>
      </c>
      <c r="AT650" s="3">
        <v>1</v>
      </c>
      <c r="AU650" s="3">
        <v>0</v>
      </c>
      <c r="AV650" s="3">
        <v>1</v>
      </c>
      <c r="AW650" s="3">
        <v>0</v>
      </c>
      <c r="AX650" s="3">
        <v>0</v>
      </c>
      <c r="AY650" s="3">
        <v>0</v>
      </c>
      <c r="AZ650" s="3">
        <v>1</v>
      </c>
      <c r="BA650" s="3">
        <v>1</v>
      </c>
      <c r="BB650" s="3">
        <v>0</v>
      </c>
      <c r="BC650" s="3">
        <v>0</v>
      </c>
      <c r="BD650" s="3">
        <v>0</v>
      </c>
      <c r="BE650" s="3">
        <v>0</v>
      </c>
      <c r="BG650" s="2" t="s">
        <v>139</v>
      </c>
      <c r="BH650" s="3">
        <v>2</v>
      </c>
      <c r="BJ650" s="2" t="s">
        <v>96</v>
      </c>
      <c r="BL650" s="2" t="s">
        <v>162</v>
      </c>
      <c r="BM650" s="2" t="s">
        <v>163</v>
      </c>
      <c r="BN650" s="2" t="s">
        <v>99</v>
      </c>
      <c r="BO650" s="2" t="s">
        <v>100</v>
      </c>
      <c r="BP650" s="2" t="s">
        <v>242</v>
      </c>
      <c r="BQ650" s="2" t="s">
        <v>102</v>
      </c>
      <c r="BR650" s="2" t="s">
        <v>103</v>
      </c>
      <c r="BS650" s="2" t="s">
        <v>713</v>
      </c>
      <c r="BT650" s="2" t="s">
        <v>3605</v>
      </c>
      <c r="BU650" s="2" t="s">
        <v>3606</v>
      </c>
      <c r="BV650" s="2" t="s">
        <v>166</v>
      </c>
      <c r="BW650" s="2" t="s">
        <v>167</v>
      </c>
      <c r="BX650" s="2" t="s">
        <v>139</v>
      </c>
      <c r="BY65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50" s="2">
        <f>IF(AND(Cases[[#This Row],[Priority Level]]&gt;=3,Cases[[#This Row],[System Role]]&lt;&gt;"Productive"),1,0)</f>
        <v>0</v>
      </c>
      <c r="CA650" s="2">
        <f>IFERROR(IF(Cases[[#This Row],[Days at Customer]]&gt;MAX(1,Cases[[#This Row],[Days at SAP]]*2),1,0),0)</f>
        <v>1</v>
      </c>
      <c r="CB650" s="2">
        <f>IF(AND(Cases[[#This Row],[Initial Component]]&lt;&gt;"",Cases[[#This Row],[Component]]&lt;&gt;"",Cases[[#This Row],[Initial Component]]&lt;&gt;Cases[[#This Row],[Component]]),1,0)</f>
        <v>0</v>
      </c>
      <c r="CC650" s="2">
        <f>IF(OR(Cases[[#This Row],[Is Reopened]]="X",Cases[[#This Row],[No. of Reopenings]]&gt;0),1,0)</f>
        <v>0</v>
      </c>
      <c r="CD650" s="2">
        <f>IF(Cases[[#This Row],[Confirmation Type]]="Automatic",1,0)</f>
        <v>1</v>
      </c>
      <c r="CE65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51" spans="1:83" x14ac:dyDescent="0.2">
      <c r="A651" s="1" t="s">
        <v>3607</v>
      </c>
      <c r="B651" s="2" t="s">
        <v>3608</v>
      </c>
      <c r="C651" s="2" t="s">
        <v>887</v>
      </c>
      <c r="D651" s="2" t="s">
        <v>238</v>
      </c>
      <c r="E651" s="3">
        <v>68.34</v>
      </c>
      <c r="F651" s="3">
        <v>47.47</v>
      </c>
      <c r="G651" s="2" t="s">
        <v>79</v>
      </c>
      <c r="H651" s="2" t="s">
        <v>80</v>
      </c>
      <c r="I651" s="3" t="s">
        <v>114</v>
      </c>
      <c r="J651" s="3">
        <v>222</v>
      </c>
      <c r="K651" s="2" t="s">
        <v>3609</v>
      </c>
      <c r="L651" s="4">
        <v>46026</v>
      </c>
      <c r="M651" s="4">
        <v>46021</v>
      </c>
      <c r="N651" s="2" t="s">
        <v>1804</v>
      </c>
      <c r="O651" s="2" t="s">
        <v>1805</v>
      </c>
      <c r="P651" s="2" t="s">
        <v>1334</v>
      </c>
      <c r="Q651" s="2" t="s">
        <v>1806</v>
      </c>
      <c r="R651" s="2" t="s">
        <v>886</v>
      </c>
      <c r="S651" s="4">
        <v>45905</v>
      </c>
      <c r="T651" s="2" t="s">
        <v>3264</v>
      </c>
      <c r="U651" s="2" t="s">
        <v>3265</v>
      </c>
      <c r="V651" s="2" t="s">
        <v>3603</v>
      </c>
      <c r="W651" s="2" t="s">
        <v>1806</v>
      </c>
      <c r="X651" s="2" t="s">
        <v>117</v>
      </c>
      <c r="Y651" s="3" t="s">
        <v>118</v>
      </c>
      <c r="Z651" s="3">
        <v>115.81</v>
      </c>
      <c r="AA651" s="2" t="s">
        <v>138</v>
      </c>
      <c r="AB651" s="2" t="s">
        <v>443</v>
      </c>
      <c r="AC651" s="2" t="s">
        <v>444</v>
      </c>
      <c r="AD651" t="str" cm="1">
        <f t="array" ref="AD65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651" s="2" t="s">
        <v>91</v>
      </c>
      <c r="AF651" s="2" t="s">
        <v>92</v>
      </c>
      <c r="AG651" s="2" t="s">
        <v>274</v>
      </c>
      <c r="AH651" s="2" t="s">
        <v>275</v>
      </c>
      <c r="AJ651" s="2" t="s">
        <v>122</v>
      </c>
      <c r="AK651" s="2" t="s">
        <v>3610</v>
      </c>
      <c r="AN651" s="3">
        <v>1</v>
      </c>
      <c r="AO651" s="3">
        <v>0</v>
      </c>
      <c r="AP651" s="3">
        <v>1</v>
      </c>
      <c r="AQ651" s="3">
        <v>1</v>
      </c>
      <c r="AR651" s="3">
        <v>1</v>
      </c>
      <c r="AS651" s="3">
        <v>0</v>
      </c>
      <c r="AT651" s="3">
        <v>0</v>
      </c>
      <c r="AU651" s="3">
        <v>0</v>
      </c>
      <c r="AV651" s="3">
        <v>1</v>
      </c>
      <c r="AW651" s="3">
        <v>0</v>
      </c>
      <c r="AX651" s="3">
        <v>1</v>
      </c>
      <c r="AY651" s="3">
        <v>0</v>
      </c>
      <c r="AZ651" s="3">
        <v>0</v>
      </c>
      <c r="BA651" s="3">
        <v>1</v>
      </c>
      <c r="BB651" s="3">
        <v>0</v>
      </c>
      <c r="BC651" s="3">
        <v>0</v>
      </c>
      <c r="BD651" s="3">
        <v>3</v>
      </c>
      <c r="BE651" s="3">
        <v>0</v>
      </c>
      <c r="BG651" s="2" t="s">
        <v>91</v>
      </c>
      <c r="BH651" s="3">
        <v>3</v>
      </c>
      <c r="BJ651" s="2" t="s">
        <v>96</v>
      </c>
      <c r="BL651" s="2" t="s">
        <v>446</v>
      </c>
      <c r="BM651" s="2" t="s">
        <v>447</v>
      </c>
      <c r="BN651" s="2" t="s">
        <v>279</v>
      </c>
      <c r="BO651" s="2" t="s">
        <v>280</v>
      </c>
      <c r="BP651" s="2" t="s">
        <v>242</v>
      </c>
      <c r="BQ651" s="2" t="s">
        <v>448</v>
      </c>
      <c r="BR651" s="2" t="s">
        <v>449</v>
      </c>
      <c r="BS651" s="2" t="s">
        <v>450</v>
      </c>
      <c r="BT651" s="2" t="s">
        <v>1030</v>
      </c>
      <c r="BU651" s="2" t="s">
        <v>1031</v>
      </c>
      <c r="BV651" s="2" t="s">
        <v>166</v>
      </c>
      <c r="BW651" s="2" t="s">
        <v>167</v>
      </c>
      <c r="BX651" s="2" t="s">
        <v>91</v>
      </c>
      <c r="BY65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51" s="2">
        <f>IF(AND(Cases[[#This Row],[Priority Level]]&gt;=3,Cases[[#This Row],[System Role]]&lt;&gt;"Productive"),1,0)</f>
        <v>1</v>
      </c>
      <c r="CA651" s="2">
        <f>IFERROR(IF(Cases[[#This Row],[Days at Customer]]&gt;MAX(1,Cases[[#This Row],[Days at SAP]]*2),1,0),0)</f>
        <v>0</v>
      </c>
      <c r="CB651" s="2">
        <f>IF(AND(Cases[[#This Row],[Initial Component]]&lt;&gt;"",Cases[[#This Row],[Component]]&lt;&gt;"",Cases[[#This Row],[Initial Component]]&lt;&gt;Cases[[#This Row],[Component]]),1,0)</f>
        <v>1</v>
      </c>
      <c r="CC651" s="2">
        <f>IF(OR(Cases[[#This Row],[Is Reopened]]="X",Cases[[#This Row],[No. of Reopenings]]&gt;0),1,0)</f>
        <v>1</v>
      </c>
      <c r="CD651" s="2">
        <f>IF(Cases[[#This Row],[Confirmation Type]]="Automatic",1,0)</f>
        <v>1</v>
      </c>
      <c r="CE651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652" spans="1:83" x14ac:dyDescent="0.2">
      <c r="A652" s="1" t="s">
        <v>3611</v>
      </c>
      <c r="B652" s="2" t="s">
        <v>3612</v>
      </c>
      <c r="C652" s="2" t="s">
        <v>203</v>
      </c>
      <c r="D652" s="2" t="s">
        <v>238</v>
      </c>
      <c r="E652" s="3">
        <v>2.2000000000000002</v>
      </c>
      <c r="F652" s="3">
        <v>26.59</v>
      </c>
      <c r="G652" s="2" t="s">
        <v>79</v>
      </c>
      <c r="H652" s="2" t="s">
        <v>290</v>
      </c>
      <c r="I652" s="3" t="s">
        <v>114</v>
      </c>
      <c r="J652" s="3">
        <v>223</v>
      </c>
      <c r="K652" s="2" t="s">
        <v>3613</v>
      </c>
      <c r="L652" s="4">
        <v>46033</v>
      </c>
      <c r="M652" s="4">
        <v>45937</v>
      </c>
      <c r="N652" s="2" t="s">
        <v>2727</v>
      </c>
      <c r="O652" s="2" t="s">
        <v>1805</v>
      </c>
      <c r="P652" s="2" t="s">
        <v>3126</v>
      </c>
      <c r="Q652" s="2" t="s">
        <v>1806</v>
      </c>
      <c r="R652" s="2" t="s">
        <v>205</v>
      </c>
      <c r="S652" s="4">
        <v>45904</v>
      </c>
      <c r="T652" s="2" t="s">
        <v>3264</v>
      </c>
      <c r="U652" s="2" t="s">
        <v>3265</v>
      </c>
      <c r="V652" s="2" t="s">
        <v>3603</v>
      </c>
      <c r="W652" s="2" t="s">
        <v>1806</v>
      </c>
      <c r="X652" s="2" t="s">
        <v>117</v>
      </c>
      <c r="Y652" s="3" t="s">
        <v>118</v>
      </c>
      <c r="Z652" s="3">
        <v>28.79</v>
      </c>
      <c r="AA652" s="2" t="s">
        <v>90</v>
      </c>
      <c r="AB652" s="2" t="s">
        <v>1377</v>
      </c>
      <c r="AC652" s="2" t="s">
        <v>1375</v>
      </c>
      <c r="AD652" t="str" cm="1">
        <f t="array" ref="AD65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652" s="2" t="s">
        <v>91</v>
      </c>
      <c r="AF652" s="2" t="s">
        <v>92</v>
      </c>
      <c r="AG652" s="2" t="s">
        <v>119</v>
      </c>
      <c r="AH652" s="2" t="s">
        <v>120</v>
      </c>
      <c r="AK652" s="2" t="s">
        <v>3614</v>
      </c>
      <c r="AN652" s="3">
        <v>1</v>
      </c>
      <c r="AO652" s="3">
        <v>0</v>
      </c>
      <c r="AP652" s="3">
        <v>1</v>
      </c>
      <c r="AQ652" s="3">
        <v>1</v>
      </c>
      <c r="AR652" s="3">
        <v>1</v>
      </c>
      <c r="AS652" s="3">
        <v>0</v>
      </c>
      <c r="AT652" s="3">
        <v>0</v>
      </c>
      <c r="AU652" s="3">
        <v>0</v>
      </c>
      <c r="AV652" s="3">
        <v>1</v>
      </c>
      <c r="AW652" s="3">
        <v>0</v>
      </c>
      <c r="AX652" s="3">
        <v>1</v>
      </c>
      <c r="AY652" s="3">
        <v>0</v>
      </c>
      <c r="AZ652" s="3">
        <v>0</v>
      </c>
      <c r="BA652" s="3">
        <v>0</v>
      </c>
      <c r="BB652" s="3">
        <v>0</v>
      </c>
      <c r="BC652" s="3">
        <v>1</v>
      </c>
      <c r="BD652" s="3">
        <v>0</v>
      </c>
      <c r="BE652" s="3">
        <v>0</v>
      </c>
      <c r="BG652" s="2" t="s">
        <v>91</v>
      </c>
      <c r="BH652" s="3">
        <v>3</v>
      </c>
      <c r="BI652" s="2" t="s">
        <v>122</v>
      </c>
      <c r="BJ652" s="2" t="s">
        <v>96</v>
      </c>
      <c r="BL652" s="2" t="s">
        <v>123</v>
      </c>
      <c r="BM652" s="2" t="s">
        <v>123</v>
      </c>
      <c r="BN652" s="2" t="s">
        <v>124</v>
      </c>
      <c r="BO652" s="2" t="s">
        <v>125</v>
      </c>
      <c r="BP652" s="2" t="s">
        <v>242</v>
      </c>
      <c r="BQ652" s="2" t="s">
        <v>124</v>
      </c>
      <c r="BR652" s="2" t="s">
        <v>126</v>
      </c>
      <c r="BS652" s="2" t="s">
        <v>127</v>
      </c>
      <c r="BT652" s="2" t="s">
        <v>207</v>
      </c>
      <c r="BU652" s="2" t="s">
        <v>208</v>
      </c>
      <c r="BV652" s="2" t="s">
        <v>150</v>
      </c>
      <c r="BW652" s="2" t="s">
        <v>151</v>
      </c>
      <c r="BX652" s="2" t="s">
        <v>91</v>
      </c>
      <c r="BY65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52" s="2">
        <f>IF(AND(Cases[[#This Row],[Priority Level]]&gt;=3,Cases[[#This Row],[System Role]]&lt;&gt;"Productive"),1,0)</f>
        <v>0</v>
      </c>
      <c r="CA652" s="2">
        <f>IFERROR(IF(Cases[[#This Row],[Days at Customer]]&gt;MAX(1,Cases[[#This Row],[Days at SAP]]*2),1,0),0)</f>
        <v>1</v>
      </c>
      <c r="CB652" s="2">
        <f>IF(AND(Cases[[#This Row],[Initial Component]]&lt;&gt;"",Cases[[#This Row],[Component]]&lt;&gt;"",Cases[[#This Row],[Initial Component]]&lt;&gt;Cases[[#This Row],[Component]]),1,0)</f>
        <v>1</v>
      </c>
      <c r="CC652" s="2">
        <f>IF(OR(Cases[[#This Row],[Is Reopened]]="X",Cases[[#This Row],[No. of Reopenings]]&gt;0),1,0)</f>
        <v>0</v>
      </c>
      <c r="CD652" s="2">
        <f>IF(Cases[[#This Row],[Confirmation Type]]="Automatic",1,0)</f>
        <v>1</v>
      </c>
      <c r="CE652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653" spans="1:83" x14ac:dyDescent="0.2">
      <c r="A653" s="1" t="s">
        <v>3615</v>
      </c>
      <c r="B653" s="2" t="s">
        <v>3616</v>
      </c>
      <c r="C653" s="2" t="s">
        <v>3617</v>
      </c>
      <c r="D653" s="2" t="s">
        <v>78</v>
      </c>
      <c r="E653" s="3">
        <v>18.690000000000001</v>
      </c>
      <c r="F653" s="3">
        <v>36.119999999999997</v>
      </c>
      <c r="G653" s="2" t="s">
        <v>133</v>
      </c>
      <c r="H653" s="2" t="s">
        <v>324</v>
      </c>
      <c r="I653" s="3" t="s">
        <v>114</v>
      </c>
      <c r="J653" s="3">
        <v>224</v>
      </c>
      <c r="K653" s="2" t="s">
        <v>3618</v>
      </c>
      <c r="L653" s="4">
        <v>46054</v>
      </c>
      <c r="M653" s="4">
        <v>45958</v>
      </c>
      <c r="N653" s="2" t="s">
        <v>2727</v>
      </c>
      <c r="O653" s="2" t="s">
        <v>1805</v>
      </c>
      <c r="P653" s="2" t="s">
        <v>2717</v>
      </c>
      <c r="Q653" s="2" t="s">
        <v>1806</v>
      </c>
      <c r="R653" s="2" t="s">
        <v>3619</v>
      </c>
      <c r="S653" s="4">
        <v>45903</v>
      </c>
      <c r="T653" s="2" t="s">
        <v>3264</v>
      </c>
      <c r="U653" s="2" t="s">
        <v>3265</v>
      </c>
      <c r="V653" s="2" t="s">
        <v>3603</v>
      </c>
      <c r="W653" s="2" t="s">
        <v>1806</v>
      </c>
      <c r="X653" s="2" t="s">
        <v>117</v>
      </c>
      <c r="Y653" s="3" t="s">
        <v>118</v>
      </c>
      <c r="Z653" s="3">
        <v>54.81</v>
      </c>
      <c r="AA653" s="2" t="s">
        <v>90</v>
      </c>
      <c r="AB653" s="2" t="s">
        <v>3619</v>
      </c>
      <c r="AC653" s="2" t="s">
        <v>3617</v>
      </c>
      <c r="AD653" t="str" cm="1">
        <f t="array" ref="AD65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ABAP</v>
      </c>
      <c r="AE653" s="2" t="s">
        <v>158</v>
      </c>
      <c r="AF653" s="2" t="s">
        <v>92</v>
      </c>
      <c r="AG653" s="2" t="s">
        <v>119</v>
      </c>
      <c r="AH653" s="2" t="s">
        <v>120</v>
      </c>
      <c r="AK653" s="2" t="s">
        <v>3620</v>
      </c>
      <c r="AN653" s="3">
        <v>1</v>
      </c>
      <c r="AO653" s="3">
        <v>0</v>
      </c>
      <c r="AP653" s="3">
        <v>1</v>
      </c>
      <c r="AQ653" s="3">
        <v>1</v>
      </c>
      <c r="AR653" s="3">
        <v>0</v>
      </c>
      <c r="AS653" s="3">
        <v>1</v>
      </c>
      <c r="AT653" s="3">
        <v>0</v>
      </c>
      <c r="AU653" s="3">
        <v>0</v>
      </c>
      <c r="AV653" s="3">
        <v>0</v>
      </c>
      <c r="AW653" s="3">
        <v>1</v>
      </c>
      <c r="AX653" s="3">
        <v>0</v>
      </c>
      <c r="AY653" s="3">
        <v>1</v>
      </c>
      <c r="AZ653" s="3">
        <v>0</v>
      </c>
      <c r="BA653" s="3">
        <v>1</v>
      </c>
      <c r="BB653" s="3">
        <v>0</v>
      </c>
      <c r="BC653" s="3">
        <v>0</v>
      </c>
      <c r="BD653" s="3">
        <v>0</v>
      </c>
      <c r="BE653" s="3">
        <v>0</v>
      </c>
      <c r="BG653" s="2" t="s">
        <v>158</v>
      </c>
      <c r="BH653" s="3">
        <v>1</v>
      </c>
      <c r="BJ653" s="2" t="s">
        <v>96</v>
      </c>
      <c r="BL653" s="2" t="s">
        <v>123</v>
      </c>
      <c r="BM653" s="2" t="s">
        <v>123</v>
      </c>
      <c r="BN653" s="2" t="s">
        <v>124</v>
      </c>
      <c r="BO653" s="2" t="s">
        <v>125</v>
      </c>
      <c r="BP653" s="2" t="s">
        <v>101</v>
      </c>
      <c r="BQ653" s="2" t="s">
        <v>124</v>
      </c>
      <c r="BR653" s="2" t="s">
        <v>126</v>
      </c>
      <c r="BS653" s="2" t="s">
        <v>127</v>
      </c>
      <c r="BT653" s="2" t="s">
        <v>3621</v>
      </c>
      <c r="BU653" s="2" t="s">
        <v>3622</v>
      </c>
      <c r="BV653" s="2" t="s">
        <v>166</v>
      </c>
      <c r="BW653" s="2" t="s">
        <v>167</v>
      </c>
      <c r="BX653" s="2" t="s">
        <v>158</v>
      </c>
      <c r="BY65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53" s="2">
        <f>IF(AND(Cases[[#This Row],[Priority Level]]&gt;=3,Cases[[#This Row],[System Role]]&lt;&gt;"Productive"),1,0)</f>
        <v>0</v>
      </c>
      <c r="CA653" s="2">
        <f>IFERROR(IF(Cases[[#This Row],[Days at Customer]]&gt;MAX(1,Cases[[#This Row],[Days at SAP]]*2),1,0),0)</f>
        <v>0</v>
      </c>
      <c r="CB653" s="2">
        <f>IF(AND(Cases[[#This Row],[Initial Component]]&lt;&gt;"",Cases[[#This Row],[Component]]&lt;&gt;"",Cases[[#This Row],[Initial Component]]&lt;&gt;Cases[[#This Row],[Component]]),1,0)</f>
        <v>0</v>
      </c>
      <c r="CC653" s="2">
        <f>IF(OR(Cases[[#This Row],[Is Reopened]]="X",Cases[[#This Row],[No. of Reopenings]]&gt;0),1,0)</f>
        <v>0</v>
      </c>
      <c r="CD653" s="2">
        <f>IF(Cases[[#This Row],[Confirmation Type]]="Automatic",1,0)</f>
        <v>0</v>
      </c>
      <c r="CE653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654" spans="1:83" x14ac:dyDescent="0.2">
      <c r="A654" s="1" t="s">
        <v>3623</v>
      </c>
      <c r="B654" s="2" t="s">
        <v>3624</v>
      </c>
      <c r="C654" s="2" t="s">
        <v>1381</v>
      </c>
      <c r="D654" s="2" t="s">
        <v>238</v>
      </c>
      <c r="E654" s="3">
        <v>15.08</v>
      </c>
      <c r="F654" s="3">
        <v>50.26</v>
      </c>
      <c r="G654" s="2" t="s">
        <v>79</v>
      </c>
      <c r="H654" s="2" t="s">
        <v>178</v>
      </c>
      <c r="I654" s="3" t="s">
        <v>114</v>
      </c>
      <c r="J654" s="3">
        <v>224</v>
      </c>
      <c r="K654" s="2" t="s">
        <v>3625</v>
      </c>
      <c r="L654" s="4">
        <v>46061</v>
      </c>
      <c r="M654" s="4">
        <v>45968</v>
      </c>
      <c r="N654" s="2" t="s">
        <v>2274</v>
      </c>
      <c r="O654" s="2" t="s">
        <v>1805</v>
      </c>
      <c r="P654" s="2" t="s">
        <v>2583</v>
      </c>
      <c r="Q654" s="2" t="s">
        <v>1806</v>
      </c>
      <c r="R654" s="2" t="s">
        <v>1383</v>
      </c>
      <c r="S654" s="4">
        <v>45903</v>
      </c>
      <c r="T654" s="2" t="s">
        <v>3264</v>
      </c>
      <c r="U654" s="2" t="s">
        <v>3265</v>
      </c>
      <c r="V654" s="2" t="s">
        <v>3603</v>
      </c>
      <c r="W654" s="2" t="s">
        <v>1806</v>
      </c>
      <c r="X654" s="2" t="s">
        <v>117</v>
      </c>
      <c r="Y654" s="3" t="s">
        <v>118</v>
      </c>
      <c r="Z654" s="3">
        <v>65.34</v>
      </c>
      <c r="AA654" s="2" t="s">
        <v>90</v>
      </c>
      <c r="AB654" s="2" t="s">
        <v>363</v>
      </c>
      <c r="AC654" s="2" t="s">
        <v>364</v>
      </c>
      <c r="AD654" t="str" cm="1">
        <f t="array" ref="AD65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654" s="2" t="s">
        <v>139</v>
      </c>
      <c r="AF654" s="2" t="s">
        <v>92</v>
      </c>
      <c r="AG654" s="2" t="s">
        <v>119</v>
      </c>
      <c r="AH654" s="2" t="s">
        <v>120</v>
      </c>
      <c r="AK654" s="2" t="s">
        <v>3626</v>
      </c>
      <c r="AN654" s="3">
        <v>1</v>
      </c>
      <c r="AO654" s="3">
        <v>0</v>
      </c>
      <c r="AP654" s="3">
        <v>1</v>
      </c>
      <c r="AQ654" s="3">
        <v>1</v>
      </c>
      <c r="AR654" s="3">
        <v>0</v>
      </c>
      <c r="AS654" s="3">
        <v>0</v>
      </c>
      <c r="AT654" s="3">
        <v>1</v>
      </c>
      <c r="AU654" s="3">
        <v>0</v>
      </c>
      <c r="AV654" s="3">
        <v>1</v>
      </c>
      <c r="AW654" s="3">
        <v>0</v>
      </c>
      <c r="AX654" s="3">
        <v>0</v>
      </c>
      <c r="AY654" s="3">
        <v>0</v>
      </c>
      <c r="AZ654" s="3">
        <v>1</v>
      </c>
      <c r="BA654" s="3">
        <v>1</v>
      </c>
      <c r="BB654" s="3">
        <v>0</v>
      </c>
      <c r="BC654" s="3">
        <v>0</v>
      </c>
      <c r="BD654" s="3">
        <v>0</v>
      </c>
      <c r="BE654" s="3">
        <v>0</v>
      </c>
      <c r="BG654" s="2" t="s">
        <v>139</v>
      </c>
      <c r="BH654" s="3">
        <v>2</v>
      </c>
      <c r="BJ654" s="2" t="s">
        <v>96</v>
      </c>
      <c r="BL654" s="2" t="s">
        <v>123</v>
      </c>
      <c r="BM654" s="2" t="s">
        <v>123</v>
      </c>
      <c r="BN654" s="2" t="s">
        <v>124</v>
      </c>
      <c r="BO654" s="2" t="s">
        <v>125</v>
      </c>
      <c r="BP654" s="2" t="s">
        <v>242</v>
      </c>
      <c r="BQ654" s="2" t="s">
        <v>124</v>
      </c>
      <c r="BR654" s="2" t="s">
        <v>126</v>
      </c>
      <c r="BS654" s="2" t="s">
        <v>127</v>
      </c>
      <c r="BT654" s="2" t="s">
        <v>199</v>
      </c>
      <c r="BU654" s="2" t="s">
        <v>200</v>
      </c>
      <c r="BV654" s="2" t="s">
        <v>166</v>
      </c>
      <c r="BW654" s="2" t="s">
        <v>167</v>
      </c>
      <c r="BX654" s="2" t="s">
        <v>139</v>
      </c>
      <c r="BY65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54" s="2">
        <f>IF(AND(Cases[[#This Row],[Priority Level]]&gt;=3,Cases[[#This Row],[System Role]]&lt;&gt;"Productive"),1,0)</f>
        <v>0</v>
      </c>
      <c r="CA654" s="2">
        <f>IFERROR(IF(Cases[[#This Row],[Days at Customer]]&gt;MAX(1,Cases[[#This Row],[Days at SAP]]*2),1,0),0)</f>
        <v>1</v>
      </c>
      <c r="CB654" s="2">
        <f>IF(AND(Cases[[#This Row],[Initial Component]]&lt;&gt;"",Cases[[#This Row],[Component]]&lt;&gt;"",Cases[[#This Row],[Initial Component]]&lt;&gt;Cases[[#This Row],[Component]]),1,0)</f>
        <v>1</v>
      </c>
      <c r="CC654" s="2">
        <f>IF(OR(Cases[[#This Row],[Is Reopened]]="X",Cases[[#This Row],[No. of Reopenings]]&gt;0),1,0)</f>
        <v>0</v>
      </c>
      <c r="CD654" s="2">
        <f>IF(Cases[[#This Row],[Confirmation Type]]="Automatic",1,0)</f>
        <v>1</v>
      </c>
      <c r="CE654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655" spans="1:83" x14ac:dyDescent="0.2">
      <c r="A655" s="1" t="s">
        <v>3627</v>
      </c>
      <c r="B655" s="2" t="s">
        <v>3628</v>
      </c>
      <c r="C655" s="2" t="s">
        <v>1122</v>
      </c>
      <c r="D655" s="2" t="s">
        <v>238</v>
      </c>
      <c r="E655" s="3">
        <v>11.46</v>
      </c>
      <c r="F655" s="3">
        <v>60.26</v>
      </c>
      <c r="G655" s="2" t="s">
        <v>79</v>
      </c>
      <c r="H655" s="2" t="s">
        <v>80</v>
      </c>
      <c r="I655" s="3" t="s">
        <v>81</v>
      </c>
      <c r="J655" s="3">
        <v>225</v>
      </c>
      <c r="K655" s="2" t="s">
        <v>3629</v>
      </c>
      <c r="L655" s="4">
        <v>46009</v>
      </c>
      <c r="M655" s="4">
        <v>45974</v>
      </c>
      <c r="N655" s="2" t="s">
        <v>2274</v>
      </c>
      <c r="O655" s="2" t="s">
        <v>1805</v>
      </c>
      <c r="P655" s="2" t="s">
        <v>2467</v>
      </c>
      <c r="Q655" s="2" t="s">
        <v>1806</v>
      </c>
      <c r="R655" s="2" t="s">
        <v>1124</v>
      </c>
      <c r="S655" s="4">
        <v>45902</v>
      </c>
      <c r="T655" s="2" t="s">
        <v>3264</v>
      </c>
      <c r="U655" s="2" t="s">
        <v>3265</v>
      </c>
      <c r="V655" s="2" t="s">
        <v>3603</v>
      </c>
      <c r="W655" s="2" t="s">
        <v>1806</v>
      </c>
      <c r="X655" s="2" t="s">
        <v>88</v>
      </c>
      <c r="Y655" s="3" t="s">
        <v>89</v>
      </c>
      <c r="Z655" s="3">
        <v>71.72</v>
      </c>
      <c r="AA655" s="2" t="s">
        <v>90</v>
      </c>
      <c r="AB655" s="2" t="s">
        <v>1124</v>
      </c>
      <c r="AC655" s="2" t="s">
        <v>1122</v>
      </c>
      <c r="AD655" t="str" cm="1">
        <f t="array" ref="AD65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655" s="2" t="s">
        <v>91</v>
      </c>
      <c r="AF655" s="2" t="s">
        <v>92</v>
      </c>
      <c r="AG655" s="2" t="s">
        <v>93</v>
      </c>
      <c r="AH655" s="2" t="s">
        <v>94</v>
      </c>
      <c r="AK655" s="2" t="s">
        <v>3630</v>
      </c>
      <c r="AN655" s="3">
        <v>1</v>
      </c>
      <c r="AO655" s="3">
        <v>0</v>
      </c>
      <c r="AP655" s="3">
        <v>1</v>
      </c>
      <c r="AQ655" s="3">
        <v>1</v>
      </c>
      <c r="AR655" s="3">
        <v>1</v>
      </c>
      <c r="AS655" s="3">
        <v>0</v>
      </c>
      <c r="AT655" s="3">
        <v>0</v>
      </c>
      <c r="AU655" s="3">
        <v>0</v>
      </c>
      <c r="AV655" s="3">
        <v>1</v>
      </c>
      <c r="AW655" s="3">
        <v>0</v>
      </c>
      <c r="AX655" s="3">
        <v>1</v>
      </c>
      <c r="AY655" s="3">
        <v>0</v>
      </c>
      <c r="AZ655" s="3">
        <v>0</v>
      </c>
      <c r="BA655" s="3">
        <v>0</v>
      </c>
      <c r="BB655" s="3">
        <v>0</v>
      </c>
      <c r="BC655" s="3">
        <v>1</v>
      </c>
      <c r="BD655" s="3">
        <v>0</v>
      </c>
      <c r="BE655" s="3">
        <v>0</v>
      </c>
      <c r="BG655" s="2" t="s">
        <v>91</v>
      </c>
      <c r="BH655" s="3">
        <v>3</v>
      </c>
      <c r="BJ655" s="2" t="s">
        <v>96</v>
      </c>
      <c r="BL655" s="2" t="s">
        <v>184</v>
      </c>
      <c r="BM655" s="2" t="s">
        <v>184</v>
      </c>
      <c r="BN655" s="2" t="s">
        <v>124</v>
      </c>
      <c r="BO655" s="2" t="s">
        <v>125</v>
      </c>
      <c r="BP655" s="2" t="s">
        <v>242</v>
      </c>
      <c r="BQ655" s="2" t="s">
        <v>124</v>
      </c>
      <c r="BR655" s="2" t="s">
        <v>126</v>
      </c>
      <c r="BS655" s="2" t="s">
        <v>127</v>
      </c>
      <c r="BT655" s="2" t="s">
        <v>185</v>
      </c>
      <c r="BU655" s="2" t="s">
        <v>186</v>
      </c>
      <c r="BV655" s="2" t="s">
        <v>150</v>
      </c>
      <c r="BW655" s="2" t="s">
        <v>151</v>
      </c>
      <c r="BX655" s="2" t="s">
        <v>91</v>
      </c>
      <c r="BY65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55" s="2">
        <f>IF(AND(Cases[[#This Row],[Priority Level]]&gt;=3,Cases[[#This Row],[System Role]]&lt;&gt;"Productive"),1,0)</f>
        <v>0</v>
      </c>
      <c r="CA655" s="2">
        <f>IFERROR(IF(Cases[[#This Row],[Days at Customer]]&gt;MAX(1,Cases[[#This Row],[Days at SAP]]*2),1,0),0)</f>
        <v>1</v>
      </c>
      <c r="CB655" s="2">
        <f>IF(AND(Cases[[#This Row],[Initial Component]]&lt;&gt;"",Cases[[#This Row],[Component]]&lt;&gt;"",Cases[[#This Row],[Initial Component]]&lt;&gt;Cases[[#This Row],[Component]]),1,0)</f>
        <v>0</v>
      </c>
      <c r="CC655" s="2">
        <f>IF(OR(Cases[[#This Row],[Is Reopened]]="X",Cases[[#This Row],[No. of Reopenings]]&gt;0),1,0)</f>
        <v>0</v>
      </c>
      <c r="CD655" s="2">
        <f>IF(Cases[[#This Row],[Confirmation Type]]="Automatic",1,0)</f>
        <v>1</v>
      </c>
      <c r="CE655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56" spans="1:83" x14ac:dyDescent="0.2">
      <c r="A656" s="1" t="s">
        <v>3631</v>
      </c>
      <c r="B656" s="2" t="s">
        <v>3632</v>
      </c>
      <c r="C656" s="2" t="s">
        <v>3633</v>
      </c>
      <c r="D656" s="2" t="s">
        <v>78</v>
      </c>
      <c r="E656" s="3">
        <v>14.21</v>
      </c>
      <c r="F656" s="3">
        <v>21.71</v>
      </c>
      <c r="G656" s="2" t="s">
        <v>113</v>
      </c>
      <c r="H656" s="2" t="s">
        <v>113</v>
      </c>
      <c r="I656" s="3" t="s">
        <v>114</v>
      </c>
      <c r="J656" s="3">
        <v>225</v>
      </c>
      <c r="K656" s="2" t="s">
        <v>3634</v>
      </c>
      <c r="L656" s="4">
        <v>46033</v>
      </c>
      <c r="M656" s="4">
        <v>45938</v>
      </c>
      <c r="N656" s="2" t="s">
        <v>2727</v>
      </c>
      <c r="O656" s="2" t="s">
        <v>1805</v>
      </c>
      <c r="P656" s="2" t="s">
        <v>3126</v>
      </c>
      <c r="Q656" s="2" t="s">
        <v>1806</v>
      </c>
      <c r="R656" s="2" t="s">
        <v>3635</v>
      </c>
      <c r="S656" s="4">
        <v>45902</v>
      </c>
      <c r="T656" s="2" t="s">
        <v>3264</v>
      </c>
      <c r="U656" s="2" t="s">
        <v>3265</v>
      </c>
      <c r="V656" s="2" t="s">
        <v>3603</v>
      </c>
      <c r="W656" s="2" t="s">
        <v>1806</v>
      </c>
      <c r="X656" s="2" t="s">
        <v>117</v>
      </c>
      <c r="Y656" s="3" t="s">
        <v>118</v>
      </c>
      <c r="Z656" s="3">
        <v>35.92</v>
      </c>
      <c r="AA656" s="2" t="s">
        <v>138</v>
      </c>
      <c r="AB656" s="2" t="s">
        <v>3635</v>
      </c>
      <c r="AC656" s="2" t="s">
        <v>3633</v>
      </c>
      <c r="AD656" t="str" cm="1">
        <f t="array" ref="AD65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656" s="2" t="s">
        <v>91</v>
      </c>
      <c r="AF656" s="2" t="s">
        <v>92</v>
      </c>
      <c r="AG656" s="2" t="s">
        <v>140</v>
      </c>
      <c r="AH656" s="2" t="s">
        <v>141</v>
      </c>
      <c r="AK656" s="2" t="s">
        <v>3636</v>
      </c>
      <c r="AN656" s="3">
        <v>1</v>
      </c>
      <c r="AO656" s="3">
        <v>0</v>
      </c>
      <c r="AP656" s="3">
        <v>1</v>
      </c>
      <c r="AQ656" s="3">
        <v>1</v>
      </c>
      <c r="AR656" s="3">
        <v>1</v>
      </c>
      <c r="AS656" s="3">
        <v>0</v>
      </c>
      <c r="AT656" s="3">
        <v>0</v>
      </c>
      <c r="AU656" s="3">
        <v>0</v>
      </c>
      <c r="AV656" s="3">
        <v>0</v>
      </c>
      <c r="AW656" s="3">
        <v>1</v>
      </c>
      <c r="AX656" s="3">
        <v>1</v>
      </c>
      <c r="AY656" s="3">
        <v>0</v>
      </c>
      <c r="AZ656" s="3">
        <v>0</v>
      </c>
      <c r="BA656" s="3">
        <v>0</v>
      </c>
      <c r="BB656" s="3">
        <v>0</v>
      </c>
      <c r="BC656" s="3">
        <v>1</v>
      </c>
      <c r="BD656" s="3">
        <v>0</v>
      </c>
      <c r="BE656" s="3">
        <v>0</v>
      </c>
      <c r="BG656" s="2" t="s">
        <v>91</v>
      </c>
      <c r="BH656" s="3">
        <v>3</v>
      </c>
      <c r="BJ656" s="2" t="s">
        <v>96</v>
      </c>
      <c r="BL656" s="2" t="s">
        <v>143</v>
      </c>
      <c r="BM656" s="2" t="s">
        <v>144</v>
      </c>
      <c r="BN656" s="2" t="s">
        <v>99</v>
      </c>
      <c r="BO656" s="2" t="s">
        <v>100</v>
      </c>
      <c r="BP656" s="2" t="s">
        <v>101</v>
      </c>
      <c r="BQ656" s="2" t="s">
        <v>145</v>
      </c>
      <c r="BR656" s="2" t="s">
        <v>146</v>
      </c>
      <c r="BS656" s="2" t="s">
        <v>147</v>
      </c>
      <c r="BT656" s="2" t="s">
        <v>148</v>
      </c>
      <c r="BU656" s="2" t="s">
        <v>149</v>
      </c>
      <c r="BV656" s="2" t="s">
        <v>150</v>
      </c>
      <c r="BW656" s="2" t="s">
        <v>151</v>
      </c>
      <c r="BX656" s="2" t="s">
        <v>91</v>
      </c>
      <c r="BY65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56" s="2">
        <f>IF(AND(Cases[[#This Row],[Priority Level]]&gt;=3,Cases[[#This Row],[System Role]]&lt;&gt;"Productive"),1,0)</f>
        <v>0</v>
      </c>
      <c r="CA656" s="2">
        <f>IFERROR(IF(Cases[[#This Row],[Days at Customer]]&gt;MAX(1,Cases[[#This Row],[Days at SAP]]*2),1,0),0)</f>
        <v>0</v>
      </c>
      <c r="CB656" s="2">
        <f>IF(AND(Cases[[#This Row],[Initial Component]]&lt;&gt;"",Cases[[#This Row],[Component]]&lt;&gt;"",Cases[[#This Row],[Initial Component]]&lt;&gt;Cases[[#This Row],[Component]]),1,0)</f>
        <v>0</v>
      </c>
      <c r="CC656" s="2">
        <f>IF(OR(Cases[[#This Row],[Is Reopened]]="X",Cases[[#This Row],[No. of Reopenings]]&gt;0),1,0)</f>
        <v>0</v>
      </c>
      <c r="CD656" s="2">
        <f>IF(Cases[[#This Row],[Confirmation Type]]="Automatic",1,0)</f>
        <v>0</v>
      </c>
      <c r="CE656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657" spans="1:83" x14ac:dyDescent="0.2">
      <c r="A657" s="1" t="s">
        <v>3637</v>
      </c>
      <c r="B657" s="2" t="s">
        <v>3638</v>
      </c>
      <c r="C657" s="2" t="s">
        <v>2527</v>
      </c>
      <c r="D657" s="2" t="s">
        <v>238</v>
      </c>
      <c r="E657" s="3">
        <v>10.57</v>
      </c>
      <c r="F657" s="3">
        <v>32.090000000000003</v>
      </c>
      <c r="G657" s="2" t="s">
        <v>79</v>
      </c>
      <c r="H657" s="2" t="s">
        <v>80</v>
      </c>
      <c r="I657" s="3" t="s">
        <v>114</v>
      </c>
      <c r="J657" s="3">
        <v>226</v>
      </c>
      <c r="K657" s="2" t="s">
        <v>3639</v>
      </c>
      <c r="L657" s="4">
        <v>46040</v>
      </c>
      <c r="M657" s="4">
        <v>45943</v>
      </c>
      <c r="N657" s="2" t="s">
        <v>2727</v>
      </c>
      <c r="O657" s="2" t="s">
        <v>1805</v>
      </c>
      <c r="P657" s="2" t="s">
        <v>2936</v>
      </c>
      <c r="Q657" s="2" t="s">
        <v>1806</v>
      </c>
      <c r="R657" s="2" t="s">
        <v>2529</v>
      </c>
      <c r="S657" s="4">
        <v>45901</v>
      </c>
      <c r="T657" s="2" t="s">
        <v>3264</v>
      </c>
      <c r="U657" s="2" t="s">
        <v>3265</v>
      </c>
      <c r="V657" s="2" t="s">
        <v>3603</v>
      </c>
      <c r="W657" s="2" t="s">
        <v>1806</v>
      </c>
      <c r="X657" s="2" t="s">
        <v>117</v>
      </c>
      <c r="Y657" s="3" t="s">
        <v>118</v>
      </c>
      <c r="Z657" s="3">
        <v>42.66</v>
      </c>
      <c r="AA657" s="2" t="s">
        <v>90</v>
      </c>
      <c r="AB657" s="2" t="s">
        <v>3640</v>
      </c>
      <c r="AC657" s="2" t="s">
        <v>3641</v>
      </c>
      <c r="AD657" t="str" cm="1">
        <f t="array" ref="AD65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657" s="2" t="s">
        <v>139</v>
      </c>
      <c r="AF657" s="2" t="s">
        <v>92</v>
      </c>
      <c r="AG657" s="2" t="s">
        <v>159</v>
      </c>
      <c r="AH657" s="2" t="s">
        <v>160</v>
      </c>
      <c r="AK657" s="2" t="s">
        <v>3642</v>
      </c>
      <c r="AN657" s="3">
        <v>1</v>
      </c>
      <c r="AO657" s="3">
        <v>0</v>
      </c>
      <c r="AP657" s="3">
        <v>1</v>
      </c>
      <c r="AQ657" s="3">
        <v>1</v>
      </c>
      <c r="AR657" s="3">
        <v>0</v>
      </c>
      <c r="AS657" s="3">
        <v>0</v>
      </c>
      <c r="AT657" s="3">
        <v>1</v>
      </c>
      <c r="AU657" s="3">
        <v>0</v>
      </c>
      <c r="AV657" s="3">
        <v>1</v>
      </c>
      <c r="AW657" s="3">
        <v>0</v>
      </c>
      <c r="AX657" s="3">
        <v>0</v>
      </c>
      <c r="AY657" s="3">
        <v>0</v>
      </c>
      <c r="AZ657" s="3">
        <v>1</v>
      </c>
      <c r="BA657" s="3">
        <v>0</v>
      </c>
      <c r="BB657" s="3">
        <v>0</v>
      </c>
      <c r="BC657" s="3">
        <v>1</v>
      </c>
      <c r="BD657" s="3">
        <v>0</v>
      </c>
      <c r="BE657" s="3">
        <v>0</v>
      </c>
      <c r="BG657" s="2" t="s">
        <v>139</v>
      </c>
      <c r="BH657" s="3">
        <v>2</v>
      </c>
      <c r="BJ657" s="2" t="s">
        <v>96</v>
      </c>
      <c r="BL657" s="2" t="s">
        <v>97</v>
      </c>
      <c r="BM657" s="2" t="s">
        <v>98</v>
      </c>
      <c r="BN657" s="2" t="s">
        <v>99</v>
      </c>
      <c r="BO657" s="2" t="s">
        <v>100</v>
      </c>
      <c r="BP657" s="2" t="s">
        <v>242</v>
      </c>
      <c r="BQ657" s="2" t="s">
        <v>102</v>
      </c>
      <c r="BR657" s="2" t="s">
        <v>103</v>
      </c>
      <c r="BS657" s="2" t="s">
        <v>127</v>
      </c>
      <c r="BT657" s="2" t="s">
        <v>1427</v>
      </c>
      <c r="BU657" s="2" t="s">
        <v>1428</v>
      </c>
      <c r="BV657" s="2" t="s">
        <v>150</v>
      </c>
      <c r="BW657" s="2" t="s">
        <v>151</v>
      </c>
      <c r="BX657" s="2" t="s">
        <v>139</v>
      </c>
      <c r="BY65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57" s="2">
        <f>IF(AND(Cases[[#This Row],[Priority Level]]&gt;=3,Cases[[#This Row],[System Role]]&lt;&gt;"Productive"),1,0)</f>
        <v>0</v>
      </c>
      <c r="CA657" s="2">
        <f>IFERROR(IF(Cases[[#This Row],[Days at Customer]]&gt;MAX(1,Cases[[#This Row],[Days at SAP]]*2),1,0),0)</f>
        <v>1</v>
      </c>
      <c r="CB657" s="2">
        <f>IF(AND(Cases[[#This Row],[Initial Component]]&lt;&gt;"",Cases[[#This Row],[Component]]&lt;&gt;"",Cases[[#This Row],[Initial Component]]&lt;&gt;Cases[[#This Row],[Component]]),1,0)</f>
        <v>1</v>
      </c>
      <c r="CC657" s="2">
        <f>IF(OR(Cases[[#This Row],[Is Reopened]]="X",Cases[[#This Row],[No. of Reopenings]]&gt;0),1,0)</f>
        <v>0</v>
      </c>
      <c r="CD657" s="2">
        <f>IF(Cases[[#This Row],[Confirmation Type]]="Automatic",1,0)</f>
        <v>1</v>
      </c>
      <c r="CE65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58" spans="1:83" x14ac:dyDescent="0.2">
      <c r="A658" s="1" t="s">
        <v>3643</v>
      </c>
      <c r="B658" s="2" t="s">
        <v>3644</v>
      </c>
      <c r="C658" s="2" t="s">
        <v>604</v>
      </c>
      <c r="D658" s="2" t="s">
        <v>238</v>
      </c>
      <c r="E658" s="3">
        <v>7.84</v>
      </c>
      <c r="F658" s="3">
        <v>29.76</v>
      </c>
      <c r="G658" s="2" t="s">
        <v>113</v>
      </c>
      <c r="H658" s="2" t="s">
        <v>113</v>
      </c>
      <c r="I658" s="3" t="s">
        <v>114</v>
      </c>
      <c r="J658" s="3">
        <v>226</v>
      </c>
      <c r="K658" s="2" t="s">
        <v>3645</v>
      </c>
      <c r="L658" s="4">
        <v>46033</v>
      </c>
      <c r="M658" s="4">
        <v>45939</v>
      </c>
      <c r="N658" s="2" t="s">
        <v>2727</v>
      </c>
      <c r="O658" s="2" t="s">
        <v>1805</v>
      </c>
      <c r="P658" s="2" t="s">
        <v>3126</v>
      </c>
      <c r="Q658" s="2" t="s">
        <v>1806</v>
      </c>
      <c r="R658" s="2" t="s">
        <v>606</v>
      </c>
      <c r="S658" s="4">
        <v>45901</v>
      </c>
      <c r="T658" s="2" t="s">
        <v>3264</v>
      </c>
      <c r="U658" s="2" t="s">
        <v>3265</v>
      </c>
      <c r="V658" s="2" t="s">
        <v>3603</v>
      </c>
      <c r="W658" s="2" t="s">
        <v>1806</v>
      </c>
      <c r="X658" s="2" t="s">
        <v>117</v>
      </c>
      <c r="Y658" s="3" t="s">
        <v>118</v>
      </c>
      <c r="Z658" s="3">
        <v>37.6</v>
      </c>
      <c r="AA658" s="2" t="s">
        <v>90</v>
      </c>
      <c r="AB658" s="2" t="s">
        <v>606</v>
      </c>
      <c r="AC658" s="2" t="s">
        <v>604</v>
      </c>
      <c r="AD658" t="str" cm="1">
        <f t="array" ref="AD65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658" s="2" t="s">
        <v>91</v>
      </c>
      <c r="AF658" s="2" t="s">
        <v>92</v>
      </c>
      <c r="AG658" s="2" t="s">
        <v>119</v>
      </c>
      <c r="AH658" s="2" t="s">
        <v>120</v>
      </c>
      <c r="AK658" s="2" t="s">
        <v>3646</v>
      </c>
      <c r="AN658" s="3">
        <v>1</v>
      </c>
      <c r="AO658" s="3">
        <v>0</v>
      </c>
      <c r="AP658" s="3">
        <v>1</v>
      </c>
      <c r="AQ658" s="3">
        <v>1</v>
      </c>
      <c r="AR658" s="3">
        <v>1</v>
      </c>
      <c r="AS658" s="3">
        <v>0</v>
      </c>
      <c r="AT658" s="3">
        <v>0</v>
      </c>
      <c r="AU658" s="3">
        <v>0</v>
      </c>
      <c r="AV658" s="3">
        <v>1</v>
      </c>
      <c r="AW658" s="3">
        <v>0</v>
      </c>
      <c r="AX658" s="3">
        <v>1</v>
      </c>
      <c r="AY658" s="3">
        <v>0</v>
      </c>
      <c r="AZ658" s="3">
        <v>0</v>
      </c>
      <c r="BA658" s="3">
        <v>1</v>
      </c>
      <c r="BB658" s="3">
        <v>0</v>
      </c>
      <c r="BC658" s="3">
        <v>0</v>
      </c>
      <c r="BD658" s="3">
        <v>0</v>
      </c>
      <c r="BE658" s="3">
        <v>0</v>
      </c>
      <c r="BG658" s="2" t="s">
        <v>91</v>
      </c>
      <c r="BH658" s="3">
        <v>3</v>
      </c>
      <c r="BJ658" s="2" t="s">
        <v>96</v>
      </c>
      <c r="BL658" s="2" t="s">
        <v>123</v>
      </c>
      <c r="BM658" s="2" t="s">
        <v>123</v>
      </c>
      <c r="BN658" s="2" t="s">
        <v>124</v>
      </c>
      <c r="BO658" s="2" t="s">
        <v>125</v>
      </c>
      <c r="BP658" s="2" t="s">
        <v>242</v>
      </c>
      <c r="BQ658" s="2" t="s">
        <v>124</v>
      </c>
      <c r="BR658" s="2" t="s">
        <v>126</v>
      </c>
      <c r="BS658" s="2" t="s">
        <v>127</v>
      </c>
      <c r="BT658" s="2" t="s">
        <v>2343</v>
      </c>
      <c r="BU658" s="2" t="s">
        <v>2344</v>
      </c>
      <c r="BV658" s="2" t="s">
        <v>107</v>
      </c>
      <c r="BW658" s="2" t="s">
        <v>108</v>
      </c>
      <c r="BX658" s="2" t="s">
        <v>91</v>
      </c>
      <c r="BY65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58" s="2">
        <f>IF(AND(Cases[[#This Row],[Priority Level]]&gt;=3,Cases[[#This Row],[System Role]]&lt;&gt;"Productive"),1,0)</f>
        <v>1</v>
      </c>
      <c r="CA658" s="2">
        <f>IFERROR(IF(Cases[[#This Row],[Days at Customer]]&gt;MAX(1,Cases[[#This Row],[Days at SAP]]*2),1,0),0)</f>
        <v>1</v>
      </c>
      <c r="CB658" s="2">
        <f>IF(AND(Cases[[#This Row],[Initial Component]]&lt;&gt;"",Cases[[#This Row],[Component]]&lt;&gt;"",Cases[[#This Row],[Initial Component]]&lt;&gt;Cases[[#This Row],[Component]]),1,0)</f>
        <v>0</v>
      </c>
      <c r="CC658" s="2">
        <f>IF(OR(Cases[[#This Row],[Is Reopened]]="X",Cases[[#This Row],[No. of Reopenings]]&gt;0),1,0)</f>
        <v>0</v>
      </c>
      <c r="CD658" s="2">
        <f>IF(Cases[[#This Row],[Confirmation Type]]="Automatic",1,0)</f>
        <v>1</v>
      </c>
      <c r="CE658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59" spans="1:83" x14ac:dyDescent="0.2">
      <c r="A659" s="1" t="s">
        <v>3647</v>
      </c>
      <c r="B659" s="2" t="s">
        <v>3648</v>
      </c>
      <c r="C659" s="2" t="s">
        <v>2961</v>
      </c>
      <c r="D659" s="2" t="s">
        <v>238</v>
      </c>
      <c r="E659" s="3">
        <v>3.17</v>
      </c>
      <c r="F659" s="3">
        <v>36.130000000000003</v>
      </c>
      <c r="G659" s="2" t="s">
        <v>79</v>
      </c>
      <c r="H659" s="2" t="s">
        <v>732</v>
      </c>
      <c r="I659" s="3" t="s">
        <v>114</v>
      </c>
      <c r="J659" s="3">
        <v>226</v>
      </c>
      <c r="K659" s="2" t="s">
        <v>3649</v>
      </c>
      <c r="L659" s="4">
        <v>46033</v>
      </c>
      <c r="M659" s="4">
        <v>45940</v>
      </c>
      <c r="N659" s="2" t="s">
        <v>2727</v>
      </c>
      <c r="O659" s="2" t="s">
        <v>1805</v>
      </c>
      <c r="P659" s="2" t="s">
        <v>3126</v>
      </c>
      <c r="Q659" s="2" t="s">
        <v>1806</v>
      </c>
      <c r="R659" s="2" t="s">
        <v>2824</v>
      </c>
      <c r="S659" s="4">
        <v>45901</v>
      </c>
      <c r="T659" s="2" t="s">
        <v>3264</v>
      </c>
      <c r="U659" s="2" t="s">
        <v>3265</v>
      </c>
      <c r="V659" s="2" t="s">
        <v>3603</v>
      </c>
      <c r="W659" s="2" t="s">
        <v>1806</v>
      </c>
      <c r="X659" s="2" t="s">
        <v>117</v>
      </c>
      <c r="Y659" s="3" t="s">
        <v>118</v>
      </c>
      <c r="Z659" s="3">
        <v>39.29</v>
      </c>
      <c r="AA659" s="2" t="s">
        <v>90</v>
      </c>
      <c r="AB659" s="2" t="s">
        <v>3650</v>
      </c>
      <c r="AC659" s="2" t="s">
        <v>3651</v>
      </c>
      <c r="AD659" t="str" cm="1">
        <f t="array" ref="AD65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659" s="2" t="s">
        <v>91</v>
      </c>
      <c r="AF659" s="2" t="s">
        <v>92</v>
      </c>
      <c r="AG659" s="2" t="s">
        <v>119</v>
      </c>
      <c r="AH659" s="2" t="s">
        <v>120</v>
      </c>
      <c r="AK659" s="2" t="s">
        <v>3652</v>
      </c>
      <c r="AN659" s="3">
        <v>1</v>
      </c>
      <c r="AO659" s="3">
        <v>0</v>
      </c>
      <c r="AP659" s="3">
        <v>1</v>
      </c>
      <c r="AQ659" s="3">
        <v>1</v>
      </c>
      <c r="AR659" s="3">
        <v>1</v>
      </c>
      <c r="AS659" s="3">
        <v>0</v>
      </c>
      <c r="AT659" s="3">
        <v>0</v>
      </c>
      <c r="AU659" s="3">
        <v>0</v>
      </c>
      <c r="AV659" s="3">
        <v>1</v>
      </c>
      <c r="AW659" s="3">
        <v>0</v>
      </c>
      <c r="AX659" s="3">
        <v>1</v>
      </c>
      <c r="AY659" s="3">
        <v>0</v>
      </c>
      <c r="AZ659" s="3">
        <v>0</v>
      </c>
      <c r="BA659" s="3">
        <v>0</v>
      </c>
      <c r="BB659" s="3">
        <v>0</v>
      </c>
      <c r="BC659" s="3">
        <v>1</v>
      </c>
      <c r="BD659" s="3">
        <v>0</v>
      </c>
      <c r="BE659" s="3">
        <v>0</v>
      </c>
      <c r="BG659" s="2" t="s">
        <v>91</v>
      </c>
      <c r="BH659" s="3">
        <v>3</v>
      </c>
      <c r="BJ659" s="2" t="s">
        <v>96</v>
      </c>
      <c r="BL659" s="2" t="s">
        <v>123</v>
      </c>
      <c r="BM659" s="2" t="s">
        <v>123</v>
      </c>
      <c r="BN659" s="2" t="s">
        <v>124</v>
      </c>
      <c r="BO659" s="2" t="s">
        <v>125</v>
      </c>
      <c r="BP659" s="2" t="s">
        <v>242</v>
      </c>
      <c r="BQ659" s="2" t="s">
        <v>124</v>
      </c>
      <c r="BR659" s="2" t="s">
        <v>126</v>
      </c>
      <c r="BS659" s="2" t="s">
        <v>127</v>
      </c>
      <c r="BT659" s="2" t="s">
        <v>420</v>
      </c>
      <c r="BU659" s="2" t="s">
        <v>421</v>
      </c>
      <c r="BV659" s="2" t="s">
        <v>150</v>
      </c>
      <c r="BW659" s="2" t="s">
        <v>151</v>
      </c>
      <c r="BX659" s="2" t="s">
        <v>91</v>
      </c>
      <c r="BY65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59" s="2">
        <f>IF(AND(Cases[[#This Row],[Priority Level]]&gt;=3,Cases[[#This Row],[System Role]]&lt;&gt;"Productive"),1,0)</f>
        <v>0</v>
      </c>
      <c r="CA659" s="2">
        <f>IFERROR(IF(Cases[[#This Row],[Days at Customer]]&gt;MAX(1,Cases[[#This Row],[Days at SAP]]*2),1,0),0)</f>
        <v>1</v>
      </c>
      <c r="CB659" s="2">
        <f>IF(AND(Cases[[#This Row],[Initial Component]]&lt;&gt;"",Cases[[#This Row],[Component]]&lt;&gt;"",Cases[[#This Row],[Initial Component]]&lt;&gt;Cases[[#This Row],[Component]]),1,0)</f>
        <v>1</v>
      </c>
      <c r="CC659" s="2">
        <f>IF(OR(Cases[[#This Row],[Is Reopened]]="X",Cases[[#This Row],[No. of Reopenings]]&gt;0),1,0)</f>
        <v>0</v>
      </c>
      <c r="CD659" s="2">
        <f>IF(Cases[[#This Row],[Confirmation Type]]="Automatic",1,0)</f>
        <v>1</v>
      </c>
      <c r="CE659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60" spans="1:83" x14ac:dyDescent="0.2">
      <c r="A660" s="1" t="s">
        <v>3653</v>
      </c>
      <c r="B660" s="2" t="s">
        <v>3654</v>
      </c>
      <c r="C660" s="2" t="s">
        <v>3655</v>
      </c>
      <c r="D660" s="2" t="s">
        <v>238</v>
      </c>
      <c r="E660" s="3">
        <v>6.45</v>
      </c>
      <c r="F660" s="3">
        <v>52.02</v>
      </c>
      <c r="G660" s="2" t="s">
        <v>79</v>
      </c>
      <c r="H660" s="2" t="s">
        <v>290</v>
      </c>
      <c r="I660" s="3" t="s">
        <v>114</v>
      </c>
      <c r="J660" s="3">
        <v>226</v>
      </c>
      <c r="K660" s="2" t="s">
        <v>3656</v>
      </c>
      <c r="L660" s="4">
        <v>46054</v>
      </c>
      <c r="M660" s="4">
        <v>45960</v>
      </c>
      <c r="N660" s="2" t="s">
        <v>2727</v>
      </c>
      <c r="O660" s="2" t="s">
        <v>1805</v>
      </c>
      <c r="P660" s="2" t="s">
        <v>2717</v>
      </c>
      <c r="Q660" s="2" t="s">
        <v>1806</v>
      </c>
      <c r="R660" s="2" t="s">
        <v>1627</v>
      </c>
      <c r="S660" s="4">
        <v>45901</v>
      </c>
      <c r="T660" s="2" t="s">
        <v>3264</v>
      </c>
      <c r="U660" s="2" t="s">
        <v>3265</v>
      </c>
      <c r="V660" s="2" t="s">
        <v>3603</v>
      </c>
      <c r="W660" s="2" t="s">
        <v>1806</v>
      </c>
      <c r="X660" s="2" t="s">
        <v>117</v>
      </c>
      <c r="Y660" s="3" t="s">
        <v>118</v>
      </c>
      <c r="Z660" s="3">
        <v>58.48</v>
      </c>
      <c r="AA660" s="2" t="s">
        <v>90</v>
      </c>
      <c r="AB660" s="2" t="s">
        <v>3657</v>
      </c>
      <c r="AC660" s="2" t="s">
        <v>3658</v>
      </c>
      <c r="AD660" t="str" cm="1">
        <f t="array" ref="AD66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660" s="2" t="s">
        <v>139</v>
      </c>
      <c r="AF660" s="2" t="s">
        <v>92</v>
      </c>
      <c r="AG660" s="2" t="s">
        <v>119</v>
      </c>
      <c r="AH660" s="2" t="s">
        <v>120</v>
      </c>
      <c r="AK660" s="2" t="s">
        <v>3659</v>
      </c>
      <c r="AN660" s="3">
        <v>1</v>
      </c>
      <c r="AO660" s="3">
        <v>0</v>
      </c>
      <c r="AP660" s="3">
        <v>1</v>
      </c>
      <c r="AQ660" s="3">
        <v>1</v>
      </c>
      <c r="AR660" s="3">
        <v>0</v>
      </c>
      <c r="AS660" s="3">
        <v>0</v>
      </c>
      <c r="AT660" s="3">
        <v>1</v>
      </c>
      <c r="AU660" s="3">
        <v>0</v>
      </c>
      <c r="AV660" s="3">
        <v>1</v>
      </c>
      <c r="AW660" s="3">
        <v>0</v>
      </c>
      <c r="AX660" s="3">
        <v>0</v>
      </c>
      <c r="AY660" s="3">
        <v>0</v>
      </c>
      <c r="AZ660" s="3">
        <v>1</v>
      </c>
      <c r="BA660" s="3">
        <v>0</v>
      </c>
      <c r="BB660" s="3">
        <v>0</v>
      </c>
      <c r="BC660" s="3">
        <v>1</v>
      </c>
      <c r="BD660" s="3">
        <v>0</v>
      </c>
      <c r="BE660" s="3">
        <v>0</v>
      </c>
      <c r="BG660" s="2" t="s">
        <v>139</v>
      </c>
      <c r="BH660" s="3">
        <v>2</v>
      </c>
      <c r="BJ660" s="2" t="s">
        <v>96</v>
      </c>
      <c r="BL660" s="2" t="s">
        <v>123</v>
      </c>
      <c r="BM660" s="2" t="s">
        <v>123</v>
      </c>
      <c r="BN660" s="2" t="s">
        <v>124</v>
      </c>
      <c r="BO660" s="2" t="s">
        <v>125</v>
      </c>
      <c r="BP660" s="2" t="s">
        <v>242</v>
      </c>
      <c r="BQ660" s="2" t="s">
        <v>124</v>
      </c>
      <c r="BR660" s="2" t="s">
        <v>126</v>
      </c>
      <c r="BS660" s="2" t="s">
        <v>127</v>
      </c>
      <c r="BT660" s="2" t="s">
        <v>174</v>
      </c>
      <c r="BU660" s="2" t="s">
        <v>175</v>
      </c>
      <c r="BV660" s="2" t="s">
        <v>150</v>
      </c>
      <c r="BW660" s="2" t="s">
        <v>151</v>
      </c>
      <c r="BX660" s="2" t="s">
        <v>139</v>
      </c>
      <c r="BY66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60" s="2">
        <f>IF(AND(Cases[[#This Row],[Priority Level]]&gt;=3,Cases[[#This Row],[System Role]]&lt;&gt;"Productive"),1,0)</f>
        <v>0</v>
      </c>
      <c r="CA660" s="2">
        <f>IFERROR(IF(Cases[[#This Row],[Days at Customer]]&gt;MAX(1,Cases[[#This Row],[Days at SAP]]*2),1,0),0)</f>
        <v>1</v>
      </c>
      <c r="CB660" s="2">
        <f>IF(AND(Cases[[#This Row],[Initial Component]]&lt;&gt;"",Cases[[#This Row],[Component]]&lt;&gt;"",Cases[[#This Row],[Initial Component]]&lt;&gt;Cases[[#This Row],[Component]]),1,0)</f>
        <v>1</v>
      </c>
      <c r="CC660" s="2">
        <f>IF(OR(Cases[[#This Row],[Is Reopened]]="X",Cases[[#This Row],[No. of Reopenings]]&gt;0),1,0)</f>
        <v>0</v>
      </c>
      <c r="CD660" s="2">
        <f>IF(Cases[[#This Row],[Confirmation Type]]="Automatic",1,0)</f>
        <v>1</v>
      </c>
      <c r="CE660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661" spans="1:83" x14ac:dyDescent="0.2">
      <c r="A661" s="1" t="s">
        <v>3660</v>
      </c>
      <c r="B661" s="2" t="s">
        <v>3661</v>
      </c>
      <c r="C661" s="2" t="s">
        <v>1546</v>
      </c>
      <c r="D661" s="2" t="s">
        <v>78</v>
      </c>
      <c r="E661" s="3">
        <v>3.48</v>
      </c>
      <c r="F661" s="3">
        <v>47.16</v>
      </c>
      <c r="G661" s="2" t="s">
        <v>190</v>
      </c>
      <c r="H661" s="2" t="s">
        <v>191</v>
      </c>
      <c r="I661" s="3" t="s">
        <v>114</v>
      </c>
      <c r="J661" s="3">
        <v>227</v>
      </c>
      <c r="K661" s="2" t="s">
        <v>3662</v>
      </c>
      <c r="L661" s="4">
        <v>46047</v>
      </c>
      <c r="M661" s="4">
        <v>45951</v>
      </c>
      <c r="N661" s="2" t="s">
        <v>2727</v>
      </c>
      <c r="O661" s="2" t="s">
        <v>1805</v>
      </c>
      <c r="P661" s="2" t="s">
        <v>2887</v>
      </c>
      <c r="Q661" s="2" t="s">
        <v>1806</v>
      </c>
      <c r="R661" s="2" t="s">
        <v>1548</v>
      </c>
      <c r="S661" s="4">
        <v>45900</v>
      </c>
      <c r="T661" s="2" t="s">
        <v>3663</v>
      </c>
      <c r="U661" s="2" t="s">
        <v>3265</v>
      </c>
      <c r="V661" s="2" t="s">
        <v>3664</v>
      </c>
      <c r="W661" s="2" t="s">
        <v>1806</v>
      </c>
      <c r="X661" s="2" t="s">
        <v>117</v>
      </c>
      <c r="Y661" s="3" t="s">
        <v>118</v>
      </c>
      <c r="Z661" s="3">
        <v>50.64</v>
      </c>
      <c r="AA661" s="2" t="s">
        <v>90</v>
      </c>
      <c r="AB661" s="2" t="s">
        <v>1548</v>
      </c>
      <c r="AC661" s="2" t="s">
        <v>1546</v>
      </c>
      <c r="AD661" t="str" cm="1">
        <f t="array" ref="AD66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661" s="2" t="s">
        <v>139</v>
      </c>
      <c r="AF661" s="2" t="s">
        <v>92</v>
      </c>
      <c r="AG661" s="2" t="s">
        <v>119</v>
      </c>
      <c r="AH661" s="2" t="s">
        <v>120</v>
      </c>
      <c r="AJ661" s="2" t="s">
        <v>122</v>
      </c>
      <c r="AK661" s="2" t="s">
        <v>3665</v>
      </c>
      <c r="AN661" s="3">
        <v>1</v>
      </c>
      <c r="AO661" s="3">
        <v>0</v>
      </c>
      <c r="AP661" s="3">
        <v>1</v>
      </c>
      <c r="AQ661" s="3">
        <v>1</v>
      </c>
      <c r="AR661" s="3">
        <v>0</v>
      </c>
      <c r="AS661" s="3">
        <v>0</v>
      </c>
      <c r="AT661" s="3">
        <v>1</v>
      </c>
      <c r="AU661" s="3">
        <v>0</v>
      </c>
      <c r="AV661" s="3">
        <v>0</v>
      </c>
      <c r="AW661" s="3">
        <v>1</v>
      </c>
      <c r="AX661" s="3">
        <v>0</v>
      </c>
      <c r="AY661" s="3">
        <v>0</v>
      </c>
      <c r="AZ661" s="3">
        <v>1</v>
      </c>
      <c r="BA661" s="3">
        <v>0</v>
      </c>
      <c r="BB661" s="3">
        <v>0</v>
      </c>
      <c r="BC661" s="3">
        <v>1</v>
      </c>
      <c r="BD661" s="3">
        <v>3</v>
      </c>
      <c r="BE661" s="3">
        <v>0</v>
      </c>
      <c r="BG661" s="2" t="s">
        <v>139</v>
      </c>
      <c r="BH661" s="3">
        <v>2</v>
      </c>
      <c r="BJ661" s="2" t="s">
        <v>96</v>
      </c>
      <c r="BL661" s="2" t="s">
        <v>123</v>
      </c>
      <c r="BM661" s="2" t="s">
        <v>123</v>
      </c>
      <c r="BN661" s="2" t="s">
        <v>124</v>
      </c>
      <c r="BO661" s="2" t="s">
        <v>125</v>
      </c>
      <c r="BP661" s="2" t="s">
        <v>101</v>
      </c>
      <c r="BQ661" s="2" t="s">
        <v>124</v>
      </c>
      <c r="BR661" s="2" t="s">
        <v>126</v>
      </c>
      <c r="BS661" s="2" t="s">
        <v>127</v>
      </c>
      <c r="BT661" s="2" t="s">
        <v>420</v>
      </c>
      <c r="BU661" s="2" t="s">
        <v>421</v>
      </c>
      <c r="BV661" s="2" t="s">
        <v>150</v>
      </c>
      <c r="BW661" s="2" t="s">
        <v>151</v>
      </c>
      <c r="BX661" s="2" t="s">
        <v>139</v>
      </c>
      <c r="BY66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61" s="2">
        <f>IF(AND(Cases[[#This Row],[Priority Level]]&gt;=3,Cases[[#This Row],[System Role]]&lt;&gt;"Productive"),1,0)</f>
        <v>0</v>
      </c>
      <c r="CA661" s="2">
        <f>IFERROR(IF(Cases[[#This Row],[Days at Customer]]&gt;MAX(1,Cases[[#This Row],[Days at SAP]]*2),1,0),0)</f>
        <v>1</v>
      </c>
      <c r="CB661" s="2">
        <f>IF(AND(Cases[[#This Row],[Initial Component]]&lt;&gt;"",Cases[[#This Row],[Component]]&lt;&gt;"",Cases[[#This Row],[Initial Component]]&lt;&gt;Cases[[#This Row],[Component]]),1,0)</f>
        <v>0</v>
      </c>
      <c r="CC661" s="2">
        <f>IF(OR(Cases[[#This Row],[Is Reopened]]="X",Cases[[#This Row],[No. of Reopenings]]&gt;0),1,0)</f>
        <v>1</v>
      </c>
      <c r="CD661" s="2">
        <f>IF(Cases[[#This Row],[Confirmation Type]]="Automatic",1,0)</f>
        <v>0</v>
      </c>
      <c r="CE661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62" spans="1:83" x14ac:dyDescent="0.2">
      <c r="A662" s="1" t="s">
        <v>3666</v>
      </c>
      <c r="B662" s="2" t="s">
        <v>3667</v>
      </c>
      <c r="C662" s="2" t="s">
        <v>2078</v>
      </c>
      <c r="D662" s="2" t="s">
        <v>238</v>
      </c>
      <c r="E662" s="3">
        <v>0.47</v>
      </c>
      <c r="F662" s="3">
        <v>34.17</v>
      </c>
      <c r="G662" s="2" t="s">
        <v>79</v>
      </c>
      <c r="H662" s="2" t="s">
        <v>80</v>
      </c>
      <c r="I662" s="3" t="s">
        <v>114</v>
      </c>
      <c r="J662" s="3">
        <v>229</v>
      </c>
      <c r="K662" s="2" t="s">
        <v>3668</v>
      </c>
      <c r="L662" s="4">
        <v>46026</v>
      </c>
      <c r="M662" s="4">
        <v>45932</v>
      </c>
      <c r="N662" s="2" t="s">
        <v>2727</v>
      </c>
      <c r="O662" s="2" t="s">
        <v>1805</v>
      </c>
      <c r="P662" s="2" t="s">
        <v>3224</v>
      </c>
      <c r="Q662" s="2" t="s">
        <v>1806</v>
      </c>
      <c r="R662" s="2" t="s">
        <v>1383</v>
      </c>
      <c r="S662" s="4">
        <v>45898</v>
      </c>
      <c r="T662" s="2" t="s">
        <v>3663</v>
      </c>
      <c r="U662" s="2" t="s">
        <v>3265</v>
      </c>
      <c r="V662" s="2" t="s">
        <v>3664</v>
      </c>
      <c r="W662" s="2" t="s">
        <v>1806</v>
      </c>
      <c r="X662" s="2" t="s">
        <v>117</v>
      </c>
      <c r="Y662" s="3" t="s">
        <v>118</v>
      </c>
      <c r="Z662" s="3">
        <v>34.64</v>
      </c>
      <c r="AA662" s="2" t="s">
        <v>90</v>
      </c>
      <c r="AB662" s="2" t="s">
        <v>1383</v>
      </c>
      <c r="AC662" s="2" t="s">
        <v>2078</v>
      </c>
      <c r="AD662" t="str" cm="1">
        <f t="array" ref="AD66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662" s="2" t="s">
        <v>91</v>
      </c>
      <c r="AF662" s="2" t="s">
        <v>92</v>
      </c>
      <c r="AG662" s="2" t="s">
        <v>119</v>
      </c>
      <c r="AH662" s="2" t="s">
        <v>120</v>
      </c>
      <c r="AK662" s="2" t="s">
        <v>3669</v>
      </c>
      <c r="AN662" s="3">
        <v>1</v>
      </c>
      <c r="AO662" s="3">
        <v>0</v>
      </c>
      <c r="AP662" s="3">
        <v>1</v>
      </c>
      <c r="AQ662" s="3">
        <v>1</v>
      </c>
      <c r="AR662" s="3">
        <v>1</v>
      </c>
      <c r="AS662" s="3">
        <v>0</v>
      </c>
      <c r="AT662" s="3">
        <v>0</v>
      </c>
      <c r="AU662" s="3">
        <v>0</v>
      </c>
      <c r="AV662" s="3">
        <v>1</v>
      </c>
      <c r="AW662" s="3">
        <v>0</v>
      </c>
      <c r="AX662" s="3">
        <v>1</v>
      </c>
      <c r="AY662" s="3">
        <v>0</v>
      </c>
      <c r="AZ662" s="3">
        <v>0</v>
      </c>
      <c r="BA662" s="3">
        <v>1</v>
      </c>
      <c r="BB662" s="3">
        <v>0</v>
      </c>
      <c r="BC662" s="3">
        <v>0</v>
      </c>
      <c r="BD662" s="3">
        <v>0</v>
      </c>
      <c r="BE662" s="3">
        <v>0</v>
      </c>
      <c r="BG662" s="2" t="s">
        <v>91</v>
      </c>
      <c r="BH662" s="3">
        <v>3</v>
      </c>
      <c r="BJ662" s="2" t="s">
        <v>96</v>
      </c>
      <c r="BL662" s="2" t="s">
        <v>123</v>
      </c>
      <c r="BM662" s="2" t="s">
        <v>123</v>
      </c>
      <c r="BN662" s="2" t="s">
        <v>124</v>
      </c>
      <c r="BO662" s="2" t="s">
        <v>125</v>
      </c>
      <c r="BP662" s="2" t="s">
        <v>242</v>
      </c>
      <c r="BQ662" s="2" t="s">
        <v>124</v>
      </c>
      <c r="BR662" s="2" t="s">
        <v>126</v>
      </c>
      <c r="BS662" s="2" t="s">
        <v>127</v>
      </c>
      <c r="BT662" s="2" t="s">
        <v>199</v>
      </c>
      <c r="BU662" s="2" t="s">
        <v>200</v>
      </c>
      <c r="BV662" s="2" t="s">
        <v>166</v>
      </c>
      <c r="BW662" s="2" t="s">
        <v>167</v>
      </c>
      <c r="BX662" s="2" t="s">
        <v>91</v>
      </c>
      <c r="BY66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62" s="2">
        <f>IF(AND(Cases[[#This Row],[Priority Level]]&gt;=3,Cases[[#This Row],[System Role]]&lt;&gt;"Productive"),1,0)</f>
        <v>1</v>
      </c>
      <c r="CA662" s="2">
        <f>IFERROR(IF(Cases[[#This Row],[Days at Customer]]&gt;MAX(1,Cases[[#This Row],[Days at SAP]]*2),1,0),0)</f>
        <v>1</v>
      </c>
      <c r="CB662" s="2">
        <f>IF(AND(Cases[[#This Row],[Initial Component]]&lt;&gt;"",Cases[[#This Row],[Component]]&lt;&gt;"",Cases[[#This Row],[Initial Component]]&lt;&gt;Cases[[#This Row],[Component]]),1,0)</f>
        <v>0</v>
      </c>
      <c r="CC662" s="2">
        <f>IF(OR(Cases[[#This Row],[Is Reopened]]="X",Cases[[#This Row],[No. of Reopenings]]&gt;0),1,0)</f>
        <v>0</v>
      </c>
      <c r="CD662" s="2">
        <f>IF(Cases[[#This Row],[Confirmation Type]]="Automatic",1,0)</f>
        <v>1</v>
      </c>
      <c r="CE662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63" spans="1:83" x14ac:dyDescent="0.2">
      <c r="A663" s="1" t="s">
        <v>3670</v>
      </c>
      <c r="B663" s="2" t="s">
        <v>3671</v>
      </c>
      <c r="C663" s="2" t="s">
        <v>966</v>
      </c>
      <c r="D663" s="2" t="s">
        <v>238</v>
      </c>
      <c r="E663" s="3">
        <v>3.97</v>
      </c>
      <c r="F663" s="3">
        <v>35.630000000000003</v>
      </c>
      <c r="G663" s="2" t="s">
        <v>190</v>
      </c>
      <c r="H663" s="2" t="s">
        <v>308</v>
      </c>
      <c r="I663" s="3" t="s">
        <v>81</v>
      </c>
      <c r="J663" s="3">
        <v>229</v>
      </c>
      <c r="K663" s="2" t="s">
        <v>3672</v>
      </c>
      <c r="L663" s="4">
        <v>46033</v>
      </c>
      <c r="M663" s="4">
        <v>45937</v>
      </c>
      <c r="N663" s="2" t="s">
        <v>2727</v>
      </c>
      <c r="O663" s="2" t="s">
        <v>1805</v>
      </c>
      <c r="P663" s="2" t="s">
        <v>3126</v>
      </c>
      <c r="Q663" s="2" t="s">
        <v>1806</v>
      </c>
      <c r="R663" s="2" t="s">
        <v>965</v>
      </c>
      <c r="S663" s="4">
        <v>45898</v>
      </c>
      <c r="T663" s="2" t="s">
        <v>3663</v>
      </c>
      <c r="U663" s="2" t="s">
        <v>3265</v>
      </c>
      <c r="V663" s="2" t="s">
        <v>3664</v>
      </c>
      <c r="W663" s="2" t="s">
        <v>1806</v>
      </c>
      <c r="X663" s="2" t="s">
        <v>88</v>
      </c>
      <c r="Y663" s="3" t="s">
        <v>89</v>
      </c>
      <c r="Z663" s="3">
        <v>39.6</v>
      </c>
      <c r="AA663" s="2" t="s">
        <v>90</v>
      </c>
      <c r="AB663" s="2" t="s">
        <v>3673</v>
      </c>
      <c r="AC663" s="2" t="s">
        <v>3674</v>
      </c>
      <c r="AD663" t="str" cm="1">
        <f t="array" ref="AD66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663" s="2" t="s">
        <v>91</v>
      </c>
      <c r="AF663" s="2" t="s">
        <v>92</v>
      </c>
      <c r="AG663" s="2" t="s">
        <v>93</v>
      </c>
      <c r="AH663" s="2" t="s">
        <v>94</v>
      </c>
      <c r="AK663" s="2" t="s">
        <v>3675</v>
      </c>
      <c r="AN663" s="3">
        <v>1</v>
      </c>
      <c r="AO663" s="3">
        <v>0</v>
      </c>
      <c r="AP663" s="3">
        <v>1</v>
      </c>
      <c r="AQ663" s="3">
        <v>1</v>
      </c>
      <c r="AR663" s="3">
        <v>1</v>
      </c>
      <c r="AS663" s="3">
        <v>0</v>
      </c>
      <c r="AT663" s="3">
        <v>0</v>
      </c>
      <c r="AU663" s="3">
        <v>0</v>
      </c>
      <c r="AV663" s="3">
        <v>1</v>
      </c>
      <c r="AW663" s="3">
        <v>0</v>
      </c>
      <c r="AX663" s="3">
        <v>1</v>
      </c>
      <c r="AY663" s="3">
        <v>0</v>
      </c>
      <c r="AZ663" s="3">
        <v>0</v>
      </c>
      <c r="BA663" s="3">
        <v>0</v>
      </c>
      <c r="BB663" s="3">
        <v>0</v>
      </c>
      <c r="BC663" s="3">
        <v>1</v>
      </c>
      <c r="BD663" s="3">
        <v>0</v>
      </c>
      <c r="BE663" s="3">
        <v>0</v>
      </c>
      <c r="BG663" s="2" t="s">
        <v>91</v>
      </c>
      <c r="BH663" s="3">
        <v>3</v>
      </c>
      <c r="BJ663" s="2" t="s">
        <v>96</v>
      </c>
      <c r="BL663" s="2" t="s">
        <v>184</v>
      </c>
      <c r="BM663" s="2" t="s">
        <v>184</v>
      </c>
      <c r="BN663" s="2" t="s">
        <v>124</v>
      </c>
      <c r="BO663" s="2" t="s">
        <v>125</v>
      </c>
      <c r="BP663" s="2" t="s">
        <v>242</v>
      </c>
      <c r="BQ663" s="2" t="s">
        <v>124</v>
      </c>
      <c r="BR663" s="2" t="s">
        <v>126</v>
      </c>
      <c r="BS663" s="2" t="s">
        <v>127</v>
      </c>
      <c r="BT663" s="2" t="s">
        <v>185</v>
      </c>
      <c r="BU663" s="2" t="s">
        <v>186</v>
      </c>
      <c r="BV663" s="2" t="s">
        <v>150</v>
      </c>
      <c r="BW663" s="2" t="s">
        <v>151</v>
      </c>
      <c r="BX663" s="2" t="s">
        <v>91</v>
      </c>
      <c r="BY66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63" s="2">
        <f>IF(AND(Cases[[#This Row],[Priority Level]]&gt;=3,Cases[[#This Row],[System Role]]&lt;&gt;"Productive"),1,0)</f>
        <v>0</v>
      </c>
      <c r="CA663" s="2">
        <f>IFERROR(IF(Cases[[#This Row],[Days at Customer]]&gt;MAX(1,Cases[[#This Row],[Days at SAP]]*2),1,0),0)</f>
        <v>1</v>
      </c>
      <c r="CB663" s="2">
        <f>IF(AND(Cases[[#This Row],[Initial Component]]&lt;&gt;"",Cases[[#This Row],[Component]]&lt;&gt;"",Cases[[#This Row],[Initial Component]]&lt;&gt;Cases[[#This Row],[Component]]),1,0)</f>
        <v>1</v>
      </c>
      <c r="CC663" s="2">
        <f>IF(OR(Cases[[#This Row],[Is Reopened]]="X",Cases[[#This Row],[No. of Reopenings]]&gt;0),1,0)</f>
        <v>0</v>
      </c>
      <c r="CD663" s="2">
        <f>IF(Cases[[#This Row],[Confirmation Type]]="Automatic",1,0)</f>
        <v>1</v>
      </c>
      <c r="CE663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64" spans="1:83" x14ac:dyDescent="0.2">
      <c r="A664" s="1" t="s">
        <v>3676</v>
      </c>
      <c r="B664" s="2" t="s">
        <v>3677</v>
      </c>
      <c r="C664" s="2" t="s">
        <v>2908</v>
      </c>
      <c r="D664" s="2" t="s">
        <v>78</v>
      </c>
      <c r="E664" s="3">
        <v>77.430000000000007</v>
      </c>
      <c r="F664" s="3">
        <v>34.49</v>
      </c>
      <c r="G664" s="2" t="s">
        <v>79</v>
      </c>
      <c r="H664" s="2" t="s">
        <v>290</v>
      </c>
      <c r="I664" s="3" t="s">
        <v>114</v>
      </c>
      <c r="J664" s="3">
        <v>230</v>
      </c>
      <c r="K664" s="2" t="s">
        <v>3678</v>
      </c>
      <c r="L664" s="4">
        <v>46012</v>
      </c>
      <c r="M664" s="4">
        <v>46009</v>
      </c>
      <c r="N664" s="2" t="s">
        <v>1804</v>
      </c>
      <c r="O664" s="2" t="s">
        <v>1805</v>
      </c>
      <c r="P664" s="2" t="s">
        <v>1930</v>
      </c>
      <c r="Q664" s="2" t="s">
        <v>1806</v>
      </c>
      <c r="R664" s="2" t="s">
        <v>2910</v>
      </c>
      <c r="S664" s="4">
        <v>45897</v>
      </c>
      <c r="T664" s="2" t="s">
        <v>3663</v>
      </c>
      <c r="U664" s="2" t="s">
        <v>3265</v>
      </c>
      <c r="V664" s="2" t="s">
        <v>3664</v>
      </c>
      <c r="W664" s="2" t="s">
        <v>1806</v>
      </c>
      <c r="X664" s="2" t="s">
        <v>117</v>
      </c>
      <c r="Y664" s="3" t="s">
        <v>118</v>
      </c>
      <c r="Z664" s="3">
        <v>111.92</v>
      </c>
      <c r="AA664" s="2" t="s">
        <v>90</v>
      </c>
      <c r="AB664" s="2" t="s">
        <v>172</v>
      </c>
      <c r="AC664" s="2" t="s">
        <v>170</v>
      </c>
      <c r="AD664" t="str" cm="1">
        <f t="array" ref="AD66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664" s="2" t="s">
        <v>139</v>
      </c>
      <c r="AF664" s="2" t="s">
        <v>92</v>
      </c>
      <c r="AG664" s="2" t="s">
        <v>119</v>
      </c>
      <c r="AH664" s="2" t="s">
        <v>120</v>
      </c>
      <c r="AJ664" s="2" t="s">
        <v>122</v>
      </c>
      <c r="AK664" s="2" t="s">
        <v>3679</v>
      </c>
      <c r="AN664" s="3">
        <v>1</v>
      </c>
      <c r="AO664" s="3">
        <v>0</v>
      </c>
      <c r="AP664" s="3">
        <v>1</v>
      </c>
      <c r="AQ664" s="3">
        <v>1</v>
      </c>
      <c r="AR664" s="3">
        <v>1</v>
      </c>
      <c r="AS664" s="3">
        <v>0</v>
      </c>
      <c r="AT664" s="3">
        <v>0</v>
      </c>
      <c r="AU664" s="3">
        <v>0</v>
      </c>
      <c r="AV664" s="3">
        <v>0</v>
      </c>
      <c r="AW664" s="3">
        <v>1</v>
      </c>
      <c r="AX664" s="3">
        <v>1</v>
      </c>
      <c r="AY664" s="3">
        <v>0</v>
      </c>
      <c r="AZ664" s="3">
        <v>0</v>
      </c>
      <c r="BA664" s="3">
        <v>1</v>
      </c>
      <c r="BB664" s="3">
        <v>0</v>
      </c>
      <c r="BC664" s="3">
        <v>0</v>
      </c>
      <c r="BD664" s="3">
        <v>3</v>
      </c>
      <c r="BE664" s="3">
        <v>0</v>
      </c>
      <c r="BG664" s="2" t="s">
        <v>91</v>
      </c>
      <c r="BH664" s="3">
        <v>3</v>
      </c>
      <c r="BJ664" s="2" t="s">
        <v>96</v>
      </c>
      <c r="BL664" s="2" t="s">
        <v>123</v>
      </c>
      <c r="BM664" s="2" t="s">
        <v>123</v>
      </c>
      <c r="BN664" s="2" t="s">
        <v>124</v>
      </c>
      <c r="BO664" s="2" t="s">
        <v>125</v>
      </c>
      <c r="BP664" s="2" t="s">
        <v>101</v>
      </c>
      <c r="BQ664" s="2" t="s">
        <v>124</v>
      </c>
      <c r="BR664" s="2" t="s">
        <v>126</v>
      </c>
      <c r="BS664" s="2" t="s">
        <v>127</v>
      </c>
      <c r="BT664" s="2" t="s">
        <v>1395</v>
      </c>
      <c r="BU664" s="2" t="s">
        <v>1396</v>
      </c>
      <c r="BV664" s="2" t="s">
        <v>107</v>
      </c>
      <c r="BW664" s="2" t="s">
        <v>108</v>
      </c>
      <c r="BX664" s="2" t="s">
        <v>91</v>
      </c>
      <c r="BY66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64" s="2">
        <f>IF(AND(Cases[[#This Row],[Priority Level]]&gt;=3,Cases[[#This Row],[System Role]]&lt;&gt;"Productive"),1,0)</f>
        <v>1</v>
      </c>
      <c r="CA664" s="2">
        <f>IFERROR(IF(Cases[[#This Row],[Days at Customer]]&gt;MAX(1,Cases[[#This Row],[Days at SAP]]*2),1,0),0)</f>
        <v>0</v>
      </c>
      <c r="CB664" s="2">
        <f>IF(AND(Cases[[#This Row],[Initial Component]]&lt;&gt;"",Cases[[#This Row],[Component]]&lt;&gt;"",Cases[[#This Row],[Initial Component]]&lt;&gt;Cases[[#This Row],[Component]]),1,0)</f>
        <v>1</v>
      </c>
      <c r="CC664" s="2">
        <f>IF(OR(Cases[[#This Row],[Is Reopened]]="X",Cases[[#This Row],[No. of Reopenings]]&gt;0),1,0)</f>
        <v>1</v>
      </c>
      <c r="CD664" s="2">
        <f>IF(Cases[[#This Row],[Confirmation Type]]="Automatic",1,0)</f>
        <v>0</v>
      </c>
      <c r="CE664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665" spans="1:83" x14ac:dyDescent="0.2">
      <c r="A665" s="1" t="s">
        <v>3680</v>
      </c>
      <c r="B665" s="2" t="s">
        <v>3681</v>
      </c>
      <c r="C665" s="2" t="s">
        <v>3682</v>
      </c>
      <c r="D665" s="2" t="s">
        <v>238</v>
      </c>
      <c r="E665" s="3">
        <v>12.55</v>
      </c>
      <c r="F665" s="3">
        <v>38.11</v>
      </c>
      <c r="G665" s="2" t="s">
        <v>79</v>
      </c>
      <c r="H665" s="2" t="s">
        <v>178</v>
      </c>
      <c r="I665" s="3" t="s">
        <v>114</v>
      </c>
      <c r="J665" s="3">
        <v>232</v>
      </c>
      <c r="K665" s="2" t="s">
        <v>3683</v>
      </c>
      <c r="L665" s="4">
        <v>46040</v>
      </c>
      <c r="M665" s="4">
        <v>45945</v>
      </c>
      <c r="N665" s="2" t="s">
        <v>2727</v>
      </c>
      <c r="O665" s="2" t="s">
        <v>1805</v>
      </c>
      <c r="P665" s="2" t="s">
        <v>2936</v>
      </c>
      <c r="Q665" s="2" t="s">
        <v>1806</v>
      </c>
      <c r="R665" s="2" t="s">
        <v>3684</v>
      </c>
      <c r="S665" s="4">
        <v>45895</v>
      </c>
      <c r="T665" s="2" t="s">
        <v>3663</v>
      </c>
      <c r="U665" s="2" t="s">
        <v>3265</v>
      </c>
      <c r="V665" s="2" t="s">
        <v>3664</v>
      </c>
      <c r="W665" s="2" t="s">
        <v>1806</v>
      </c>
      <c r="X665" s="2" t="s">
        <v>117</v>
      </c>
      <c r="Y665" s="3" t="s">
        <v>118</v>
      </c>
      <c r="Z665" s="3">
        <v>50.66</v>
      </c>
      <c r="AA665" s="2" t="s">
        <v>90</v>
      </c>
      <c r="AB665" s="2" t="s">
        <v>3684</v>
      </c>
      <c r="AC665" s="2" t="s">
        <v>3682</v>
      </c>
      <c r="AD665" t="str" cm="1">
        <f t="array" ref="AD66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ATR + RAR</v>
      </c>
      <c r="AE665" s="2" t="s">
        <v>139</v>
      </c>
      <c r="AF665" s="2" t="s">
        <v>92</v>
      </c>
      <c r="AG665" s="2" t="s">
        <v>119</v>
      </c>
      <c r="AH665" s="2" t="s">
        <v>120</v>
      </c>
      <c r="AK665" s="2" t="s">
        <v>3685</v>
      </c>
      <c r="AN665" s="3">
        <v>1</v>
      </c>
      <c r="AO665" s="3">
        <v>0</v>
      </c>
      <c r="AP665" s="3">
        <v>1</v>
      </c>
      <c r="AQ665" s="3">
        <v>1</v>
      </c>
      <c r="AR665" s="3">
        <v>0</v>
      </c>
      <c r="AS665" s="3">
        <v>0</v>
      </c>
      <c r="AT665" s="3">
        <v>1</v>
      </c>
      <c r="AU665" s="3">
        <v>0</v>
      </c>
      <c r="AV665" s="3">
        <v>1</v>
      </c>
      <c r="AW665" s="3">
        <v>0</v>
      </c>
      <c r="AX665" s="3">
        <v>0</v>
      </c>
      <c r="AY665" s="3">
        <v>0</v>
      </c>
      <c r="AZ665" s="3">
        <v>1</v>
      </c>
      <c r="BA665" s="3">
        <v>1</v>
      </c>
      <c r="BB665" s="3">
        <v>0</v>
      </c>
      <c r="BC665" s="3">
        <v>0</v>
      </c>
      <c r="BD665" s="3">
        <v>0</v>
      </c>
      <c r="BE665" s="3">
        <v>0</v>
      </c>
      <c r="BG665" s="2" t="s">
        <v>139</v>
      </c>
      <c r="BH665" s="3">
        <v>2</v>
      </c>
      <c r="BJ665" s="2" t="s">
        <v>96</v>
      </c>
      <c r="BL665" s="2" t="s">
        <v>123</v>
      </c>
      <c r="BM665" s="2" t="s">
        <v>123</v>
      </c>
      <c r="BN665" s="2" t="s">
        <v>124</v>
      </c>
      <c r="BO665" s="2" t="s">
        <v>125</v>
      </c>
      <c r="BP665" s="2" t="s">
        <v>242</v>
      </c>
      <c r="BQ665" s="2" t="s">
        <v>124</v>
      </c>
      <c r="BR665" s="2" t="s">
        <v>126</v>
      </c>
      <c r="BS665" s="2" t="s">
        <v>713</v>
      </c>
      <c r="BT665" s="2" t="s">
        <v>769</v>
      </c>
      <c r="BU665" s="2" t="s">
        <v>770</v>
      </c>
      <c r="BV665" s="2" t="s">
        <v>771</v>
      </c>
      <c r="BW665" s="2" t="s">
        <v>772</v>
      </c>
      <c r="BX665" s="2" t="s">
        <v>139</v>
      </c>
      <c r="BY66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65" s="2">
        <f>IF(AND(Cases[[#This Row],[Priority Level]]&gt;=3,Cases[[#This Row],[System Role]]&lt;&gt;"Productive"),1,0)</f>
        <v>0</v>
      </c>
      <c r="CA665" s="2">
        <f>IFERROR(IF(Cases[[#This Row],[Days at Customer]]&gt;MAX(1,Cases[[#This Row],[Days at SAP]]*2),1,0),0)</f>
        <v>1</v>
      </c>
      <c r="CB665" s="2">
        <f>IF(AND(Cases[[#This Row],[Initial Component]]&lt;&gt;"",Cases[[#This Row],[Component]]&lt;&gt;"",Cases[[#This Row],[Initial Component]]&lt;&gt;Cases[[#This Row],[Component]]),1,0)</f>
        <v>0</v>
      </c>
      <c r="CC665" s="2">
        <f>IF(OR(Cases[[#This Row],[Is Reopened]]="X",Cases[[#This Row],[No. of Reopenings]]&gt;0),1,0)</f>
        <v>0</v>
      </c>
      <c r="CD665" s="2">
        <f>IF(Cases[[#This Row],[Confirmation Type]]="Automatic",1,0)</f>
        <v>1</v>
      </c>
      <c r="CE665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66" spans="1:83" x14ac:dyDescent="0.2">
      <c r="A666" s="1" t="s">
        <v>3686</v>
      </c>
      <c r="B666" s="2" t="s">
        <v>3687</v>
      </c>
      <c r="C666" s="2" t="s">
        <v>170</v>
      </c>
      <c r="D666" s="2" t="s">
        <v>78</v>
      </c>
      <c r="E666" s="3">
        <v>70.12</v>
      </c>
      <c r="F666" s="3">
        <v>92.05</v>
      </c>
      <c r="G666" s="2" t="s">
        <v>190</v>
      </c>
      <c r="H666" s="2" t="s">
        <v>1205</v>
      </c>
      <c r="I666" s="3" t="s">
        <v>114</v>
      </c>
      <c r="J666" s="3">
        <v>232</v>
      </c>
      <c r="K666" s="2" t="s">
        <v>3688</v>
      </c>
      <c r="L666" s="4">
        <v>46061</v>
      </c>
      <c r="M666" s="4">
        <v>46057</v>
      </c>
      <c r="N666" s="2" t="s">
        <v>677</v>
      </c>
      <c r="O666" s="2" t="s">
        <v>181</v>
      </c>
      <c r="P666" s="2" t="s">
        <v>1165</v>
      </c>
      <c r="Q666" s="2" t="s">
        <v>86</v>
      </c>
      <c r="R666" s="2" t="s">
        <v>172</v>
      </c>
      <c r="S666" s="4">
        <v>45895</v>
      </c>
      <c r="T666" s="2" t="s">
        <v>3663</v>
      </c>
      <c r="U666" s="2" t="s">
        <v>3265</v>
      </c>
      <c r="V666" s="2" t="s">
        <v>3664</v>
      </c>
      <c r="W666" s="2" t="s">
        <v>1806</v>
      </c>
      <c r="X666" s="2" t="s">
        <v>117</v>
      </c>
      <c r="Y666" s="3" t="s">
        <v>118</v>
      </c>
      <c r="Z666" s="3">
        <v>162.16999999999999</v>
      </c>
      <c r="AA666" s="2" t="s">
        <v>90</v>
      </c>
      <c r="AB666" s="2" t="s">
        <v>172</v>
      </c>
      <c r="AC666" s="2" t="s">
        <v>170</v>
      </c>
      <c r="AD666" t="str" cm="1">
        <f t="array" ref="AD66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666" s="2" t="s">
        <v>139</v>
      </c>
      <c r="AF666" s="2" t="s">
        <v>92</v>
      </c>
      <c r="AG666" s="2" t="s">
        <v>119</v>
      </c>
      <c r="AH666" s="2" t="s">
        <v>120</v>
      </c>
      <c r="AJ666" s="2" t="s">
        <v>122</v>
      </c>
      <c r="AK666" s="2" t="s">
        <v>3689</v>
      </c>
      <c r="AN666" s="3">
        <v>1</v>
      </c>
      <c r="AO666" s="3">
        <v>0</v>
      </c>
      <c r="AP666" s="3">
        <v>1</v>
      </c>
      <c r="AQ666" s="3">
        <v>1</v>
      </c>
      <c r="AR666" s="3">
        <v>1</v>
      </c>
      <c r="AS666" s="3">
        <v>0</v>
      </c>
      <c r="AT666" s="3">
        <v>0</v>
      </c>
      <c r="AU666" s="3">
        <v>0</v>
      </c>
      <c r="AV666" s="3">
        <v>0</v>
      </c>
      <c r="AW666" s="3">
        <v>1</v>
      </c>
      <c r="AX666" s="3">
        <v>1</v>
      </c>
      <c r="AY666" s="3">
        <v>0</v>
      </c>
      <c r="AZ666" s="3">
        <v>0</v>
      </c>
      <c r="BA666" s="3">
        <v>0</v>
      </c>
      <c r="BB666" s="3">
        <v>0</v>
      </c>
      <c r="BC666" s="3">
        <v>1</v>
      </c>
      <c r="BD666" s="3">
        <v>3</v>
      </c>
      <c r="BE666" s="3">
        <v>0</v>
      </c>
      <c r="BG666" s="2" t="s">
        <v>91</v>
      </c>
      <c r="BH666" s="3">
        <v>3</v>
      </c>
      <c r="BJ666" s="2" t="s">
        <v>96</v>
      </c>
      <c r="BL666" s="2" t="s">
        <v>123</v>
      </c>
      <c r="BM666" s="2" t="s">
        <v>123</v>
      </c>
      <c r="BN666" s="2" t="s">
        <v>124</v>
      </c>
      <c r="BO666" s="2" t="s">
        <v>125</v>
      </c>
      <c r="BP666" s="2" t="s">
        <v>101</v>
      </c>
      <c r="BQ666" s="2" t="s">
        <v>124</v>
      </c>
      <c r="BR666" s="2" t="s">
        <v>126</v>
      </c>
      <c r="BS666" s="2" t="s">
        <v>127</v>
      </c>
      <c r="BT666" s="2" t="s">
        <v>174</v>
      </c>
      <c r="BU666" s="2" t="s">
        <v>175</v>
      </c>
      <c r="BV666" s="2" t="s">
        <v>150</v>
      </c>
      <c r="BW666" s="2" t="s">
        <v>151</v>
      </c>
      <c r="BX666" s="2" t="s">
        <v>91</v>
      </c>
      <c r="BY66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66" s="2">
        <f>IF(AND(Cases[[#This Row],[Priority Level]]&gt;=3,Cases[[#This Row],[System Role]]&lt;&gt;"Productive"),1,0)</f>
        <v>0</v>
      </c>
      <c r="CA666" s="2">
        <f>IFERROR(IF(Cases[[#This Row],[Days at Customer]]&gt;MAX(1,Cases[[#This Row],[Days at SAP]]*2),1,0),0)</f>
        <v>0</v>
      </c>
      <c r="CB666" s="2">
        <f>IF(AND(Cases[[#This Row],[Initial Component]]&lt;&gt;"",Cases[[#This Row],[Component]]&lt;&gt;"",Cases[[#This Row],[Initial Component]]&lt;&gt;Cases[[#This Row],[Component]]),1,0)</f>
        <v>0</v>
      </c>
      <c r="CC666" s="2">
        <f>IF(OR(Cases[[#This Row],[Is Reopened]]="X",Cases[[#This Row],[No. of Reopenings]]&gt;0),1,0)</f>
        <v>1</v>
      </c>
      <c r="CD666" s="2">
        <f>IF(Cases[[#This Row],[Confirmation Type]]="Automatic",1,0)</f>
        <v>0</v>
      </c>
      <c r="CE666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67" spans="1:83" x14ac:dyDescent="0.2">
      <c r="A667" s="1" t="s">
        <v>3690</v>
      </c>
      <c r="B667" s="2" t="s">
        <v>3691</v>
      </c>
      <c r="C667" s="2" t="s">
        <v>1556</v>
      </c>
      <c r="D667" s="2" t="s">
        <v>78</v>
      </c>
      <c r="E667" s="3">
        <v>23.66</v>
      </c>
      <c r="F667" s="3">
        <v>40.590000000000003</v>
      </c>
      <c r="G667" s="2" t="s">
        <v>190</v>
      </c>
      <c r="H667" s="2" t="s">
        <v>1205</v>
      </c>
      <c r="I667" s="3" t="s">
        <v>114</v>
      </c>
      <c r="J667" s="3">
        <v>232</v>
      </c>
      <c r="K667" s="2" t="s">
        <v>3692</v>
      </c>
      <c r="L667" s="4">
        <v>46054</v>
      </c>
      <c r="M667" s="4">
        <v>45959</v>
      </c>
      <c r="N667" s="2" t="s">
        <v>2727</v>
      </c>
      <c r="O667" s="2" t="s">
        <v>1805</v>
      </c>
      <c r="P667" s="2" t="s">
        <v>2717</v>
      </c>
      <c r="Q667" s="2" t="s">
        <v>1806</v>
      </c>
      <c r="R667" s="2" t="s">
        <v>1555</v>
      </c>
      <c r="S667" s="4">
        <v>45895</v>
      </c>
      <c r="T667" s="2" t="s">
        <v>3663</v>
      </c>
      <c r="U667" s="2" t="s">
        <v>3265</v>
      </c>
      <c r="V667" s="2" t="s">
        <v>3664</v>
      </c>
      <c r="W667" s="2" t="s">
        <v>1806</v>
      </c>
      <c r="X667" s="2" t="s">
        <v>117</v>
      </c>
      <c r="Y667" s="3" t="s">
        <v>118</v>
      </c>
      <c r="Z667" s="3">
        <v>64.25</v>
      </c>
      <c r="AA667" s="2" t="s">
        <v>90</v>
      </c>
      <c r="AB667" s="2" t="s">
        <v>1555</v>
      </c>
      <c r="AC667" s="2" t="s">
        <v>1556</v>
      </c>
      <c r="AD667" t="str" cm="1">
        <f t="array" ref="AD66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667" s="2" t="s">
        <v>139</v>
      </c>
      <c r="AF667" s="2" t="s">
        <v>92</v>
      </c>
      <c r="AG667" s="2" t="s">
        <v>119</v>
      </c>
      <c r="AH667" s="2" t="s">
        <v>120</v>
      </c>
      <c r="AJ667" s="2" t="s">
        <v>122</v>
      </c>
      <c r="AK667" s="2" t="s">
        <v>3693</v>
      </c>
      <c r="AN667" s="3">
        <v>1</v>
      </c>
      <c r="AO667" s="3">
        <v>0</v>
      </c>
      <c r="AP667" s="3">
        <v>1</v>
      </c>
      <c r="AQ667" s="3">
        <v>1</v>
      </c>
      <c r="AR667" s="3">
        <v>1</v>
      </c>
      <c r="AS667" s="3">
        <v>0</v>
      </c>
      <c r="AT667" s="3">
        <v>0</v>
      </c>
      <c r="AU667" s="3">
        <v>0</v>
      </c>
      <c r="AV667" s="3">
        <v>0</v>
      </c>
      <c r="AW667" s="3">
        <v>1</v>
      </c>
      <c r="AX667" s="3">
        <v>1</v>
      </c>
      <c r="AY667" s="3">
        <v>0</v>
      </c>
      <c r="AZ667" s="3">
        <v>0</v>
      </c>
      <c r="BA667" s="3">
        <v>0</v>
      </c>
      <c r="BB667" s="3">
        <v>0</v>
      </c>
      <c r="BC667" s="3">
        <v>1</v>
      </c>
      <c r="BD667" s="3">
        <v>2</v>
      </c>
      <c r="BE667" s="3">
        <v>0</v>
      </c>
      <c r="BG667" s="2" t="s">
        <v>91</v>
      </c>
      <c r="BH667" s="3">
        <v>3</v>
      </c>
      <c r="BJ667" s="2" t="s">
        <v>96</v>
      </c>
      <c r="BL667" s="2" t="s">
        <v>123</v>
      </c>
      <c r="BM667" s="2" t="s">
        <v>123</v>
      </c>
      <c r="BN667" s="2" t="s">
        <v>124</v>
      </c>
      <c r="BO667" s="2" t="s">
        <v>125</v>
      </c>
      <c r="BP667" s="2" t="s">
        <v>101</v>
      </c>
      <c r="BQ667" s="2" t="s">
        <v>124</v>
      </c>
      <c r="BR667" s="2" t="s">
        <v>126</v>
      </c>
      <c r="BS667" s="2" t="s">
        <v>127</v>
      </c>
      <c r="BT667" s="2" t="s">
        <v>174</v>
      </c>
      <c r="BU667" s="2" t="s">
        <v>175</v>
      </c>
      <c r="BV667" s="2" t="s">
        <v>150</v>
      </c>
      <c r="BW667" s="2" t="s">
        <v>151</v>
      </c>
      <c r="BX667" s="2" t="s">
        <v>91</v>
      </c>
      <c r="BY66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67" s="2">
        <f>IF(AND(Cases[[#This Row],[Priority Level]]&gt;=3,Cases[[#This Row],[System Role]]&lt;&gt;"Productive"),1,0)</f>
        <v>0</v>
      </c>
      <c r="CA667" s="2">
        <f>IFERROR(IF(Cases[[#This Row],[Days at Customer]]&gt;MAX(1,Cases[[#This Row],[Days at SAP]]*2),1,0),0)</f>
        <v>0</v>
      </c>
      <c r="CB667" s="2">
        <f>IF(AND(Cases[[#This Row],[Initial Component]]&lt;&gt;"",Cases[[#This Row],[Component]]&lt;&gt;"",Cases[[#This Row],[Initial Component]]&lt;&gt;Cases[[#This Row],[Component]]),1,0)</f>
        <v>0</v>
      </c>
      <c r="CC667" s="2">
        <f>IF(OR(Cases[[#This Row],[Is Reopened]]="X",Cases[[#This Row],[No. of Reopenings]]&gt;0),1,0)</f>
        <v>1</v>
      </c>
      <c r="CD667" s="2">
        <f>IF(Cases[[#This Row],[Confirmation Type]]="Automatic",1,0)</f>
        <v>0</v>
      </c>
      <c r="CE667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68" spans="1:83" x14ac:dyDescent="0.2">
      <c r="A668" s="1" t="s">
        <v>523</v>
      </c>
      <c r="B668" s="2" t="s">
        <v>524</v>
      </c>
      <c r="C668" s="2" t="s">
        <v>111</v>
      </c>
      <c r="D668" s="2" t="s">
        <v>238</v>
      </c>
      <c r="E668" s="3">
        <v>0</v>
      </c>
      <c r="F668" s="3">
        <v>30.42</v>
      </c>
      <c r="G668" s="2" t="s">
        <v>112</v>
      </c>
      <c r="H668" s="2" t="s">
        <v>113</v>
      </c>
      <c r="I668" s="3" t="s">
        <v>114</v>
      </c>
      <c r="J668" s="3">
        <v>40</v>
      </c>
      <c r="K668" s="2" t="s">
        <v>525</v>
      </c>
      <c r="L668" s="4">
        <v>46124</v>
      </c>
      <c r="M668" s="4">
        <v>46122</v>
      </c>
      <c r="N668" s="2" t="s">
        <v>83</v>
      </c>
      <c r="O668" s="2" t="s">
        <v>84</v>
      </c>
      <c r="P668" s="2" t="s">
        <v>85</v>
      </c>
      <c r="Q668" s="2" t="s">
        <v>86</v>
      </c>
      <c r="R668" s="2" t="s">
        <v>116</v>
      </c>
      <c r="S668" s="4">
        <v>46087</v>
      </c>
      <c r="T668" s="2" t="s">
        <v>180</v>
      </c>
      <c r="U668" s="2" t="s">
        <v>181</v>
      </c>
      <c r="V668" s="2" t="s">
        <v>526</v>
      </c>
      <c r="W668" s="2" t="s">
        <v>86</v>
      </c>
      <c r="X668" s="2" t="s">
        <v>117</v>
      </c>
      <c r="Y668" s="3" t="s">
        <v>118</v>
      </c>
      <c r="Z668" s="3">
        <v>30.42</v>
      </c>
      <c r="AA668" s="2" t="s">
        <v>90</v>
      </c>
      <c r="AB668" s="2" t="s">
        <v>116</v>
      </c>
      <c r="AC668" s="2" t="s">
        <v>111</v>
      </c>
      <c r="AD668" t="str" cm="1">
        <f t="array" ref="AD66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668" s="2" t="s">
        <v>91</v>
      </c>
      <c r="AF668" s="2" t="s">
        <v>92</v>
      </c>
      <c r="AG668" s="2" t="s">
        <v>527</v>
      </c>
      <c r="AH668" s="2" t="s">
        <v>528</v>
      </c>
      <c r="AK668" s="2" t="s">
        <v>529</v>
      </c>
      <c r="AN668" s="3">
        <v>1</v>
      </c>
      <c r="AO668" s="3">
        <v>1</v>
      </c>
      <c r="AP668" s="3">
        <v>1</v>
      </c>
      <c r="AQ668" s="3">
        <v>1</v>
      </c>
      <c r="AR668" s="3">
        <v>1</v>
      </c>
      <c r="AS668" s="3">
        <v>0</v>
      </c>
      <c r="AT668" s="3">
        <v>0</v>
      </c>
      <c r="AU668" s="3">
        <v>0</v>
      </c>
      <c r="AV668" s="3">
        <v>1</v>
      </c>
      <c r="AW668" s="3">
        <v>0</v>
      </c>
      <c r="AX668" s="3">
        <v>1</v>
      </c>
      <c r="AY668" s="3">
        <v>0</v>
      </c>
      <c r="AZ668" s="3">
        <v>0</v>
      </c>
      <c r="BA668" s="3">
        <v>0</v>
      </c>
      <c r="BB668" s="3">
        <v>0</v>
      </c>
      <c r="BC668" s="3">
        <v>1</v>
      </c>
      <c r="BD668" s="3">
        <v>0</v>
      </c>
      <c r="BE668" s="3">
        <v>0</v>
      </c>
      <c r="BG668" s="2" t="s">
        <v>91</v>
      </c>
      <c r="BH668" s="3">
        <v>3</v>
      </c>
      <c r="BI668" s="2" t="s">
        <v>122</v>
      </c>
      <c r="BJ668" s="2" t="s">
        <v>96</v>
      </c>
      <c r="BL668" s="2" t="s">
        <v>184</v>
      </c>
      <c r="BM668" s="2" t="s">
        <v>184</v>
      </c>
      <c r="BN668" s="2" t="s">
        <v>124</v>
      </c>
      <c r="BO668" s="2" t="s">
        <v>125</v>
      </c>
      <c r="BP668" s="2" t="s">
        <v>242</v>
      </c>
      <c r="BQ668" s="2" t="s">
        <v>124</v>
      </c>
      <c r="BR668" s="2" t="s">
        <v>126</v>
      </c>
      <c r="BS668" s="2" t="s">
        <v>127</v>
      </c>
      <c r="BT668" s="2" t="s">
        <v>185</v>
      </c>
      <c r="BU668" s="2" t="s">
        <v>530</v>
      </c>
      <c r="BV668" s="2" t="s">
        <v>150</v>
      </c>
      <c r="BW668" s="2" t="s">
        <v>151</v>
      </c>
      <c r="BX668" s="2" t="s">
        <v>91</v>
      </c>
      <c r="BY66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68" s="2">
        <f>IF(AND(Cases[[#This Row],[Priority Level]]&gt;=3,Cases[[#This Row],[System Role]]&lt;&gt;"Productive"),1,0)</f>
        <v>0</v>
      </c>
      <c r="CA668" s="2">
        <f>IFERROR(IF(Cases[[#This Row],[Days at Customer]]&gt;MAX(1,Cases[[#This Row],[Days at SAP]]*2),1,0),0)</f>
        <v>1</v>
      </c>
      <c r="CB668" s="2">
        <f>IF(AND(Cases[[#This Row],[Initial Component]]&lt;&gt;"",Cases[[#This Row],[Component]]&lt;&gt;"",Cases[[#This Row],[Initial Component]]&lt;&gt;Cases[[#This Row],[Component]]),1,0)</f>
        <v>0</v>
      </c>
      <c r="CC668" s="2">
        <f>IF(OR(Cases[[#This Row],[Is Reopened]]="X",Cases[[#This Row],[No. of Reopenings]]&gt;0),1,0)</f>
        <v>0</v>
      </c>
      <c r="CD668" s="2">
        <f>IF(Cases[[#This Row],[Confirmation Type]]="Automatic",1,0)</f>
        <v>1</v>
      </c>
      <c r="CE66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69" spans="1:83" x14ac:dyDescent="0.2">
      <c r="A669" s="1" t="s">
        <v>3698</v>
      </c>
      <c r="B669" s="2" t="s">
        <v>3699</v>
      </c>
      <c r="C669" s="2" t="s">
        <v>3700</v>
      </c>
      <c r="D669" s="2" t="s">
        <v>78</v>
      </c>
      <c r="E669" s="3">
        <v>7.21</v>
      </c>
      <c r="F669" s="3">
        <v>51.02</v>
      </c>
      <c r="G669" s="2" t="s">
        <v>79</v>
      </c>
      <c r="H669" s="2" t="s">
        <v>80</v>
      </c>
      <c r="I669" s="3" t="s">
        <v>114</v>
      </c>
      <c r="J669" s="3">
        <v>235</v>
      </c>
      <c r="K669" s="2" t="s">
        <v>3701</v>
      </c>
      <c r="L669" s="4">
        <v>46047</v>
      </c>
      <c r="M669" s="4">
        <v>45951</v>
      </c>
      <c r="N669" s="2" t="s">
        <v>2727</v>
      </c>
      <c r="O669" s="2" t="s">
        <v>1805</v>
      </c>
      <c r="P669" s="2" t="s">
        <v>2887</v>
      </c>
      <c r="Q669" s="2" t="s">
        <v>1806</v>
      </c>
      <c r="R669" s="2" t="s">
        <v>3702</v>
      </c>
      <c r="S669" s="4">
        <v>45892</v>
      </c>
      <c r="T669" s="2" t="s">
        <v>3663</v>
      </c>
      <c r="U669" s="2" t="s">
        <v>3265</v>
      </c>
      <c r="V669" s="2" t="s">
        <v>3703</v>
      </c>
      <c r="W669" s="2" t="s">
        <v>1806</v>
      </c>
      <c r="X669" s="2" t="s">
        <v>117</v>
      </c>
      <c r="Y669" s="3" t="s">
        <v>118</v>
      </c>
      <c r="Z669" s="3">
        <v>58.23</v>
      </c>
      <c r="AA669" s="2" t="s">
        <v>90</v>
      </c>
      <c r="AB669" s="2" t="s">
        <v>3702</v>
      </c>
      <c r="AC669" s="2" t="s">
        <v>3700</v>
      </c>
      <c r="AD669" t="str" cm="1">
        <f t="array" ref="AD66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669" s="2" t="s">
        <v>182</v>
      </c>
      <c r="AF669" s="2" t="s">
        <v>92</v>
      </c>
      <c r="AG669" s="2" t="s">
        <v>119</v>
      </c>
      <c r="AH669" s="2" t="s">
        <v>120</v>
      </c>
      <c r="AK669" s="2" t="s">
        <v>3704</v>
      </c>
      <c r="AN669" s="3">
        <v>1</v>
      </c>
      <c r="AO669" s="3">
        <v>0</v>
      </c>
      <c r="AP669" s="3">
        <v>1</v>
      </c>
      <c r="AQ669" s="3">
        <v>1</v>
      </c>
      <c r="AR669" s="3">
        <v>0</v>
      </c>
      <c r="AS669" s="3">
        <v>1</v>
      </c>
      <c r="AT669" s="3">
        <v>0</v>
      </c>
      <c r="AU669" s="3">
        <v>0</v>
      </c>
      <c r="AV669" s="3">
        <v>0</v>
      </c>
      <c r="AW669" s="3">
        <v>1</v>
      </c>
      <c r="AX669" s="3">
        <v>0</v>
      </c>
      <c r="AY669" s="3">
        <v>1</v>
      </c>
      <c r="AZ669" s="3">
        <v>0</v>
      </c>
      <c r="BA669" s="3">
        <v>0</v>
      </c>
      <c r="BB669" s="3">
        <v>0</v>
      </c>
      <c r="BC669" s="3">
        <v>1</v>
      </c>
      <c r="BD669" s="3">
        <v>0</v>
      </c>
      <c r="BE669" s="3">
        <v>0</v>
      </c>
      <c r="BG669" s="2" t="s">
        <v>158</v>
      </c>
      <c r="BH669" s="3">
        <v>1</v>
      </c>
      <c r="BJ669" s="2" t="s">
        <v>96</v>
      </c>
      <c r="BL669" s="2" t="s">
        <v>123</v>
      </c>
      <c r="BM669" s="2" t="s">
        <v>123</v>
      </c>
      <c r="BN669" s="2" t="s">
        <v>124</v>
      </c>
      <c r="BO669" s="2" t="s">
        <v>125</v>
      </c>
      <c r="BP669" s="2" t="s">
        <v>101</v>
      </c>
      <c r="BQ669" s="2" t="s">
        <v>124</v>
      </c>
      <c r="BR669" s="2" t="s">
        <v>126</v>
      </c>
      <c r="BS669" s="2" t="s">
        <v>127</v>
      </c>
      <c r="BT669" s="2" t="s">
        <v>420</v>
      </c>
      <c r="BU669" s="2" t="s">
        <v>421</v>
      </c>
      <c r="BV669" s="2" t="s">
        <v>150</v>
      </c>
      <c r="BW669" s="2" t="s">
        <v>151</v>
      </c>
      <c r="BX669" s="2" t="s">
        <v>182</v>
      </c>
      <c r="BY66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69" s="2">
        <f>IF(AND(Cases[[#This Row],[Priority Level]]&gt;=3,Cases[[#This Row],[System Role]]&lt;&gt;"Productive"),1,0)</f>
        <v>0</v>
      </c>
      <c r="CA669" s="2">
        <f>IFERROR(IF(Cases[[#This Row],[Days at Customer]]&gt;MAX(1,Cases[[#This Row],[Days at SAP]]*2),1,0),0)</f>
        <v>1</v>
      </c>
      <c r="CB669" s="2">
        <f>IF(AND(Cases[[#This Row],[Initial Component]]&lt;&gt;"",Cases[[#This Row],[Component]]&lt;&gt;"",Cases[[#This Row],[Initial Component]]&lt;&gt;Cases[[#This Row],[Component]]),1,0)</f>
        <v>0</v>
      </c>
      <c r="CC669" s="2">
        <f>IF(OR(Cases[[#This Row],[Is Reopened]]="X",Cases[[#This Row],[No. of Reopenings]]&gt;0),1,0)</f>
        <v>0</v>
      </c>
      <c r="CD669" s="2">
        <f>IF(Cases[[#This Row],[Confirmation Type]]="Automatic",1,0)</f>
        <v>0</v>
      </c>
      <c r="CE669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70" spans="1:83" x14ac:dyDescent="0.2">
      <c r="A670" s="1" t="s">
        <v>3705</v>
      </c>
      <c r="B670" s="2" t="s">
        <v>3706</v>
      </c>
      <c r="C670" s="2" t="s">
        <v>3203</v>
      </c>
      <c r="D670" s="2" t="s">
        <v>238</v>
      </c>
      <c r="E670" s="3">
        <v>24.82</v>
      </c>
      <c r="F670" s="3">
        <v>112.62</v>
      </c>
      <c r="G670" s="2" t="s">
        <v>79</v>
      </c>
      <c r="H670" s="2" t="s">
        <v>80</v>
      </c>
      <c r="I670" s="3" t="s">
        <v>114</v>
      </c>
      <c r="J670" s="3">
        <v>236</v>
      </c>
      <c r="K670" s="2" t="s">
        <v>3707</v>
      </c>
      <c r="L670" s="4">
        <v>46033</v>
      </c>
      <c r="M670" s="4">
        <v>46029</v>
      </c>
      <c r="N670" s="2" t="s">
        <v>1334</v>
      </c>
      <c r="O670" s="2" t="s">
        <v>181</v>
      </c>
      <c r="P670" s="2" t="s">
        <v>677</v>
      </c>
      <c r="Q670" s="2" t="s">
        <v>86</v>
      </c>
      <c r="R670" s="2" t="s">
        <v>3202</v>
      </c>
      <c r="S670" s="4">
        <v>45891</v>
      </c>
      <c r="T670" s="2" t="s">
        <v>3663</v>
      </c>
      <c r="U670" s="2" t="s">
        <v>3265</v>
      </c>
      <c r="V670" s="2" t="s">
        <v>3703</v>
      </c>
      <c r="W670" s="2" t="s">
        <v>1806</v>
      </c>
      <c r="X670" s="2" t="s">
        <v>117</v>
      </c>
      <c r="Y670" s="3" t="s">
        <v>118</v>
      </c>
      <c r="Z670" s="3">
        <v>137.44</v>
      </c>
      <c r="AA670" s="2" t="s">
        <v>90</v>
      </c>
      <c r="AB670" s="2" t="s">
        <v>3708</v>
      </c>
      <c r="AC670" s="2" t="s">
        <v>3709</v>
      </c>
      <c r="AD670" t="str" cm="1">
        <f t="array" ref="AD67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670" s="2" t="s">
        <v>91</v>
      </c>
      <c r="AF670" s="2" t="s">
        <v>92</v>
      </c>
      <c r="AG670" s="2" t="s">
        <v>119</v>
      </c>
      <c r="AH670" s="2" t="s">
        <v>120</v>
      </c>
      <c r="AK670" s="2" t="s">
        <v>3710</v>
      </c>
      <c r="AN670" s="3">
        <v>1</v>
      </c>
      <c r="AO670" s="3">
        <v>0</v>
      </c>
      <c r="AP670" s="3">
        <v>1</v>
      </c>
      <c r="AQ670" s="3">
        <v>1</v>
      </c>
      <c r="AR670" s="3">
        <v>1</v>
      </c>
      <c r="AS670" s="3">
        <v>0</v>
      </c>
      <c r="AT670" s="3">
        <v>0</v>
      </c>
      <c r="AU670" s="3">
        <v>0</v>
      </c>
      <c r="AV670" s="3">
        <v>1</v>
      </c>
      <c r="AW670" s="3">
        <v>0</v>
      </c>
      <c r="AX670" s="3">
        <v>1</v>
      </c>
      <c r="AY670" s="3">
        <v>0</v>
      </c>
      <c r="AZ670" s="3">
        <v>0</v>
      </c>
      <c r="BA670" s="3">
        <v>0</v>
      </c>
      <c r="BB670" s="3">
        <v>0</v>
      </c>
      <c r="BC670" s="3">
        <v>1</v>
      </c>
      <c r="BD670" s="3">
        <v>0</v>
      </c>
      <c r="BE670" s="3">
        <v>0</v>
      </c>
      <c r="BG670" s="2" t="s">
        <v>91</v>
      </c>
      <c r="BH670" s="3">
        <v>3</v>
      </c>
      <c r="BJ670" s="2" t="s">
        <v>96</v>
      </c>
      <c r="BL670" s="2" t="s">
        <v>123</v>
      </c>
      <c r="BM670" s="2" t="s">
        <v>123</v>
      </c>
      <c r="BN670" s="2" t="s">
        <v>124</v>
      </c>
      <c r="BO670" s="2" t="s">
        <v>125</v>
      </c>
      <c r="BP670" s="2" t="s">
        <v>242</v>
      </c>
      <c r="BQ670" s="2" t="s">
        <v>124</v>
      </c>
      <c r="BR670" s="2" t="s">
        <v>126</v>
      </c>
      <c r="BS670" s="2" t="s">
        <v>127</v>
      </c>
      <c r="BT670" s="2" t="s">
        <v>174</v>
      </c>
      <c r="BU670" s="2" t="s">
        <v>175</v>
      </c>
      <c r="BV670" s="2" t="s">
        <v>150</v>
      </c>
      <c r="BW670" s="2" t="s">
        <v>151</v>
      </c>
      <c r="BX670" s="2" t="s">
        <v>91</v>
      </c>
      <c r="BY67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70" s="2">
        <f>IF(AND(Cases[[#This Row],[Priority Level]]&gt;=3,Cases[[#This Row],[System Role]]&lt;&gt;"Productive"),1,0)</f>
        <v>0</v>
      </c>
      <c r="CA670" s="2">
        <f>IFERROR(IF(Cases[[#This Row],[Days at Customer]]&gt;MAX(1,Cases[[#This Row],[Days at SAP]]*2),1,0),0)</f>
        <v>1</v>
      </c>
      <c r="CB670" s="2">
        <f>IF(AND(Cases[[#This Row],[Initial Component]]&lt;&gt;"",Cases[[#This Row],[Component]]&lt;&gt;"",Cases[[#This Row],[Initial Component]]&lt;&gt;Cases[[#This Row],[Component]]),1,0)</f>
        <v>1</v>
      </c>
      <c r="CC670" s="2">
        <f>IF(OR(Cases[[#This Row],[Is Reopened]]="X",Cases[[#This Row],[No. of Reopenings]]&gt;0),1,0)</f>
        <v>0</v>
      </c>
      <c r="CD670" s="2">
        <f>IF(Cases[[#This Row],[Confirmation Type]]="Automatic",1,0)</f>
        <v>1</v>
      </c>
      <c r="CE67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71" spans="1:83" x14ac:dyDescent="0.2">
      <c r="A671" s="1" t="s">
        <v>3711</v>
      </c>
      <c r="B671" s="2" t="s">
        <v>3712</v>
      </c>
      <c r="C671" s="2" t="s">
        <v>891</v>
      </c>
      <c r="D671" s="2" t="s">
        <v>238</v>
      </c>
      <c r="E671" s="3">
        <v>18.149999999999999</v>
      </c>
      <c r="F671" s="3">
        <v>73.56</v>
      </c>
      <c r="G671" s="2" t="s">
        <v>79</v>
      </c>
      <c r="H671" s="2" t="s">
        <v>290</v>
      </c>
      <c r="I671" s="3" t="s">
        <v>114</v>
      </c>
      <c r="J671" s="3">
        <v>237</v>
      </c>
      <c r="K671" s="2" t="s">
        <v>3713</v>
      </c>
      <c r="L671" s="4">
        <v>46009</v>
      </c>
      <c r="M671" s="4">
        <v>45982</v>
      </c>
      <c r="N671" s="2" t="s">
        <v>2274</v>
      </c>
      <c r="O671" s="2" t="s">
        <v>1805</v>
      </c>
      <c r="P671" s="2" t="s">
        <v>2404</v>
      </c>
      <c r="Q671" s="2" t="s">
        <v>1806</v>
      </c>
      <c r="R671" s="2" t="s">
        <v>894</v>
      </c>
      <c r="S671" s="4">
        <v>45890</v>
      </c>
      <c r="T671" s="2" t="s">
        <v>3663</v>
      </c>
      <c r="U671" s="2" t="s">
        <v>3265</v>
      </c>
      <c r="V671" s="2" t="s">
        <v>3703</v>
      </c>
      <c r="W671" s="2" t="s">
        <v>1806</v>
      </c>
      <c r="X671" s="2" t="s">
        <v>117</v>
      </c>
      <c r="Y671" s="3" t="s">
        <v>118</v>
      </c>
      <c r="Z671" s="3">
        <v>91.71</v>
      </c>
      <c r="AA671" s="2" t="s">
        <v>138</v>
      </c>
      <c r="AB671" s="2" t="s">
        <v>894</v>
      </c>
      <c r="AC671" s="2" t="s">
        <v>891</v>
      </c>
      <c r="AD671" t="str" cm="1">
        <f t="array" ref="AD67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671" s="2" t="s">
        <v>91</v>
      </c>
      <c r="AF671" s="2" t="s">
        <v>92</v>
      </c>
      <c r="AG671" s="2" t="s">
        <v>274</v>
      </c>
      <c r="AH671" s="2" t="s">
        <v>275</v>
      </c>
      <c r="AJ671" s="2" t="s">
        <v>122</v>
      </c>
      <c r="AK671" s="2" t="s">
        <v>3714</v>
      </c>
      <c r="AN671" s="3">
        <v>1</v>
      </c>
      <c r="AO671" s="3">
        <v>0</v>
      </c>
      <c r="AP671" s="3">
        <v>1</v>
      </c>
      <c r="AQ671" s="3">
        <v>1</v>
      </c>
      <c r="AR671" s="3">
        <v>1</v>
      </c>
      <c r="AS671" s="3">
        <v>0</v>
      </c>
      <c r="AT671" s="3">
        <v>0</v>
      </c>
      <c r="AU671" s="3">
        <v>0</v>
      </c>
      <c r="AV671" s="3">
        <v>1</v>
      </c>
      <c r="AW671" s="3">
        <v>0</v>
      </c>
      <c r="AX671" s="3">
        <v>1</v>
      </c>
      <c r="AY671" s="3">
        <v>0</v>
      </c>
      <c r="AZ671" s="3">
        <v>0</v>
      </c>
      <c r="BA671" s="3">
        <v>0</v>
      </c>
      <c r="BB671" s="3">
        <v>0</v>
      </c>
      <c r="BC671" s="3">
        <v>1</v>
      </c>
      <c r="BD671" s="3">
        <v>1</v>
      </c>
      <c r="BE671" s="3">
        <v>0</v>
      </c>
      <c r="BG671" s="2" t="s">
        <v>91</v>
      </c>
      <c r="BH671" s="3">
        <v>3</v>
      </c>
      <c r="BJ671" s="2" t="s">
        <v>96</v>
      </c>
      <c r="BL671" s="2" t="s">
        <v>277</v>
      </c>
      <c r="BM671" s="2" t="s">
        <v>278</v>
      </c>
      <c r="BN671" s="2" t="s">
        <v>279</v>
      </c>
      <c r="BO671" s="2" t="s">
        <v>280</v>
      </c>
      <c r="BP671" s="2" t="s">
        <v>242</v>
      </c>
      <c r="BQ671" s="2" t="s">
        <v>277</v>
      </c>
      <c r="BR671" s="2" t="s">
        <v>281</v>
      </c>
      <c r="BS671" s="2" t="s">
        <v>147</v>
      </c>
      <c r="BT671" s="2" t="s">
        <v>148</v>
      </c>
      <c r="BU671" s="2" t="s">
        <v>282</v>
      </c>
      <c r="BV671" s="2" t="s">
        <v>150</v>
      </c>
      <c r="BW671" s="2" t="s">
        <v>151</v>
      </c>
      <c r="BX671" s="2" t="s">
        <v>182</v>
      </c>
      <c r="BY67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71" s="2">
        <f>IF(AND(Cases[[#This Row],[Priority Level]]&gt;=3,Cases[[#This Row],[System Role]]&lt;&gt;"Productive"),1,0)</f>
        <v>0</v>
      </c>
      <c r="CA671" s="2">
        <f>IFERROR(IF(Cases[[#This Row],[Days at Customer]]&gt;MAX(1,Cases[[#This Row],[Days at SAP]]*2),1,0),0)</f>
        <v>1</v>
      </c>
      <c r="CB671" s="2">
        <f>IF(AND(Cases[[#This Row],[Initial Component]]&lt;&gt;"",Cases[[#This Row],[Component]]&lt;&gt;"",Cases[[#This Row],[Initial Component]]&lt;&gt;Cases[[#This Row],[Component]]),1,0)</f>
        <v>0</v>
      </c>
      <c r="CC671" s="2">
        <f>IF(OR(Cases[[#This Row],[Is Reopened]]="X",Cases[[#This Row],[No. of Reopenings]]&gt;0),1,0)</f>
        <v>1</v>
      </c>
      <c r="CD671" s="2">
        <f>IF(Cases[[#This Row],[Confirmation Type]]="Automatic",1,0)</f>
        <v>1</v>
      </c>
      <c r="CE671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672" spans="1:83" x14ac:dyDescent="0.2">
      <c r="A672" s="1" t="s">
        <v>3715</v>
      </c>
      <c r="B672" s="2" t="s">
        <v>3716</v>
      </c>
      <c r="C672" s="2" t="s">
        <v>3717</v>
      </c>
      <c r="D672" s="2" t="s">
        <v>238</v>
      </c>
      <c r="E672" s="3">
        <v>30.5</v>
      </c>
      <c r="F672" s="3">
        <v>86.22</v>
      </c>
      <c r="G672" s="2" t="s">
        <v>79</v>
      </c>
      <c r="H672" s="2" t="s">
        <v>290</v>
      </c>
      <c r="I672" s="3" t="s">
        <v>114</v>
      </c>
      <c r="J672" s="3">
        <v>237</v>
      </c>
      <c r="K672" s="2" t="s">
        <v>3718</v>
      </c>
      <c r="L672" s="4">
        <v>46012</v>
      </c>
      <c r="M672" s="4">
        <v>46007</v>
      </c>
      <c r="N672" s="2" t="s">
        <v>1804</v>
      </c>
      <c r="O672" s="2" t="s">
        <v>1805</v>
      </c>
      <c r="P672" s="2" t="s">
        <v>1930</v>
      </c>
      <c r="Q672" s="2" t="s">
        <v>1806</v>
      </c>
      <c r="R672" s="2" t="s">
        <v>3719</v>
      </c>
      <c r="S672" s="4">
        <v>45890</v>
      </c>
      <c r="T672" s="2" t="s">
        <v>3663</v>
      </c>
      <c r="U672" s="2" t="s">
        <v>3265</v>
      </c>
      <c r="V672" s="2" t="s">
        <v>3703</v>
      </c>
      <c r="W672" s="2" t="s">
        <v>1806</v>
      </c>
      <c r="X672" s="2" t="s">
        <v>117</v>
      </c>
      <c r="Y672" s="3" t="s">
        <v>118</v>
      </c>
      <c r="Z672" s="3">
        <v>116.71</v>
      </c>
      <c r="AA672" s="2" t="s">
        <v>90</v>
      </c>
      <c r="AB672" s="2" t="s">
        <v>3719</v>
      </c>
      <c r="AC672" s="2" t="s">
        <v>3717</v>
      </c>
      <c r="AD672" t="str" cm="1">
        <f t="array" ref="AD67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672" s="2" t="s">
        <v>139</v>
      </c>
      <c r="AF672" s="2" t="s">
        <v>92</v>
      </c>
      <c r="AG672" s="2" t="s">
        <v>119</v>
      </c>
      <c r="AH672" s="2" t="s">
        <v>120</v>
      </c>
      <c r="AK672" s="2" t="s">
        <v>3720</v>
      </c>
      <c r="AN672" s="3">
        <v>1</v>
      </c>
      <c r="AO672" s="3">
        <v>0</v>
      </c>
      <c r="AP672" s="3">
        <v>1</v>
      </c>
      <c r="AQ672" s="3">
        <v>1</v>
      </c>
      <c r="AR672" s="3">
        <v>0</v>
      </c>
      <c r="AS672" s="3">
        <v>0</v>
      </c>
      <c r="AT672" s="3">
        <v>1</v>
      </c>
      <c r="AU672" s="3">
        <v>0</v>
      </c>
      <c r="AV672" s="3">
        <v>1</v>
      </c>
      <c r="AW672" s="3">
        <v>0</v>
      </c>
      <c r="AX672" s="3">
        <v>0</v>
      </c>
      <c r="AY672" s="3">
        <v>0</v>
      </c>
      <c r="AZ672" s="3">
        <v>1</v>
      </c>
      <c r="BA672" s="3">
        <v>1</v>
      </c>
      <c r="BB672" s="3">
        <v>0</v>
      </c>
      <c r="BC672" s="3">
        <v>0</v>
      </c>
      <c r="BD672" s="3">
        <v>0</v>
      </c>
      <c r="BE672" s="3">
        <v>0</v>
      </c>
      <c r="BG672" s="2" t="s">
        <v>139</v>
      </c>
      <c r="BH672" s="3">
        <v>2</v>
      </c>
      <c r="BJ672" s="2" t="s">
        <v>96</v>
      </c>
      <c r="BL672" s="2" t="s">
        <v>123</v>
      </c>
      <c r="BM672" s="2" t="s">
        <v>123</v>
      </c>
      <c r="BN672" s="2" t="s">
        <v>124</v>
      </c>
      <c r="BO672" s="2" t="s">
        <v>125</v>
      </c>
      <c r="BP672" s="2" t="s">
        <v>242</v>
      </c>
      <c r="BQ672" s="2" t="s">
        <v>124</v>
      </c>
      <c r="BR672" s="2" t="s">
        <v>126</v>
      </c>
      <c r="BS672" s="2" t="s">
        <v>127</v>
      </c>
      <c r="BT672" s="2" t="s">
        <v>872</v>
      </c>
      <c r="BU672" s="2" t="s">
        <v>873</v>
      </c>
      <c r="BV672" s="2" t="s">
        <v>166</v>
      </c>
      <c r="BW672" s="2" t="s">
        <v>167</v>
      </c>
      <c r="BX672" s="2" t="s">
        <v>139</v>
      </c>
      <c r="BY67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72" s="2">
        <f>IF(AND(Cases[[#This Row],[Priority Level]]&gt;=3,Cases[[#This Row],[System Role]]&lt;&gt;"Productive"),1,0)</f>
        <v>0</v>
      </c>
      <c r="CA672" s="2">
        <f>IFERROR(IF(Cases[[#This Row],[Days at Customer]]&gt;MAX(1,Cases[[#This Row],[Days at SAP]]*2),1,0),0)</f>
        <v>1</v>
      </c>
      <c r="CB672" s="2">
        <f>IF(AND(Cases[[#This Row],[Initial Component]]&lt;&gt;"",Cases[[#This Row],[Component]]&lt;&gt;"",Cases[[#This Row],[Initial Component]]&lt;&gt;Cases[[#This Row],[Component]]),1,0)</f>
        <v>0</v>
      </c>
      <c r="CC672" s="2">
        <f>IF(OR(Cases[[#This Row],[Is Reopened]]="X",Cases[[#This Row],[No. of Reopenings]]&gt;0),1,0)</f>
        <v>0</v>
      </c>
      <c r="CD672" s="2">
        <f>IF(Cases[[#This Row],[Confirmation Type]]="Automatic",1,0)</f>
        <v>1</v>
      </c>
      <c r="CE672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73" spans="1:83" x14ac:dyDescent="0.2">
      <c r="A673" s="1" t="s">
        <v>3721</v>
      </c>
      <c r="B673" s="2" t="s">
        <v>3722</v>
      </c>
      <c r="C673" s="2" t="s">
        <v>1122</v>
      </c>
      <c r="D673" s="2" t="s">
        <v>238</v>
      </c>
      <c r="E673" s="3">
        <v>7.72</v>
      </c>
      <c r="F673" s="3">
        <v>62.74</v>
      </c>
      <c r="G673" s="2" t="s">
        <v>113</v>
      </c>
      <c r="H673" s="2" t="s">
        <v>113</v>
      </c>
      <c r="I673" s="3" t="s">
        <v>114</v>
      </c>
      <c r="J673" s="3">
        <v>237</v>
      </c>
      <c r="K673" s="2" t="s">
        <v>3723</v>
      </c>
      <c r="L673" s="4">
        <v>46054</v>
      </c>
      <c r="M673" s="4">
        <v>45960</v>
      </c>
      <c r="N673" s="2" t="s">
        <v>2727</v>
      </c>
      <c r="O673" s="2" t="s">
        <v>1805</v>
      </c>
      <c r="P673" s="2" t="s">
        <v>2717</v>
      </c>
      <c r="Q673" s="2" t="s">
        <v>1806</v>
      </c>
      <c r="R673" s="2" t="s">
        <v>1124</v>
      </c>
      <c r="S673" s="4">
        <v>45890</v>
      </c>
      <c r="T673" s="2" t="s">
        <v>3663</v>
      </c>
      <c r="U673" s="2" t="s">
        <v>3265</v>
      </c>
      <c r="V673" s="2" t="s">
        <v>3703</v>
      </c>
      <c r="W673" s="2" t="s">
        <v>1806</v>
      </c>
      <c r="X673" s="2" t="s">
        <v>117</v>
      </c>
      <c r="Y673" s="3" t="s">
        <v>118</v>
      </c>
      <c r="Z673" s="3">
        <v>70.47</v>
      </c>
      <c r="AA673" s="2" t="s">
        <v>90</v>
      </c>
      <c r="AB673" s="2" t="s">
        <v>1124</v>
      </c>
      <c r="AC673" s="2" t="s">
        <v>1122</v>
      </c>
      <c r="AD673" t="str" cm="1">
        <f t="array" ref="AD67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673" s="2" t="s">
        <v>91</v>
      </c>
      <c r="AF673" s="2" t="s">
        <v>92</v>
      </c>
      <c r="AG673" s="2" t="s">
        <v>119</v>
      </c>
      <c r="AH673" s="2" t="s">
        <v>120</v>
      </c>
      <c r="AK673" s="2" t="s">
        <v>3724</v>
      </c>
      <c r="AN673" s="3">
        <v>1</v>
      </c>
      <c r="AO673" s="3">
        <v>0</v>
      </c>
      <c r="AP673" s="3">
        <v>1</v>
      </c>
      <c r="AQ673" s="3">
        <v>1</v>
      </c>
      <c r="AR673" s="3">
        <v>1</v>
      </c>
      <c r="AS673" s="3">
        <v>0</v>
      </c>
      <c r="AT673" s="3">
        <v>0</v>
      </c>
      <c r="AU673" s="3">
        <v>0</v>
      </c>
      <c r="AV673" s="3">
        <v>1</v>
      </c>
      <c r="AW673" s="3">
        <v>0</v>
      </c>
      <c r="AX673" s="3">
        <v>1</v>
      </c>
      <c r="AY673" s="3">
        <v>0</v>
      </c>
      <c r="AZ673" s="3">
        <v>0</v>
      </c>
      <c r="BA673" s="3">
        <v>0</v>
      </c>
      <c r="BB673" s="3">
        <v>0</v>
      </c>
      <c r="BC673" s="3">
        <v>1</v>
      </c>
      <c r="BD673" s="3">
        <v>0</v>
      </c>
      <c r="BE673" s="3">
        <v>0</v>
      </c>
      <c r="BG673" s="2" t="s">
        <v>91</v>
      </c>
      <c r="BH673" s="3">
        <v>3</v>
      </c>
      <c r="BJ673" s="2" t="s">
        <v>96</v>
      </c>
      <c r="BL673" s="2" t="s">
        <v>123</v>
      </c>
      <c r="BM673" s="2" t="s">
        <v>123</v>
      </c>
      <c r="BN673" s="2" t="s">
        <v>124</v>
      </c>
      <c r="BO673" s="2" t="s">
        <v>125</v>
      </c>
      <c r="BP673" s="2" t="s">
        <v>242</v>
      </c>
      <c r="BQ673" s="2" t="s">
        <v>124</v>
      </c>
      <c r="BR673" s="2" t="s">
        <v>126</v>
      </c>
      <c r="BS673" s="2" t="s">
        <v>127</v>
      </c>
      <c r="BT673" s="2" t="s">
        <v>207</v>
      </c>
      <c r="BU673" s="2" t="s">
        <v>208</v>
      </c>
      <c r="BV673" s="2" t="s">
        <v>150</v>
      </c>
      <c r="BW673" s="2" t="s">
        <v>151</v>
      </c>
      <c r="BX673" s="2" t="s">
        <v>182</v>
      </c>
      <c r="BY67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73" s="2">
        <f>IF(AND(Cases[[#This Row],[Priority Level]]&gt;=3,Cases[[#This Row],[System Role]]&lt;&gt;"Productive"),1,0)</f>
        <v>0</v>
      </c>
      <c r="CA673" s="2">
        <f>IFERROR(IF(Cases[[#This Row],[Days at Customer]]&gt;MAX(1,Cases[[#This Row],[Days at SAP]]*2),1,0),0)</f>
        <v>1</v>
      </c>
      <c r="CB673" s="2">
        <f>IF(AND(Cases[[#This Row],[Initial Component]]&lt;&gt;"",Cases[[#This Row],[Component]]&lt;&gt;"",Cases[[#This Row],[Initial Component]]&lt;&gt;Cases[[#This Row],[Component]]),1,0)</f>
        <v>0</v>
      </c>
      <c r="CC673" s="2">
        <f>IF(OR(Cases[[#This Row],[Is Reopened]]="X",Cases[[#This Row],[No. of Reopenings]]&gt;0),1,0)</f>
        <v>0</v>
      </c>
      <c r="CD673" s="2">
        <f>IF(Cases[[#This Row],[Confirmation Type]]="Automatic",1,0)</f>
        <v>1</v>
      </c>
      <c r="CE673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74" spans="1:83" x14ac:dyDescent="0.2">
      <c r="A674" s="1" t="s">
        <v>3725</v>
      </c>
      <c r="B674" s="2" t="s">
        <v>3726</v>
      </c>
      <c r="C674" s="2" t="s">
        <v>300</v>
      </c>
      <c r="D674" s="2" t="s">
        <v>238</v>
      </c>
      <c r="E674" s="3">
        <v>17.059999999999999</v>
      </c>
      <c r="F674" s="3">
        <v>45.75</v>
      </c>
      <c r="G674" s="2" t="s">
        <v>79</v>
      </c>
      <c r="H674" s="2" t="s">
        <v>290</v>
      </c>
      <c r="I674" s="3" t="s">
        <v>114</v>
      </c>
      <c r="J674" s="3">
        <v>237</v>
      </c>
      <c r="K674" s="2" t="s">
        <v>3727</v>
      </c>
      <c r="L674" s="4">
        <v>46047</v>
      </c>
      <c r="M674" s="4">
        <v>45953</v>
      </c>
      <c r="N674" s="2" t="s">
        <v>2727</v>
      </c>
      <c r="O674" s="2" t="s">
        <v>1805</v>
      </c>
      <c r="P674" s="2" t="s">
        <v>2887</v>
      </c>
      <c r="Q674" s="2" t="s">
        <v>1806</v>
      </c>
      <c r="R674" s="2" t="s">
        <v>299</v>
      </c>
      <c r="S674" s="4">
        <v>45890</v>
      </c>
      <c r="T674" s="2" t="s">
        <v>3663</v>
      </c>
      <c r="U674" s="2" t="s">
        <v>3265</v>
      </c>
      <c r="V674" s="2" t="s">
        <v>3703</v>
      </c>
      <c r="W674" s="2" t="s">
        <v>1806</v>
      </c>
      <c r="X674" s="2" t="s">
        <v>117</v>
      </c>
      <c r="Y674" s="3" t="s">
        <v>118</v>
      </c>
      <c r="Z674" s="3">
        <v>62.81</v>
      </c>
      <c r="AA674" s="2" t="s">
        <v>90</v>
      </c>
      <c r="AB674" s="2" t="s">
        <v>299</v>
      </c>
      <c r="AC674" s="2" t="s">
        <v>300</v>
      </c>
      <c r="AD674" t="str" cm="1">
        <f t="array" ref="AD67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674" s="2" t="s">
        <v>91</v>
      </c>
      <c r="AF674" s="2" t="s">
        <v>92</v>
      </c>
      <c r="AG674" s="2" t="s">
        <v>159</v>
      </c>
      <c r="AH674" s="2" t="s">
        <v>160</v>
      </c>
      <c r="AK674" s="2" t="s">
        <v>3728</v>
      </c>
      <c r="AN674" s="3">
        <v>1</v>
      </c>
      <c r="AO674" s="3">
        <v>0</v>
      </c>
      <c r="AP674" s="3">
        <v>1</v>
      </c>
      <c r="AQ674" s="3">
        <v>1</v>
      </c>
      <c r="AR674" s="3">
        <v>1</v>
      </c>
      <c r="AS674" s="3">
        <v>0</v>
      </c>
      <c r="AT674" s="3">
        <v>0</v>
      </c>
      <c r="AU674" s="3">
        <v>0</v>
      </c>
      <c r="AV674" s="3">
        <v>1</v>
      </c>
      <c r="AW674" s="3">
        <v>0</v>
      </c>
      <c r="AX674" s="3">
        <v>1</v>
      </c>
      <c r="AY674" s="3">
        <v>0</v>
      </c>
      <c r="AZ674" s="3">
        <v>0</v>
      </c>
      <c r="BA674" s="3">
        <v>1</v>
      </c>
      <c r="BB674" s="3">
        <v>0</v>
      </c>
      <c r="BC674" s="3">
        <v>0</v>
      </c>
      <c r="BD674" s="3">
        <v>0</v>
      </c>
      <c r="BE674" s="3">
        <v>0</v>
      </c>
      <c r="BG674" s="2" t="s">
        <v>91</v>
      </c>
      <c r="BH674" s="3">
        <v>3</v>
      </c>
      <c r="BJ674" s="2" t="s">
        <v>96</v>
      </c>
      <c r="BL674" s="2" t="s">
        <v>162</v>
      </c>
      <c r="BM674" s="2" t="s">
        <v>163</v>
      </c>
      <c r="BN674" s="2" t="s">
        <v>99</v>
      </c>
      <c r="BO674" s="2" t="s">
        <v>100</v>
      </c>
      <c r="BP674" s="2" t="s">
        <v>242</v>
      </c>
      <c r="BQ674" s="2" t="s">
        <v>102</v>
      </c>
      <c r="BR674" s="2" t="s">
        <v>103</v>
      </c>
      <c r="BS674" s="2" t="s">
        <v>127</v>
      </c>
      <c r="BT674" s="2" t="s">
        <v>164</v>
      </c>
      <c r="BU674" s="2" t="s">
        <v>165</v>
      </c>
      <c r="BV674" s="2" t="s">
        <v>166</v>
      </c>
      <c r="BW674" s="2" t="s">
        <v>167</v>
      </c>
      <c r="BX674" s="2" t="s">
        <v>91</v>
      </c>
      <c r="BY67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74" s="2">
        <f>IF(AND(Cases[[#This Row],[Priority Level]]&gt;=3,Cases[[#This Row],[System Role]]&lt;&gt;"Productive"),1,0)</f>
        <v>1</v>
      </c>
      <c r="CA674" s="2">
        <f>IFERROR(IF(Cases[[#This Row],[Days at Customer]]&gt;MAX(1,Cases[[#This Row],[Days at SAP]]*2),1,0),0)</f>
        <v>1</v>
      </c>
      <c r="CB674" s="2">
        <f>IF(AND(Cases[[#This Row],[Initial Component]]&lt;&gt;"",Cases[[#This Row],[Component]]&lt;&gt;"",Cases[[#This Row],[Initial Component]]&lt;&gt;Cases[[#This Row],[Component]]),1,0)</f>
        <v>0</v>
      </c>
      <c r="CC674" s="2">
        <f>IF(OR(Cases[[#This Row],[Is Reopened]]="X",Cases[[#This Row],[No. of Reopenings]]&gt;0),1,0)</f>
        <v>0</v>
      </c>
      <c r="CD674" s="2">
        <f>IF(Cases[[#This Row],[Confirmation Type]]="Automatic",1,0)</f>
        <v>1</v>
      </c>
      <c r="CE674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675" spans="1:83" x14ac:dyDescent="0.2">
      <c r="A675" s="1" t="s">
        <v>3729</v>
      </c>
      <c r="B675" s="2" t="s">
        <v>3730</v>
      </c>
      <c r="C675" s="2" t="s">
        <v>2164</v>
      </c>
      <c r="D675" s="2" t="s">
        <v>238</v>
      </c>
      <c r="E675" s="3">
        <v>6.24</v>
      </c>
      <c r="F675" s="3">
        <v>35.450000000000003</v>
      </c>
      <c r="G675" s="2" t="s">
        <v>79</v>
      </c>
      <c r="H675" s="2" t="s">
        <v>178</v>
      </c>
      <c r="I675" s="3" t="s">
        <v>114</v>
      </c>
      <c r="J675" s="3">
        <v>237</v>
      </c>
      <c r="K675" s="2" t="s">
        <v>3731</v>
      </c>
      <c r="L675" s="4">
        <v>46026</v>
      </c>
      <c r="M675" s="4">
        <v>45931</v>
      </c>
      <c r="N675" s="2" t="s">
        <v>2727</v>
      </c>
      <c r="O675" s="2" t="s">
        <v>1805</v>
      </c>
      <c r="P675" s="2" t="s">
        <v>3224</v>
      </c>
      <c r="Q675" s="2" t="s">
        <v>1806</v>
      </c>
      <c r="R675" s="2" t="s">
        <v>2163</v>
      </c>
      <c r="S675" s="4">
        <v>45890</v>
      </c>
      <c r="T675" s="2" t="s">
        <v>3663</v>
      </c>
      <c r="U675" s="2" t="s">
        <v>3265</v>
      </c>
      <c r="V675" s="2" t="s">
        <v>3703</v>
      </c>
      <c r="W675" s="2" t="s">
        <v>1806</v>
      </c>
      <c r="X675" s="2" t="s">
        <v>117</v>
      </c>
      <c r="Y675" s="3" t="s">
        <v>118</v>
      </c>
      <c r="Z675" s="3">
        <v>41.69</v>
      </c>
      <c r="AA675" s="2" t="s">
        <v>90</v>
      </c>
      <c r="AB675" s="2" t="s">
        <v>2163</v>
      </c>
      <c r="AC675" s="2" t="s">
        <v>2164</v>
      </c>
      <c r="AD675" t="str" cm="1">
        <f t="array" ref="AD67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675" s="2" t="s">
        <v>139</v>
      </c>
      <c r="AF675" s="2" t="s">
        <v>92</v>
      </c>
      <c r="AG675" s="2" t="s">
        <v>119</v>
      </c>
      <c r="AH675" s="2" t="s">
        <v>120</v>
      </c>
      <c r="AJ675" s="2" t="s">
        <v>122</v>
      </c>
      <c r="AK675" s="2" t="s">
        <v>3732</v>
      </c>
      <c r="AN675" s="3">
        <v>1</v>
      </c>
      <c r="AO675" s="3">
        <v>0</v>
      </c>
      <c r="AP675" s="3">
        <v>1</v>
      </c>
      <c r="AQ675" s="3">
        <v>1</v>
      </c>
      <c r="AR675" s="3">
        <v>0</v>
      </c>
      <c r="AS675" s="3">
        <v>0</v>
      </c>
      <c r="AT675" s="3">
        <v>1</v>
      </c>
      <c r="AU675" s="3">
        <v>0</v>
      </c>
      <c r="AV675" s="3">
        <v>1</v>
      </c>
      <c r="AW675" s="3">
        <v>0</v>
      </c>
      <c r="AX675" s="3">
        <v>0</v>
      </c>
      <c r="AY675" s="3">
        <v>0</v>
      </c>
      <c r="AZ675" s="3">
        <v>1</v>
      </c>
      <c r="BA675" s="3">
        <v>1</v>
      </c>
      <c r="BB675" s="3">
        <v>0</v>
      </c>
      <c r="BC675" s="3">
        <v>0</v>
      </c>
      <c r="BD675" s="3">
        <v>1</v>
      </c>
      <c r="BE675" s="3">
        <v>0</v>
      </c>
      <c r="BG675" s="2" t="s">
        <v>139</v>
      </c>
      <c r="BH675" s="3">
        <v>2</v>
      </c>
      <c r="BJ675" s="2" t="s">
        <v>96</v>
      </c>
      <c r="BL675" s="2" t="s">
        <v>123</v>
      </c>
      <c r="BM675" s="2" t="s">
        <v>123</v>
      </c>
      <c r="BN675" s="2" t="s">
        <v>124</v>
      </c>
      <c r="BO675" s="2" t="s">
        <v>125</v>
      </c>
      <c r="BP675" s="2" t="s">
        <v>242</v>
      </c>
      <c r="BQ675" s="2" t="s">
        <v>124</v>
      </c>
      <c r="BR675" s="2" t="s">
        <v>126</v>
      </c>
      <c r="BS675" s="2" t="s">
        <v>127</v>
      </c>
      <c r="BT675" s="2" t="s">
        <v>199</v>
      </c>
      <c r="BU675" s="2" t="s">
        <v>200</v>
      </c>
      <c r="BV675" s="2" t="s">
        <v>166</v>
      </c>
      <c r="BW675" s="2" t="s">
        <v>167</v>
      </c>
      <c r="BX675" s="2" t="s">
        <v>139</v>
      </c>
      <c r="BY67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75" s="2">
        <f>IF(AND(Cases[[#This Row],[Priority Level]]&gt;=3,Cases[[#This Row],[System Role]]&lt;&gt;"Productive"),1,0)</f>
        <v>0</v>
      </c>
      <c r="CA675" s="2">
        <f>IFERROR(IF(Cases[[#This Row],[Days at Customer]]&gt;MAX(1,Cases[[#This Row],[Days at SAP]]*2),1,0),0)</f>
        <v>1</v>
      </c>
      <c r="CB675" s="2">
        <f>IF(AND(Cases[[#This Row],[Initial Component]]&lt;&gt;"",Cases[[#This Row],[Component]]&lt;&gt;"",Cases[[#This Row],[Initial Component]]&lt;&gt;Cases[[#This Row],[Component]]),1,0)</f>
        <v>0</v>
      </c>
      <c r="CC675" s="2">
        <f>IF(OR(Cases[[#This Row],[Is Reopened]]="X",Cases[[#This Row],[No. of Reopenings]]&gt;0),1,0)</f>
        <v>1</v>
      </c>
      <c r="CD675" s="2">
        <f>IF(Cases[[#This Row],[Confirmation Type]]="Automatic",1,0)</f>
        <v>1</v>
      </c>
      <c r="CE675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676" spans="1:83" x14ac:dyDescent="0.2">
      <c r="A676" s="1" t="s">
        <v>3733</v>
      </c>
      <c r="B676" s="2" t="s">
        <v>3734</v>
      </c>
      <c r="C676" s="2" t="s">
        <v>1214</v>
      </c>
      <c r="D676" s="2" t="s">
        <v>238</v>
      </c>
      <c r="E676" s="3">
        <v>5.3</v>
      </c>
      <c r="F676" s="3">
        <v>114.29</v>
      </c>
      <c r="G676" s="2" t="s">
        <v>79</v>
      </c>
      <c r="H676" s="2" t="s">
        <v>178</v>
      </c>
      <c r="I676" s="3" t="s">
        <v>81</v>
      </c>
      <c r="J676" s="3">
        <v>239</v>
      </c>
      <c r="K676" s="2" t="s">
        <v>3735</v>
      </c>
      <c r="L676" s="4">
        <v>46012</v>
      </c>
      <c r="M676" s="4">
        <v>46008</v>
      </c>
      <c r="N676" s="2" t="s">
        <v>1804</v>
      </c>
      <c r="O676" s="2" t="s">
        <v>1805</v>
      </c>
      <c r="P676" s="2" t="s">
        <v>1930</v>
      </c>
      <c r="Q676" s="2" t="s">
        <v>1806</v>
      </c>
      <c r="R676" s="2" t="s">
        <v>1213</v>
      </c>
      <c r="S676" s="4">
        <v>45888</v>
      </c>
      <c r="T676" s="2" t="s">
        <v>3663</v>
      </c>
      <c r="U676" s="2" t="s">
        <v>3265</v>
      </c>
      <c r="V676" s="2" t="s">
        <v>3703</v>
      </c>
      <c r="W676" s="2" t="s">
        <v>1806</v>
      </c>
      <c r="X676" s="2" t="s">
        <v>88</v>
      </c>
      <c r="Y676" s="3" t="s">
        <v>89</v>
      </c>
      <c r="Z676" s="3">
        <v>119.59</v>
      </c>
      <c r="AA676" s="2" t="s">
        <v>90</v>
      </c>
      <c r="AB676" s="2" t="s">
        <v>1213</v>
      </c>
      <c r="AC676" s="2" t="s">
        <v>1214</v>
      </c>
      <c r="AD676" t="str" cm="1">
        <f t="array" ref="AD67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676" s="2" t="s">
        <v>91</v>
      </c>
      <c r="AF676" s="2" t="s">
        <v>92</v>
      </c>
      <c r="AG676" s="2" t="s">
        <v>93</v>
      </c>
      <c r="AH676" s="2" t="s">
        <v>94</v>
      </c>
      <c r="AJ676" s="2" t="s">
        <v>122</v>
      </c>
      <c r="AK676" s="2" t="s">
        <v>3736</v>
      </c>
      <c r="AN676" s="3">
        <v>1</v>
      </c>
      <c r="AO676" s="3">
        <v>0</v>
      </c>
      <c r="AP676" s="3">
        <v>1</v>
      </c>
      <c r="AQ676" s="3">
        <v>1</v>
      </c>
      <c r="AR676" s="3">
        <v>1</v>
      </c>
      <c r="AS676" s="3">
        <v>0</v>
      </c>
      <c r="AT676" s="3">
        <v>0</v>
      </c>
      <c r="AU676" s="3">
        <v>0</v>
      </c>
      <c r="AV676" s="3">
        <v>1</v>
      </c>
      <c r="AW676" s="3">
        <v>0</v>
      </c>
      <c r="AX676" s="3">
        <v>1</v>
      </c>
      <c r="AY676" s="3">
        <v>0</v>
      </c>
      <c r="AZ676" s="3">
        <v>0</v>
      </c>
      <c r="BA676" s="3">
        <v>0</v>
      </c>
      <c r="BB676" s="3">
        <v>0</v>
      </c>
      <c r="BC676" s="3">
        <v>1</v>
      </c>
      <c r="BD676" s="3">
        <v>1</v>
      </c>
      <c r="BE676" s="3">
        <v>0</v>
      </c>
      <c r="BG676" s="2" t="s">
        <v>91</v>
      </c>
      <c r="BH676" s="3">
        <v>3</v>
      </c>
      <c r="BJ676" s="2" t="s">
        <v>96</v>
      </c>
      <c r="BL676" s="2" t="s">
        <v>184</v>
      </c>
      <c r="BM676" s="2" t="s">
        <v>184</v>
      </c>
      <c r="BN676" s="2" t="s">
        <v>124</v>
      </c>
      <c r="BO676" s="2" t="s">
        <v>125</v>
      </c>
      <c r="BP676" s="2" t="s">
        <v>242</v>
      </c>
      <c r="BQ676" s="2" t="s">
        <v>124</v>
      </c>
      <c r="BR676" s="2" t="s">
        <v>126</v>
      </c>
      <c r="BS676" s="2" t="s">
        <v>127</v>
      </c>
      <c r="BT676" s="2" t="s">
        <v>1415</v>
      </c>
      <c r="BU676" s="2" t="s">
        <v>1416</v>
      </c>
      <c r="BV676" s="2" t="s">
        <v>150</v>
      </c>
      <c r="BW676" s="2" t="s">
        <v>151</v>
      </c>
      <c r="BX676" s="2" t="s">
        <v>91</v>
      </c>
      <c r="BY67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76" s="2">
        <f>IF(AND(Cases[[#This Row],[Priority Level]]&gt;=3,Cases[[#This Row],[System Role]]&lt;&gt;"Productive"),1,0)</f>
        <v>0</v>
      </c>
      <c r="CA676" s="2">
        <f>IFERROR(IF(Cases[[#This Row],[Days at Customer]]&gt;MAX(1,Cases[[#This Row],[Days at SAP]]*2),1,0),0)</f>
        <v>1</v>
      </c>
      <c r="CB676" s="2">
        <f>IF(AND(Cases[[#This Row],[Initial Component]]&lt;&gt;"",Cases[[#This Row],[Component]]&lt;&gt;"",Cases[[#This Row],[Initial Component]]&lt;&gt;Cases[[#This Row],[Component]]),1,0)</f>
        <v>0</v>
      </c>
      <c r="CC676" s="2">
        <f>IF(OR(Cases[[#This Row],[Is Reopened]]="X",Cases[[#This Row],[No. of Reopenings]]&gt;0),1,0)</f>
        <v>1</v>
      </c>
      <c r="CD676" s="2">
        <f>IF(Cases[[#This Row],[Confirmation Type]]="Automatic",1,0)</f>
        <v>1</v>
      </c>
      <c r="CE676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677" spans="1:83" x14ac:dyDescent="0.2">
      <c r="A677" s="1" t="s">
        <v>3737</v>
      </c>
      <c r="B677" s="2" t="s">
        <v>3738</v>
      </c>
      <c r="C677" s="2" t="s">
        <v>1645</v>
      </c>
      <c r="D677" s="2" t="s">
        <v>238</v>
      </c>
      <c r="E677" s="3">
        <v>21.49</v>
      </c>
      <c r="F677" s="3">
        <v>43.33</v>
      </c>
      <c r="G677" s="2" t="s">
        <v>79</v>
      </c>
      <c r="H677" s="2" t="s">
        <v>178</v>
      </c>
      <c r="I677" s="3" t="s">
        <v>114</v>
      </c>
      <c r="J677" s="3">
        <v>239</v>
      </c>
      <c r="K677" s="2" t="s">
        <v>3739</v>
      </c>
      <c r="L677" s="4">
        <v>46047</v>
      </c>
      <c r="M677" s="4">
        <v>45953</v>
      </c>
      <c r="N677" s="2" t="s">
        <v>2727</v>
      </c>
      <c r="O677" s="2" t="s">
        <v>1805</v>
      </c>
      <c r="P677" s="2" t="s">
        <v>2887</v>
      </c>
      <c r="Q677" s="2" t="s">
        <v>1806</v>
      </c>
      <c r="R677" s="2" t="s">
        <v>1647</v>
      </c>
      <c r="S677" s="4">
        <v>45888</v>
      </c>
      <c r="T677" s="2" t="s">
        <v>3663</v>
      </c>
      <c r="U677" s="2" t="s">
        <v>3265</v>
      </c>
      <c r="V677" s="2" t="s">
        <v>3703</v>
      </c>
      <c r="W677" s="2" t="s">
        <v>1806</v>
      </c>
      <c r="X677" s="2" t="s">
        <v>117</v>
      </c>
      <c r="Y677" s="3" t="s">
        <v>118</v>
      </c>
      <c r="Z677" s="3">
        <v>64.819999999999993</v>
      </c>
      <c r="AA677" s="2" t="s">
        <v>90</v>
      </c>
      <c r="AB677" s="2" t="s">
        <v>1647</v>
      </c>
      <c r="AC677" s="2" t="s">
        <v>1645</v>
      </c>
      <c r="AD677" t="str" cm="1">
        <f t="array" ref="AD67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677" s="2" t="s">
        <v>139</v>
      </c>
      <c r="AF677" s="2" t="s">
        <v>92</v>
      </c>
      <c r="AG677" s="2" t="s">
        <v>119</v>
      </c>
      <c r="AH677" s="2" t="s">
        <v>120</v>
      </c>
      <c r="AJ677" s="2" t="s">
        <v>122</v>
      </c>
      <c r="AK677" s="2" t="s">
        <v>3740</v>
      </c>
      <c r="AN677" s="3">
        <v>1</v>
      </c>
      <c r="AO677" s="3">
        <v>0</v>
      </c>
      <c r="AP677" s="3">
        <v>1</v>
      </c>
      <c r="AQ677" s="3">
        <v>1</v>
      </c>
      <c r="AR677" s="3">
        <v>0</v>
      </c>
      <c r="AS677" s="3">
        <v>0</v>
      </c>
      <c r="AT677" s="3">
        <v>1</v>
      </c>
      <c r="AU677" s="3">
        <v>0</v>
      </c>
      <c r="AV677" s="3">
        <v>1</v>
      </c>
      <c r="AW677" s="3">
        <v>0</v>
      </c>
      <c r="AX677" s="3">
        <v>0</v>
      </c>
      <c r="AY677" s="3">
        <v>0</v>
      </c>
      <c r="AZ677" s="3">
        <v>1</v>
      </c>
      <c r="BA677" s="3">
        <v>1</v>
      </c>
      <c r="BB677" s="3">
        <v>0</v>
      </c>
      <c r="BC677" s="3">
        <v>0</v>
      </c>
      <c r="BD677" s="3">
        <v>2</v>
      </c>
      <c r="BE677" s="3">
        <v>0</v>
      </c>
      <c r="BG677" s="2" t="s">
        <v>139</v>
      </c>
      <c r="BH677" s="3">
        <v>2</v>
      </c>
      <c r="BJ677" s="2" t="s">
        <v>96</v>
      </c>
      <c r="BL677" s="2" t="s">
        <v>123</v>
      </c>
      <c r="BM677" s="2" t="s">
        <v>123</v>
      </c>
      <c r="BN677" s="2" t="s">
        <v>124</v>
      </c>
      <c r="BO677" s="2" t="s">
        <v>125</v>
      </c>
      <c r="BP677" s="2" t="s">
        <v>242</v>
      </c>
      <c r="BQ677" s="2" t="s">
        <v>124</v>
      </c>
      <c r="BR677" s="2" t="s">
        <v>126</v>
      </c>
      <c r="BS677" s="2" t="s">
        <v>127</v>
      </c>
      <c r="BT677" s="2" t="s">
        <v>1395</v>
      </c>
      <c r="BU677" s="2" t="s">
        <v>1396</v>
      </c>
      <c r="BV677" s="2" t="s">
        <v>107</v>
      </c>
      <c r="BW677" s="2" t="s">
        <v>108</v>
      </c>
      <c r="BX677" s="2" t="s">
        <v>139</v>
      </c>
      <c r="BY67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77" s="2">
        <f>IF(AND(Cases[[#This Row],[Priority Level]]&gt;=3,Cases[[#This Row],[System Role]]&lt;&gt;"Productive"),1,0)</f>
        <v>0</v>
      </c>
      <c r="CA677" s="2">
        <f>IFERROR(IF(Cases[[#This Row],[Days at Customer]]&gt;MAX(1,Cases[[#This Row],[Days at SAP]]*2),1,0),0)</f>
        <v>1</v>
      </c>
      <c r="CB677" s="2">
        <f>IF(AND(Cases[[#This Row],[Initial Component]]&lt;&gt;"",Cases[[#This Row],[Component]]&lt;&gt;"",Cases[[#This Row],[Initial Component]]&lt;&gt;Cases[[#This Row],[Component]]),1,0)</f>
        <v>0</v>
      </c>
      <c r="CC677" s="2">
        <f>IF(OR(Cases[[#This Row],[Is Reopened]]="X",Cases[[#This Row],[No. of Reopenings]]&gt;0),1,0)</f>
        <v>1</v>
      </c>
      <c r="CD677" s="2">
        <f>IF(Cases[[#This Row],[Confirmation Type]]="Automatic",1,0)</f>
        <v>1</v>
      </c>
      <c r="CE677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678" spans="1:83" x14ac:dyDescent="0.2">
      <c r="A678" s="1" t="s">
        <v>3741</v>
      </c>
      <c r="B678" s="2" t="s">
        <v>3742</v>
      </c>
      <c r="C678" s="2" t="s">
        <v>3743</v>
      </c>
      <c r="D678" s="2" t="s">
        <v>238</v>
      </c>
      <c r="E678" s="3">
        <v>17.36</v>
      </c>
      <c r="F678" s="3">
        <v>78.39</v>
      </c>
      <c r="G678" s="2" t="s">
        <v>79</v>
      </c>
      <c r="H678" s="2" t="s">
        <v>155</v>
      </c>
      <c r="I678" s="3" t="s">
        <v>114</v>
      </c>
      <c r="J678" s="3">
        <v>240</v>
      </c>
      <c r="K678" s="2" t="s">
        <v>3744</v>
      </c>
      <c r="L678" s="4">
        <v>46047</v>
      </c>
      <c r="M678" s="4">
        <v>45982</v>
      </c>
      <c r="N678" s="2" t="s">
        <v>2274</v>
      </c>
      <c r="O678" s="2" t="s">
        <v>1805</v>
      </c>
      <c r="P678" s="2" t="s">
        <v>2404</v>
      </c>
      <c r="Q678" s="2" t="s">
        <v>1806</v>
      </c>
      <c r="R678" s="2" t="s">
        <v>3745</v>
      </c>
      <c r="S678" s="4">
        <v>45887</v>
      </c>
      <c r="T678" s="2" t="s">
        <v>3663</v>
      </c>
      <c r="U678" s="2" t="s">
        <v>3265</v>
      </c>
      <c r="V678" s="2" t="s">
        <v>3703</v>
      </c>
      <c r="W678" s="2" t="s">
        <v>1806</v>
      </c>
      <c r="X678" s="2" t="s">
        <v>117</v>
      </c>
      <c r="Y678" s="3" t="s">
        <v>118</v>
      </c>
      <c r="Z678" s="3">
        <v>95.75</v>
      </c>
      <c r="AA678" s="2" t="s">
        <v>138</v>
      </c>
      <c r="AB678" s="2" t="s">
        <v>478</v>
      </c>
      <c r="AC678" s="2" t="s">
        <v>479</v>
      </c>
      <c r="AD678" t="str" cm="1">
        <f t="array" ref="AD67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678" s="2" t="s">
        <v>91</v>
      </c>
      <c r="AF678" s="2" t="s">
        <v>998</v>
      </c>
      <c r="AG678" s="2" t="s">
        <v>140</v>
      </c>
      <c r="AH678" s="2" t="s">
        <v>141</v>
      </c>
      <c r="AK678" s="2" t="s">
        <v>3746</v>
      </c>
      <c r="AN678" s="3">
        <v>1</v>
      </c>
      <c r="AO678" s="3">
        <v>0</v>
      </c>
      <c r="AP678" s="3">
        <v>1</v>
      </c>
      <c r="AQ678" s="3">
        <v>1</v>
      </c>
      <c r="AR678" s="3">
        <v>1</v>
      </c>
      <c r="AS678" s="3">
        <v>0</v>
      </c>
      <c r="AT678" s="3">
        <v>0</v>
      </c>
      <c r="AU678" s="3">
        <v>0</v>
      </c>
      <c r="AV678" s="3">
        <v>1</v>
      </c>
      <c r="AW678" s="3">
        <v>0</v>
      </c>
      <c r="AX678" s="3">
        <v>1</v>
      </c>
      <c r="AY678" s="3">
        <v>0</v>
      </c>
      <c r="AZ678" s="3">
        <v>0</v>
      </c>
      <c r="BA678" s="3">
        <v>0</v>
      </c>
      <c r="BB678" s="3">
        <v>0</v>
      </c>
      <c r="BC678" s="3">
        <v>1</v>
      </c>
      <c r="BD678" s="3">
        <v>0</v>
      </c>
      <c r="BE678" s="3">
        <v>0</v>
      </c>
      <c r="BG678" s="2" t="s">
        <v>91</v>
      </c>
      <c r="BH678" s="3">
        <v>3</v>
      </c>
      <c r="BJ678" s="2" t="s">
        <v>96</v>
      </c>
      <c r="BL678" s="2" t="s">
        <v>143</v>
      </c>
      <c r="BM678" s="2" t="s">
        <v>144</v>
      </c>
      <c r="BN678" s="2" t="s">
        <v>99</v>
      </c>
      <c r="BO678" s="2" t="s">
        <v>100</v>
      </c>
      <c r="BP678" s="2" t="s">
        <v>242</v>
      </c>
      <c r="BQ678" s="2" t="s">
        <v>145</v>
      </c>
      <c r="BR678" s="2" t="s">
        <v>146</v>
      </c>
      <c r="BS678" s="2" t="s">
        <v>147</v>
      </c>
      <c r="BT678" s="2" t="s">
        <v>148</v>
      </c>
      <c r="BU678" s="2" t="s">
        <v>149</v>
      </c>
      <c r="BV678" s="2" t="s">
        <v>150</v>
      </c>
      <c r="BW678" s="2" t="s">
        <v>151</v>
      </c>
      <c r="BX678" s="2" t="s">
        <v>91</v>
      </c>
      <c r="BY67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78" s="2">
        <f>IF(AND(Cases[[#This Row],[Priority Level]]&gt;=3,Cases[[#This Row],[System Role]]&lt;&gt;"Productive"),1,0)</f>
        <v>0</v>
      </c>
      <c r="CA678" s="2">
        <f>IFERROR(IF(Cases[[#This Row],[Days at Customer]]&gt;MAX(1,Cases[[#This Row],[Days at SAP]]*2),1,0),0)</f>
        <v>1</v>
      </c>
      <c r="CB678" s="2">
        <f>IF(AND(Cases[[#This Row],[Initial Component]]&lt;&gt;"",Cases[[#This Row],[Component]]&lt;&gt;"",Cases[[#This Row],[Initial Component]]&lt;&gt;Cases[[#This Row],[Component]]),1,0)</f>
        <v>1</v>
      </c>
      <c r="CC678" s="2">
        <f>IF(OR(Cases[[#This Row],[Is Reopened]]="X",Cases[[#This Row],[No. of Reopenings]]&gt;0),1,0)</f>
        <v>0</v>
      </c>
      <c r="CD678" s="2">
        <f>IF(Cases[[#This Row],[Confirmation Type]]="Automatic",1,0)</f>
        <v>1</v>
      </c>
      <c r="CE678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679" spans="1:83" x14ac:dyDescent="0.2">
      <c r="A679" s="1" t="s">
        <v>3747</v>
      </c>
      <c r="B679" s="2" t="s">
        <v>3742</v>
      </c>
      <c r="C679" s="2" t="s">
        <v>3743</v>
      </c>
      <c r="D679" s="2" t="s">
        <v>238</v>
      </c>
      <c r="E679" s="3">
        <v>8.43</v>
      </c>
      <c r="F679" s="3">
        <v>42.13</v>
      </c>
      <c r="G679" s="2" t="s">
        <v>133</v>
      </c>
      <c r="H679" s="2" t="s">
        <v>892</v>
      </c>
      <c r="I679" s="3" t="s">
        <v>114</v>
      </c>
      <c r="J679" s="3">
        <v>240</v>
      </c>
      <c r="K679" s="2" t="s">
        <v>3748</v>
      </c>
      <c r="L679" s="4">
        <v>46033</v>
      </c>
      <c r="M679" s="4">
        <v>45938</v>
      </c>
      <c r="N679" s="2" t="s">
        <v>2727</v>
      </c>
      <c r="O679" s="2" t="s">
        <v>1805</v>
      </c>
      <c r="P679" s="2" t="s">
        <v>3126</v>
      </c>
      <c r="Q679" s="2" t="s">
        <v>1806</v>
      </c>
      <c r="R679" s="2" t="s">
        <v>3745</v>
      </c>
      <c r="S679" s="4">
        <v>45887</v>
      </c>
      <c r="T679" s="2" t="s">
        <v>3663</v>
      </c>
      <c r="U679" s="2" t="s">
        <v>3265</v>
      </c>
      <c r="V679" s="2" t="s">
        <v>3703</v>
      </c>
      <c r="W679" s="2" t="s">
        <v>1806</v>
      </c>
      <c r="X679" s="2" t="s">
        <v>117</v>
      </c>
      <c r="Y679" s="3" t="s">
        <v>118</v>
      </c>
      <c r="Z679" s="3">
        <v>50.56</v>
      </c>
      <c r="AA679" s="2" t="s">
        <v>138</v>
      </c>
      <c r="AB679" s="2" t="s">
        <v>3745</v>
      </c>
      <c r="AC679" s="2" t="s">
        <v>3743</v>
      </c>
      <c r="AD679" t="str" cm="1">
        <f t="array" ref="AD67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679" s="2" t="s">
        <v>182</v>
      </c>
      <c r="AF679" s="2" t="s">
        <v>92</v>
      </c>
      <c r="AG679" s="2" t="s">
        <v>140</v>
      </c>
      <c r="AH679" s="2" t="s">
        <v>141</v>
      </c>
      <c r="AJ679" s="2" t="s">
        <v>122</v>
      </c>
      <c r="AK679" s="2" t="s">
        <v>3749</v>
      </c>
      <c r="AN679" s="3">
        <v>1</v>
      </c>
      <c r="AO679" s="3">
        <v>0</v>
      </c>
      <c r="AP679" s="3">
        <v>1</v>
      </c>
      <c r="AQ679" s="3">
        <v>1</v>
      </c>
      <c r="AR679" s="3">
        <v>0</v>
      </c>
      <c r="AS679" s="3">
        <v>1</v>
      </c>
      <c r="AT679" s="3">
        <v>0</v>
      </c>
      <c r="AU679" s="3">
        <v>0</v>
      </c>
      <c r="AV679" s="3">
        <v>1</v>
      </c>
      <c r="AW679" s="3">
        <v>0</v>
      </c>
      <c r="AX679" s="3">
        <v>0</v>
      </c>
      <c r="AY679" s="3">
        <v>1</v>
      </c>
      <c r="AZ679" s="3">
        <v>0</v>
      </c>
      <c r="BA679" s="3">
        <v>0</v>
      </c>
      <c r="BB679" s="3">
        <v>0</v>
      </c>
      <c r="BC679" s="3">
        <v>1</v>
      </c>
      <c r="BD679" s="3">
        <v>1</v>
      </c>
      <c r="BE679" s="3">
        <v>0</v>
      </c>
      <c r="BG679" s="2" t="s">
        <v>158</v>
      </c>
      <c r="BH679" s="3">
        <v>1</v>
      </c>
      <c r="BJ679" s="2" t="s">
        <v>96</v>
      </c>
      <c r="BL679" s="2" t="s">
        <v>143</v>
      </c>
      <c r="BM679" s="2" t="s">
        <v>144</v>
      </c>
      <c r="BN679" s="2" t="s">
        <v>99</v>
      </c>
      <c r="BO679" s="2" t="s">
        <v>100</v>
      </c>
      <c r="BP679" s="2" t="s">
        <v>242</v>
      </c>
      <c r="BQ679" s="2" t="s">
        <v>145</v>
      </c>
      <c r="BR679" s="2" t="s">
        <v>146</v>
      </c>
      <c r="BS679" s="2" t="s">
        <v>147</v>
      </c>
      <c r="BT679" s="2" t="s">
        <v>148</v>
      </c>
      <c r="BU679" s="2" t="s">
        <v>149</v>
      </c>
      <c r="BV679" s="2" t="s">
        <v>150</v>
      </c>
      <c r="BW679" s="2" t="s">
        <v>151</v>
      </c>
      <c r="BX679" s="2" t="s">
        <v>182</v>
      </c>
      <c r="BY67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79" s="2">
        <f>IF(AND(Cases[[#This Row],[Priority Level]]&gt;=3,Cases[[#This Row],[System Role]]&lt;&gt;"Productive"),1,0)</f>
        <v>0</v>
      </c>
      <c r="CA679" s="2">
        <f>IFERROR(IF(Cases[[#This Row],[Days at Customer]]&gt;MAX(1,Cases[[#This Row],[Days at SAP]]*2),1,0),0)</f>
        <v>1</v>
      </c>
      <c r="CB679" s="2">
        <f>IF(AND(Cases[[#This Row],[Initial Component]]&lt;&gt;"",Cases[[#This Row],[Component]]&lt;&gt;"",Cases[[#This Row],[Initial Component]]&lt;&gt;Cases[[#This Row],[Component]]),1,0)</f>
        <v>0</v>
      </c>
      <c r="CC679" s="2">
        <f>IF(OR(Cases[[#This Row],[Is Reopened]]="X",Cases[[#This Row],[No. of Reopenings]]&gt;0),1,0)</f>
        <v>1</v>
      </c>
      <c r="CD679" s="2">
        <f>IF(Cases[[#This Row],[Confirmation Type]]="Automatic",1,0)</f>
        <v>1</v>
      </c>
      <c r="CE679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80" spans="1:83" x14ac:dyDescent="0.2">
      <c r="A680" s="1" t="s">
        <v>570</v>
      </c>
      <c r="B680" s="2" t="s">
        <v>571</v>
      </c>
      <c r="C680" s="2" t="s">
        <v>572</v>
      </c>
      <c r="D680" s="2" t="s">
        <v>238</v>
      </c>
      <c r="E680" s="3">
        <v>4.09</v>
      </c>
      <c r="F680" s="3">
        <v>29.59</v>
      </c>
      <c r="G680" s="2" t="s">
        <v>251</v>
      </c>
      <c r="H680" s="2" t="s">
        <v>252</v>
      </c>
      <c r="I680" s="3" t="s">
        <v>114</v>
      </c>
      <c r="J680" s="3">
        <v>41</v>
      </c>
      <c r="K680" s="2" t="s">
        <v>573</v>
      </c>
      <c r="L680" s="4">
        <v>46124</v>
      </c>
      <c r="M680" s="4">
        <v>46120</v>
      </c>
      <c r="N680" s="2" t="s">
        <v>83</v>
      </c>
      <c r="O680" s="2" t="s">
        <v>84</v>
      </c>
      <c r="P680" s="2" t="s">
        <v>85</v>
      </c>
      <c r="Q680" s="2" t="s">
        <v>86</v>
      </c>
      <c r="R680" s="2" t="s">
        <v>574</v>
      </c>
      <c r="S680" s="4">
        <v>46086</v>
      </c>
      <c r="T680" s="2" t="s">
        <v>180</v>
      </c>
      <c r="U680" s="2" t="s">
        <v>181</v>
      </c>
      <c r="V680" s="2" t="s">
        <v>526</v>
      </c>
      <c r="W680" s="2" t="s">
        <v>86</v>
      </c>
      <c r="X680" s="2" t="s">
        <v>117</v>
      </c>
      <c r="Y680" s="3" t="s">
        <v>118</v>
      </c>
      <c r="Z680" s="3">
        <v>33.68</v>
      </c>
      <c r="AA680" s="2" t="s">
        <v>138</v>
      </c>
      <c r="AB680" s="2" t="s">
        <v>574</v>
      </c>
      <c r="AC680" s="2" t="s">
        <v>572</v>
      </c>
      <c r="AD680" t="str" cm="1">
        <f t="array" ref="AD68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680" s="2" t="s">
        <v>139</v>
      </c>
      <c r="AF680" s="2" t="s">
        <v>92</v>
      </c>
      <c r="AG680" s="2" t="s">
        <v>575</v>
      </c>
      <c r="AH680" s="2" t="s">
        <v>576</v>
      </c>
      <c r="AK680" s="2" t="s">
        <v>577</v>
      </c>
      <c r="AN680" s="3">
        <v>1</v>
      </c>
      <c r="AO680" s="3">
        <v>1</v>
      </c>
      <c r="AP680" s="3">
        <v>1</v>
      </c>
      <c r="AQ680" s="3">
        <v>1</v>
      </c>
      <c r="AR680" s="3">
        <v>0</v>
      </c>
      <c r="AS680" s="3">
        <v>0</v>
      </c>
      <c r="AT680" s="3">
        <v>1</v>
      </c>
      <c r="AU680" s="3">
        <v>0</v>
      </c>
      <c r="AV680" s="3">
        <v>1</v>
      </c>
      <c r="AW680" s="3">
        <v>0</v>
      </c>
      <c r="AX680" s="3">
        <v>0</v>
      </c>
      <c r="AY680" s="3">
        <v>0</v>
      </c>
      <c r="AZ680" s="3">
        <v>1</v>
      </c>
      <c r="BA680" s="3">
        <v>0</v>
      </c>
      <c r="BB680" s="3">
        <v>0</v>
      </c>
      <c r="BC680" s="3">
        <v>1</v>
      </c>
      <c r="BD680" s="3">
        <v>0</v>
      </c>
      <c r="BE680" s="3">
        <v>0</v>
      </c>
      <c r="BG680" s="2" t="s">
        <v>139</v>
      </c>
      <c r="BH680" s="3">
        <v>2</v>
      </c>
      <c r="BJ680" s="2" t="s">
        <v>96</v>
      </c>
      <c r="BL680" s="2" t="s">
        <v>578</v>
      </c>
      <c r="BM680" s="2" t="s">
        <v>579</v>
      </c>
      <c r="BN680" s="2" t="s">
        <v>99</v>
      </c>
      <c r="BO680" s="2" t="s">
        <v>100</v>
      </c>
      <c r="BP680" s="2" t="s">
        <v>242</v>
      </c>
      <c r="BQ680" s="2" t="s">
        <v>145</v>
      </c>
      <c r="BR680" s="2" t="s">
        <v>146</v>
      </c>
      <c r="BS680" s="2" t="s">
        <v>450</v>
      </c>
      <c r="BT680" s="2" t="s">
        <v>148</v>
      </c>
      <c r="BU680" s="2" t="s">
        <v>580</v>
      </c>
      <c r="BV680" s="2" t="s">
        <v>150</v>
      </c>
      <c r="BW680" s="2" t="s">
        <v>151</v>
      </c>
      <c r="BX680" s="2" t="s">
        <v>139</v>
      </c>
      <c r="BY68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80" s="2">
        <f>IF(AND(Cases[[#This Row],[Priority Level]]&gt;=3,Cases[[#This Row],[System Role]]&lt;&gt;"Productive"),1,0)</f>
        <v>0</v>
      </c>
      <c r="CA680" s="2">
        <f>IFERROR(IF(Cases[[#This Row],[Days at Customer]]&gt;MAX(1,Cases[[#This Row],[Days at SAP]]*2),1,0),0)</f>
        <v>1</v>
      </c>
      <c r="CB680" s="2">
        <f>IF(AND(Cases[[#This Row],[Initial Component]]&lt;&gt;"",Cases[[#This Row],[Component]]&lt;&gt;"",Cases[[#This Row],[Initial Component]]&lt;&gt;Cases[[#This Row],[Component]]),1,0)</f>
        <v>0</v>
      </c>
      <c r="CC680" s="2">
        <f>IF(OR(Cases[[#This Row],[Is Reopened]]="X",Cases[[#This Row],[No. of Reopenings]]&gt;0),1,0)</f>
        <v>0</v>
      </c>
      <c r="CD680" s="2">
        <f>IF(Cases[[#This Row],[Confirmation Type]]="Automatic",1,0)</f>
        <v>1</v>
      </c>
      <c r="CE680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81" spans="1:83" x14ac:dyDescent="0.2">
      <c r="A681" s="1" t="s">
        <v>3754</v>
      </c>
      <c r="B681" s="2" t="s">
        <v>3755</v>
      </c>
      <c r="C681" s="2" t="s">
        <v>891</v>
      </c>
      <c r="D681" s="2" t="s">
        <v>238</v>
      </c>
      <c r="E681" s="3">
        <v>19.190000000000001</v>
      </c>
      <c r="F681" s="3">
        <v>43.22</v>
      </c>
      <c r="G681" s="2" t="s">
        <v>79</v>
      </c>
      <c r="H681" s="2" t="s">
        <v>178</v>
      </c>
      <c r="I681" s="3" t="s">
        <v>114</v>
      </c>
      <c r="J681" s="3">
        <v>244</v>
      </c>
      <c r="K681" s="2" t="s">
        <v>3756</v>
      </c>
      <c r="L681" s="4">
        <v>46040</v>
      </c>
      <c r="M681" s="4">
        <v>45946</v>
      </c>
      <c r="N681" s="2" t="s">
        <v>2727</v>
      </c>
      <c r="O681" s="2" t="s">
        <v>1805</v>
      </c>
      <c r="P681" s="2" t="s">
        <v>2936</v>
      </c>
      <c r="Q681" s="2" t="s">
        <v>1806</v>
      </c>
      <c r="R681" s="2" t="s">
        <v>894</v>
      </c>
      <c r="S681" s="4">
        <v>45883</v>
      </c>
      <c r="T681" s="2" t="s">
        <v>3663</v>
      </c>
      <c r="U681" s="2" t="s">
        <v>3265</v>
      </c>
      <c r="V681" s="2" t="s">
        <v>3757</v>
      </c>
      <c r="W681" s="2" t="s">
        <v>1806</v>
      </c>
      <c r="X681" s="2" t="s">
        <v>117</v>
      </c>
      <c r="Y681" s="3" t="s">
        <v>118</v>
      </c>
      <c r="Z681" s="3">
        <v>62.41</v>
      </c>
      <c r="AA681" s="2" t="s">
        <v>138</v>
      </c>
      <c r="AB681" s="2" t="s">
        <v>3369</v>
      </c>
      <c r="AC681" s="2" t="s">
        <v>3370</v>
      </c>
      <c r="AD681" t="str" cm="1">
        <f t="array" ref="AD68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Integration</v>
      </c>
      <c r="AE681" s="2" t="s">
        <v>91</v>
      </c>
      <c r="AF681" s="2" t="s">
        <v>92</v>
      </c>
      <c r="AG681" s="2" t="s">
        <v>274</v>
      </c>
      <c r="AH681" s="2" t="s">
        <v>275</v>
      </c>
      <c r="AK681" s="2" t="s">
        <v>3758</v>
      </c>
      <c r="AN681" s="3">
        <v>1</v>
      </c>
      <c r="AO681" s="3">
        <v>0</v>
      </c>
      <c r="AP681" s="3">
        <v>1</v>
      </c>
      <c r="AQ681" s="3">
        <v>1</v>
      </c>
      <c r="AR681" s="3">
        <v>1</v>
      </c>
      <c r="AS681" s="3">
        <v>0</v>
      </c>
      <c r="AT681" s="3">
        <v>0</v>
      </c>
      <c r="AU681" s="3">
        <v>0</v>
      </c>
      <c r="AV681" s="3">
        <v>1</v>
      </c>
      <c r="AW681" s="3">
        <v>0</v>
      </c>
      <c r="AX681" s="3">
        <v>1</v>
      </c>
      <c r="AY681" s="3">
        <v>0</v>
      </c>
      <c r="AZ681" s="3">
        <v>0</v>
      </c>
      <c r="BA681" s="3">
        <v>0</v>
      </c>
      <c r="BB681" s="3">
        <v>0</v>
      </c>
      <c r="BC681" s="3">
        <v>1</v>
      </c>
      <c r="BD681" s="3">
        <v>0</v>
      </c>
      <c r="BE681" s="3">
        <v>0</v>
      </c>
      <c r="BG681" s="2" t="s">
        <v>91</v>
      </c>
      <c r="BH681" s="3">
        <v>3</v>
      </c>
      <c r="BJ681" s="2" t="s">
        <v>96</v>
      </c>
      <c r="BL681" s="2" t="s">
        <v>277</v>
      </c>
      <c r="BM681" s="2" t="s">
        <v>278</v>
      </c>
      <c r="BN681" s="2" t="s">
        <v>279</v>
      </c>
      <c r="BO681" s="2" t="s">
        <v>280</v>
      </c>
      <c r="BP681" s="2" t="s">
        <v>242</v>
      </c>
      <c r="BQ681" s="2" t="s">
        <v>277</v>
      </c>
      <c r="BR681" s="2" t="s">
        <v>281</v>
      </c>
      <c r="BS681" s="2" t="s">
        <v>450</v>
      </c>
      <c r="BT681" s="2" t="s">
        <v>148</v>
      </c>
      <c r="BU681" s="2" t="s">
        <v>908</v>
      </c>
      <c r="BV681" s="2" t="s">
        <v>150</v>
      </c>
      <c r="BW681" s="2" t="s">
        <v>151</v>
      </c>
      <c r="BX681" s="2" t="s">
        <v>91</v>
      </c>
      <c r="BY68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81" s="2">
        <f>IF(AND(Cases[[#This Row],[Priority Level]]&gt;=3,Cases[[#This Row],[System Role]]&lt;&gt;"Productive"),1,0)</f>
        <v>0</v>
      </c>
      <c r="CA681" s="2">
        <f>IFERROR(IF(Cases[[#This Row],[Days at Customer]]&gt;MAX(1,Cases[[#This Row],[Days at SAP]]*2),1,0),0)</f>
        <v>1</v>
      </c>
      <c r="CB681" s="2">
        <f>IF(AND(Cases[[#This Row],[Initial Component]]&lt;&gt;"",Cases[[#This Row],[Component]]&lt;&gt;"",Cases[[#This Row],[Initial Component]]&lt;&gt;Cases[[#This Row],[Component]]),1,0)</f>
        <v>1</v>
      </c>
      <c r="CC681" s="2">
        <f>IF(OR(Cases[[#This Row],[Is Reopened]]="X",Cases[[#This Row],[No. of Reopenings]]&gt;0),1,0)</f>
        <v>0</v>
      </c>
      <c r="CD681" s="2">
        <f>IF(Cases[[#This Row],[Confirmation Type]]="Automatic",1,0)</f>
        <v>1</v>
      </c>
      <c r="CE681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682" spans="1:83" x14ac:dyDescent="0.2">
      <c r="A682" s="1" t="s">
        <v>3759</v>
      </c>
      <c r="B682" s="2" t="s">
        <v>3760</v>
      </c>
      <c r="C682" s="2" t="s">
        <v>925</v>
      </c>
      <c r="D682" s="2" t="s">
        <v>238</v>
      </c>
      <c r="E682" s="3">
        <v>18.05</v>
      </c>
      <c r="F682" s="3">
        <v>116.38</v>
      </c>
      <c r="G682" s="2" t="s">
        <v>79</v>
      </c>
      <c r="H682" s="2" t="s">
        <v>80</v>
      </c>
      <c r="I682" s="3" t="s">
        <v>114</v>
      </c>
      <c r="J682" s="3">
        <v>244</v>
      </c>
      <c r="K682" s="2" t="s">
        <v>3761</v>
      </c>
      <c r="L682" s="4">
        <v>46019</v>
      </c>
      <c r="M682" s="4">
        <v>46017</v>
      </c>
      <c r="N682" s="2" t="s">
        <v>1804</v>
      </c>
      <c r="O682" s="2" t="s">
        <v>1805</v>
      </c>
      <c r="P682" s="2" t="s">
        <v>1868</v>
      </c>
      <c r="Q682" s="2" t="s">
        <v>1806</v>
      </c>
      <c r="R682" s="2" t="s">
        <v>927</v>
      </c>
      <c r="S682" s="4">
        <v>45883</v>
      </c>
      <c r="T682" s="2" t="s">
        <v>3663</v>
      </c>
      <c r="U682" s="2" t="s">
        <v>3265</v>
      </c>
      <c r="V682" s="2" t="s">
        <v>3757</v>
      </c>
      <c r="W682" s="2" t="s">
        <v>1806</v>
      </c>
      <c r="X682" s="2" t="s">
        <v>117</v>
      </c>
      <c r="Y682" s="3" t="s">
        <v>118</v>
      </c>
      <c r="Z682" s="3">
        <v>134.43</v>
      </c>
      <c r="AA682" s="2" t="s">
        <v>138</v>
      </c>
      <c r="AB682" s="2" t="s">
        <v>927</v>
      </c>
      <c r="AC682" s="2" t="s">
        <v>925</v>
      </c>
      <c r="AD682" t="str" cm="1">
        <f t="array" ref="AD68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EAM</v>
      </c>
      <c r="AE682" s="2" t="s">
        <v>139</v>
      </c>
      <c r="AF682" s="2" t="s">
        <v>92</v>
      </c>
      <c r="AG682" s="2" t="s">
        <v>274</v>
      </c>
      <c r="AH682" s="2" t="s">
        <v>275</v>
      </c>
      <c r="AJ682" s="2" t="s">
        <v>122</v>
      </c>
      <c r="AK682" s="2" t="s">
        <v>3762</v>
      </c>
      <c r="AN682" s="3">
        <v>1</v>
      </c>
      <c r="AO682" s="3">
        <v>0</v>
      </c>
      <c r="AP682" s="3">
        <v>1</v>
      </c>
      <c r="AQ682" s="3">
        <v>1</v>
      </c>
      <c r="AR682" s="3">
        <v>1</v>
      </c>
      <c r="AS682" s="3">
        <v>0</v>
      </c>
      <c r="AT682" s="3">
        <v>0</v>
      </c>
      <c r="AU682" s="3">
        <v>0</v>
      </c>
      <c r="AV682" s="3">
        <v>1</v>
      </c>
      <c r="AW682" s="3">
        <v>0</v>
      </c>
      <c r="AX682" s="3">
        <v>1</v>
      </c>
      <c r="AY682" s="3">
        <v>0</v>
      </c>
      <c r="AZ682" s="3">
        <v>0</v>
      </c>
      <c r="BA682" s="3">
        <v>0</v>
      </c>
      <c r="BB682" s="3">
        <v>0</v>
      </c>
      <c r="BC682" s="3">
        <v>1</v>
      </c>
      <c r="BD682" s="3">
        <v>6</v>
      </c>
      <c r="BE682" s="3">
        <v>0</v>
      </c>
      <c r="BG682" s="2" t="s">
        <v>91</v>
      </c>
      <c r="BH682" s="3">
        <v>3</v>
      </c>
      <c r="BJ682" s="2" t="s">
        <v>96</v>
      </c>
      <c r="BL682" s="2" t="s">
        <v>931</v>
      </c>
      <c r="BM682" s="2" t="s">
        <v>932</v>
      </c>
      <c r="BN682" s="2" t="s">
        <v>279</v>
      </c>
      <c r="BO682" s="2" t="s">
        <v>280</v>
      </c>
      <c r="BP682" s="2" t="s">
        <v>242</v>
      </c>
      <c r="BQ682" s="2" t="s">
        <v>448</v>
      </c>
      <c r="BR682" s="2" t="s">
        <v>449</v>
      </c>
      <c r="BS682" s="2" t="s">
        <v>450</v>
      </c>
      <c r="BT682" s="2" t="s">
        <v>148</v>
      </c>
      <c r="BU682" s="2" t="s">
        <v>933</v>
      </c>
      <c r="BV682" s="2" t="s">
        <v>150</v>
      </c>
      <c r="BW682" s="2" t="s">
        <v>151</v>
      </c>
      <c r="BX682" s="2" t="s">
        <v>91</v>
      </c>
      <c r="BY68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82" s="2">
        <f>IF(AND(Cases[[#This Row],[Priority Level]]&gt;=3,Cases[[#This Row],[System Role]]&lt;&gt;"Productive"),1,0)</f>
        <v>0</v>
      </c>
      <c r="CA682" s="2">
        <f>IFERROR(IF(Cases[[#This Row],[Days at Customer]]&gt;MAX(1,Cases[[#This Row],[Days at SAP]]*2),1,0),0)</f>
        <v>1</v>
      </c>
      <c r="CB682" s="2">
        <f>IF(AND(Cases[[#This Row],[Initial Component]]&lt;&gt;"",Cases[[#This Row],[Component]]&lt;&gt;"",Cases[[#This Row],[Initial Component]]&lt;&gt;Cases[[#This Row],[Component]]),1,0)</f>
        <v>0</v>
      </c>
      <c r="CC682" s="2">
        <f>IF(OR(Cases[[#This Row],[Is Reopened]]="X",Cases[[#This Row],[No. of Reopenings]]&gt;0),1,0)</f>
        <v>1</v>
      </c>
      <c r="CD682" s="2">
        <f>IF(Cases[[#This Row],[Confirmation Type]]="Automatic",1,0)</f>
        <v>1</v>
      </c>
      <c r="CE682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83" spans="1:83" x14ac:dyDescent="0.2">
      <c r="A683" s="1" t="s">
        <v>3763</v>
      </c>
      <c r="B683" s="2" t="s">
        <v>3764</v>
      </c>
      <c r="C683" s="2" t="s">
        <v>3765</v>
      </c>
      <c r="D683" s="2" t="s">
        <v>238</v>
      </c>
      <c r="E683" s="3">
        <v>45.36</v>
      </c>
      <c r="F683" s="3">
        <v>48.1</v>
      </c>
      <c r="G683" s="2" t="s">
        <v>79</v>
      </c>
      <c r="H683" s="2" t="s">
        <v>80</v>
      </c>
      <c r="I683" s="3" t="s">
        <v>114</v>
      </c>
      <c r="J683" s="3">
        <v>245</v>
      </c>
      <c r="K683" s="2" t="s">
        <v>3766</v>
      </c>
      <c r="L683" s="4">
        <v>46009</v>
      </c>
      <c r="M683" s="4">
        <v>45976</v>
      </c>
      <c r="N683" s="2" t="s">
        <v>2274</v>
      </c>
      <c r="O683" s="2" t="s">
        <v>1805</v>
      </c>
      <c r="P683" s="2" t="s">
        <v>2467</v>
      </c>
      <c r="Q683" s="2" t="s">
        <v>1806</v>
      </c>
      <c r="R683" s="2" t="s">
        <v>3767</v>
      </c>
      <c r="S683" s="4">
        <v>45882</v>
      </c>
      <c r="T683" s="2" t="s">
        <v>3663</v>
      </c>
      <c r="U683" s="2" t="s">
        <v>3265</v>
      </c>
      <c r="V683" s="2" t="s">
        <v>3757</v>
      </c>
      <c r="W683" s="2" t="s">
        <v>1806</v>
      </c>
      <c r="X683" s="2" t="s">
        <v>117</v>
      </c>
      <c r="Y683" s="3" t="s">
        <v>118</v>
      </c>
      <c r="Z683" s="3">
        <v>93.46</v>
      </c>
      <c r="AA683" s="2" t="s">
        <v>138</v>
      </c>
      <c r="AB683" s="2" t="s">
        <v>3767</v>
      </c>
      <c r="AC683" s="2" t="s">
        <v>3765</v>
      </c>
      <c r="AD683" t="str" cm="1">
        <f t="array" ref="AD68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EAM</v>
      </c>
      <c r="AE683" s="2" t="s">
        <v>139</v>
      </c>
      <c r="AF683" s="2" t="s">
        <v>92</v>
      </c>
      <c r="AG683" s="2" t="s">
        <v>274</v>
      </c>
      <c r="AH683" s="2" t="s">
        <v>275</v>
      </c>
      <c r="AK683" s="2" t="s">
        <v>3768</v>
      </c>
      <c r="AN683" s="3">
        <v>1</v>
      </c>
      <c r="AO683" s="3">
        <v>0</v>
      </c>
      <c r="AP683" s="3">
        <v>1</v>
      </c>
      <c r="AQ683" s="3">
        <v>1</v>
      </c>
      <c r="AR683" s="3">
        <v>0</v>
      </c>
      <c r="AS683" s="3">
        <v>0</v>
      </c>
      <c r="AT683" s="3">
        <v>1</v>
      </c>
      <c r="AU683" s="3">
        <v>0</v>
      </c>
      <c r="AV683" s="3">
        <v>1</v>
      </c>
      <c r="AW683" s="3">
        <v>0</v>
      </c>
      <c r="AX683" s="3">
        <v>0</v>
      </c>
      <c r="AY683" s="3">
        <v>0</v>
      </c>
      <c r="AZ683" s="3">
        <v>1</v>
      </c>
      <c r="BA683" s="3">
        <v>0</v>
      </c>
      <c r="BB683" s="3">
        <v>0</v>
      </c>
      <c r="BC683" s="3">
        <v>1</v>
      </c>
      <c r="BD683" s="3">
        <v>0</v>
      </c>
      <c r="BE683" s="3">
        <v>0</v>
      </c>
      <c r="BG683" s="2" t="s">
        <v>139</v>
      </c>
      <c r="BH683" s="3">
        <v>2</v>
      </c>
      <c r="BJ683" s="2" t="s">
        <v>96</v>
      </c>
      <c r="BL683" s="2" t="s">
        <v>931</v>
      </c>
      <c r="BM683" s="2" t="s">
        <v>932</v>
      </c>
      <c r="BN683" s="2" t="s">
        <v>279</v>
      </c>
      <c r="BO683" s="2" t="s">
        <v>280</v>
      </c>
      <c r="BP683" s="2" t="s">
        <v>242</v>
      </c>
      <c r="BQ683" s="2" t="s">
        <v>448</v>
      </c>
      <c r="BR683" s="2" t="s">
        <v>449</v>
      </c>
      <c r="BS683" s="2" t="s">
        <v>450</v>
      </c>
      <c r="BT683" s="2" t="s">
        <v>148</v>
      </c>
      <c r="BU683" s="2" t="s">
        <v>933</v>
      </c>
      <c r="BV683" s="2" t="s">
        <v>150</v>
      </c>
      <c r="BW683" s="2" t="s">
        <v>151</v>
      </c>
      <c r="BX683" s="2" t="s">
        <v>139</v>
      </c>
      <c r="BY68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83" s="2">
        <f>IF(AND(Cases[[#This Row],[Priority Level]]&gt;=3,Cases[[#This Row],[System Role]]&lt;&gt;"Productive"),1,0)</f>
        <v>0</v>
      </c>
      <c r="CA683" s="2">
        <f>IFERROR(IF(Cases[[#This Row],[Days at Customer]]&gt;MAX(1,Cases[[#This Row],[Days at SAP]]*2),1,0),0)</f>
        <v>0</v>
      </c>
      <c r="CB683" s="2">
        <f>IF(AND(Cases[[#This Row],[Initial Component]]&lt;&gt;"",Cases[[#This Row],[Component]]&lt;&gt;"",Cases[[#This Row],[Initial Component]]&lt;&gt;Cases[[#This Row],[Component]]),1,0)</f>
        <v>0</v>
      </c>
      <c r="CC683" s="2">
        <f>IF(OR(Cases[[#This Row],[Is Reopened]]="X",Cases[[#This Row],[No. of Reopenings]]&gt;0),1,0)</f>
        <v>0</v>
      </c>
      <c r="CD683" s="2">
        <f>IF(Cases[[#This Row],[Confirmation Type]]="Automatic",1,0)</f>
        <v>1</v>
      </c>
      <c r="CE683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684" spans="1:83" x14ac:dyDescent="0.2">
      <c r="A684" s="1" t="s">
        <v>581</v>
      </c>
      <c r="B684" s="2" t="s">
        <v>582</v>
      </c>
      <c r="C684" s="2" t="s">
        <v>111</v>
      </c>
      <c r="D684" s="2" t="s">
        <v>238</v>
      </c>
      <c r="E684" s="3">
        <v>0</v>
      </c>
      <c r="F684" s="3">
        <v>29.57</v>
      </c>
      <c r="G684" s="2" t="s">
        <v>112</v>
      </c>
      <c r="H684" s="2" t="s">
        <v>113</v>
      </c>
      <c r="I684" s="3" t="s">
        <v>114</v>
      </c>
      <c r="J684" s="3">
        <v>41</v>
      </c>
      <c r="K684" s="2" t="s">
        <v>583</v>
      </c>
      <c r="L684" s="4">
        <v>46124</v>
      </c>
      <c r="M684" s="4">
        <v>46123</v>
      </c>
      <c r="N684" s="2" t="s">
        <v>83</v>
      </c>
      <c r="O684" s="2" t="s">
        <v>84</v>
      </c>
      <c r="P684" s="2" t="s">
        <v>85</v>
      </c>
      <c r="Q684" s="2" t="s">
        <v>86</v>
      </c>
      <c r="R684" s="2" t="s">
        <v>116</v>
      </c>
      <c r="S684" s="4">
        <v>46086</v>
      </c>
      <c r="T684" s="2" t="s">
        <v>180</v>
      </c>
      <c r="U684" s="2" t="s">
        <v>181</v>
      </c>
      <c r="V684" s="2" t="s">
        <v>526</v>
      </c>
      <c r="W684" s="2" t="s">
        <v>86</v>
      </c>
      <c r="X684" s="2" t="s">
        <v>117</v>
      </c>
      <c r="Y684" s="3" t="s">
        <v>118</v>
      </c>
      <c r="Z684" s="3">
        <v>29.57</v>
      </c>
      <c r="AA684" s="2" t="s">
        <v>90</v>
      </c>
      <c r="AB684" s="2" t="s">
        <v>205</v>
      </c>
      <c r="AC684" s="2" t="s">
        <v>203</v>
      </c>
      <c r="AD684" t="str" cm="1">
        <f t="array" ref="AD68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684" s="2" t="s">
        <v>139</v>
      </c>
      <c r="AF684" s="2" t="s">
        <v>92</v>
      </c>
      <c r="AG684" s="2" t="s">
        <v>119</v>
      </c>
      <c r="AH684" s="2" t="s">
        <v>120</v>
      </c>
      <c r="AK684" s="2" t="s">
        <v>584</v>
      </c>
      <c r="AN684" s="3">
        <v>1</v>
      </c>
      <c r="AO684" s="3">
        <v>1</v>
      </c>
      <c r="AP684" s="3">
        <v>1</v>
      </c>
      <c r="AQ684" s="3">
        <v>1</v>
      </c>
      <c r="AR684" s="3">
        <v>0</v>
      </c>
      <c r="AS684" s="3">
        <v>0</v>
      </c>
      <c r="AT684" s="3">
        <v>1</v>
      </c>
      <c r="AU684" s="3">
        <v>0</v>
      </c>
      <c r="AV684" s="3">
        <v>1</v>
      </c>
      <c r="AW684" s="3">
        <v>0</v>
      </c>
      <c r="AX684" s="3">
        <v>0</v>
      </c>
      <c r="AY684" s="3">
        <v>0</v>
      </c>
      <c r="AZ684" s="3">
        <v>1</v>
      </c>
      <c r="BA684" s="3">
        <v>0</v>
      </c>
      <c r="BB684" s="3">
        <v>0</v>
      </c>
      <c r="BC684" s="3">
        <v>1</v>
      </c>
      <c r="BD684" s="3">
        <v>0</v>
      </c>
      <c r="BE684" s="3">
        <v>0</v>
      </c>
      <c r="BG684" s="2" t="s">
        <v>139</v>
      </c>
      <c r="BH684" s="3">
        <v>2</v>
      </c>
      <c r="BI684" s="2" t="s">
        <v>122</v>
      </c>
      <c r="BJ684" s="2" t="s">
        <v>96</v>
      </c>
      <c r="BL684" s="2" t="s">
        <v>123</v>
      </c>
      <c r="BM684" s="2" t="s">
        <v>123</v>
      </c>
      <c r="BN684" s="2" t="s">
        <v>124</v>
      </c>
      <c r="BO684" s="2" t="s">
        <v>125</v>
      </c>
      <c r="BP684" s="2" t="s">
        <v>242</v>
      </c>
      <c r="BQ684" s="2" t="s">
        <v>124</v>
      </c>
      <c r="BR684" s="2" t="s">
        <v>126</v>
      </c>
      <c r="BS684" s="2" t="s">
        <v>127</v>
      </c>
      <c r="BT684" s="2" t="s">
        <v>207</v>
      </c>
      <c r="BU684" s="2" t="s">
        <v>208</v>
      </c>
      <c r="BV684" s="2" t="s">
        <v>150</v>
      </c>
      <c r="BW684" s="2" t="s">
        <v>151</v>
      </c>
      <c r="BX684" s="2" t="s">
        <v>139</v>
      </c>
      <c r="BY68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84" s="2">
        <f>IF(AND(Cases[[#This Row],[Priority Level]]&gt;=3,Cases[[#This Row],[System Role]]&lt;&gt;"Productive"),1,0)</f>
        <v>0</v>
      </c>
      <c r="CA684" s="2">
        <f>IFERROR(IF(Cases[[#This Row],[Days at Customer]]&gt;MAX(1,Cases[[#This Row],[Days at SAP]]*2),1,0),0)</f>
        <v>1</v>
      </c>
      <c r="CB684" s="2">
        <f>IF(AND(Cases[[#This Row],[Initial Component]]&lt;&gt;"",Cases[[#This Row],[Component]]&lt;&gt;"",Cases[[#This Row],[Initial Component]]&lt;&gt;Cases[[#This Row],[Component]]),1,0)</f>
        <v>1</v>
      </c>
      <c r="CC684" s="2">
        <f>IF(OR(Cases[[#This Row],[Is Reopened]]="X",Cases[[#This Row],[No. of Reopenings]]&gt;0),1,0)</f>
        <v>0</v>
      </c>
      <c r="CD684" s="2">
        <f>IF(Cases[[#This Row],[Confirmation Type]]="Automatic",1,0)</f>
        <v>1</v>
      </c>
      <c r="CE684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85" spans="1:83" x14ac:dyDescent="0.2">
      <c r="A685" s="1" t="s">
        <v>1919</v>
      </c>
      <c r="B685" s="2" t="s">
        <v>1920</v>
      </c>
      <c r="C685" s="2" t="s">
        <v>203</v>
      </c>
      <c r="D685" s="2" t="s">
        <v>238</v>
      </c>
      <c r="E685" s="3">
        <v>0</v>
      </c>
      <c r="F685" s="3">
        <v>22.26</v>
      </c>
      <c r="G685" s="2" t="s">
        <v>112</v>
      </c>
      <c r="H685" s="2" t="s">
        <v>113</v>
      </c>
      <c r="I685" s="3" t="s">
        <v>114</v>
      </c>
      <c r="J685" s="3">
        <v>114</v>
      </c>
      <c r="K685" s="2" t="s">
        <v>1921</v>
      </c>
      <c r="L685" s="4">
        <v>46124</v>
      </c>
      <c r="M685" s="4">
        <v>46121</v>
      </c>
      <c r="N685" s="2" t="s">
        <v>83</v>
      </c>
      <c r="O685" s="2" t="s">
        <v>84</v>
      </c>
      <c r="P685" s="2" t="s">
        <v>85</v>
      </c>
      <c r="Q685" s="2" t="s">
        <v>86</v>
      </c>
      <c r="R685" s="2" t="s">
        <v>205</v>
      </c>
      <c r="S685" s="4">
        <v>46013</v>
      </c>
      <c r="T685" s="2" t="s">
        <v>1804</v>
      </c>
      <c r="U685" s="2" t="s">
        <v>1805</v>
      </c>
      <c r="V685" s="2" t="s">
        <v>1868</v>
      </c>
      <c r="W685" s="2" t="s">
        <v>1806</v>
      </c>
      <c r="X685" s="2" t="s">
        <v>117</v>
      </c>
      <c r="Y685" s="3" t="s">
        <v>118</v>
      </c>
      <c r="Z685" s="3">
        <v>22.26</v>
      </c>
      <c r="AA685" s="2" t="s">
        <v>90</v>
      </c>
      <c r="AB685" s="2" t="s">
        <v>205</v>
      </c>
      <c r="AC685" s="2" t="s">
        <v>203</v>
      </c>
      <c r="AD685" t="str" cm="1">
        <f t="array" ref="AD68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685" s="2" t="s">
        <v>139</v>
      </c>
      <c r="AF685" s="2" t="s">
        <v>92</v>
      </c>
      <c r="AG685" s="2" t="s">
        <v>119</v>
      </c>
      <c r="AH685" s="2" t="s">
        <v>120</v>
      </c>
      <c r="AK685" s="2" t="s">
        <v>1922</v>
      </c>
      <c r="AN685" s="3">
        <v>1</v>
      </c>
      <c r="AO685" s="3">
        <v>1</v>
      </c>
      <c r="AP685" s="3">
        <v>1</v>
      </c>
      <c r="AQ685" s="3">
        <v>1</v>
      </c>
      <c r="AR685" s="3">
        <v>1</v>
      </c>
      <c r="AS685" s="3">
        <v>0</v>
      </c>
      <c r="AT685" s="3">
        <v>0</v>
      </c>
      <c r="AU685" s="3">
        <v>0</v>
      </c>
      <c r="AV685" s="3">
        <v>1</v>
      </c>
      <c r="AW685" s="3">
        <v>0</v>
      </c>
      <c r="AX685" s="3">
        <v>1</v>
      </c>
      <c r="AY685" s="3">
        <v>0</v>
      </c>
      <c r="AZ685" s="3">
        <v>0</v>
      </c>
      <c r="BA685" s="3">
        <v>0</v>
      </c>
      <c r="BB685" s="3">
        <v>0</v>
      </c>
      <c r="BC685" s="3">
        <v>1</v>
      </c>
      <c r="BD685" s="3">
        <v>0</v>
      </c>
      <c r="BE685" s="3">
        <v>0</v>
      </c>
      <c r="BG685" s="2" t="s">
        <v>91</v>
      </c>
      <c r="BH685" s="3">
        <v>3</v>
      </c>
      <c r="BI685" s="2" t="s">
        <v>122</v>
      </c>
      <c r="BJ685" s="2" t="s">
        <v>96</v>
      </c>
      <c r="BL685" s="2" t="s">
        <v>123</v>
      </c>
      <c r="BM685" s="2" t="s">
        <v>123</v>
      </c>
      <c r="BN685" s="2" t="s">
        <v>124</v>
      </c>
      <c r="BO685" s="2" t="s">
        <v>125</v>
      </c>
      <c r="BP685" s="2" t="s">
        <v>242</v>
      </c>
      <c r="BQ685" s="2" t="s">
        <v>124</v>
      </c>
      <c r="BR685" s="2" t="s">
        <v>126</v>
      </c>
      <c r="BS685" s="2" t="s">
        <v>127</v>
      </c>
      <c r="BT685" s="2" t="s">
        <v>207</v>
      </c>
      <c r="BU685" s="2" t="s">
        <v>208</v>
      </c>
      <c r="BV685" s="2" t="s">
        <v>150</v>
      </c>
      <c r="BW685" s="2" t="s">
        <v>151</v>
      </c>
      <c r="BX685" s="2" t="s">
        <v>91</v>
      </c>
      <c r="BY68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85" s="2">
        <f>IF(AND(Cases[[#This Row],[Priority Level]]&gt;=3,Cases[[#This Row],[System Role]]&lt;&gt;"Productive"),1,0)</f>
        <v>0</v>
      </c>
      <c r="CA685" s="2">
        <f>IFERROR(IF(Cases[[#This Row],[Days at Customer]]&gt;MAX(1,Cases[[#This Row],[Days at SAP]]*2),1,0),0)</f>
        <v>1</v>
      </c>
      <c r="CB685" s="2">
        <f>IF(AND(Cases[[#This Row],[Initial Component]]&lt;&gt;"",Cases[[#This Row],[Component]]&lt;&gt;"",Cases[[#This Row],[Initial Component]]&lt;&gt;Cases[[#This Row],[Component]]),1,0)</f>
        <v>0</v>
      </c>
      <c r="CC685" s="2">
        <f>IF(OR(Cases[[#This Row],[Is Reopened]]="X",Cases[[#This Row],[No. of Reopenings]]&gt;0),1,0)</f>
        <v>0</v>
      </c>
      <c r="CD685" s="2">
        <f>IF(Cases[[#This Row],[Confirmation Type]]="Automatic",1,0)</f>
        <v>1</v>
      </c>
      <c r="CE685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86" spans="1:83" x14ac:dyDescent="0.2">
      <c r="A686" s="1" t="s">
        <v>3780</v>
      </c>
      <c r="B686" s="2" t="s">
        <v>3781</v>
      </c>
      <c r="C686" s="2" t="s">
        <v>479</v>
      </c>
      <c r="D686" s="2" t="s">
        <v>238</v>
      </c>
      <c r="E686" s="3">
        <v>8.98</v>
      </c>
      <c r="F686" s="3">
        <v>105.94</v>
      </c>
      <c r="G686" s="2" t="s">
        <v>190</v>
      </c>
      <c r="H686" s="2" t="s">
        <v>308</v>
      </c>
      <c r="I686" s="3" t="s">
        <v>114</v>
      </c>
      <c r="J686" s="3">
        <v>259</v>
      </c>
      <c r="K686" s="2" t="s">
        <v>3782</v>
      </c>
      <c r="L686" s="4">
        <v>46009</v>
      </c>
      <c r="M686" s="4">
        <v>45983</v>
      </c>
      <c r="N686" s="2" t="s">
        <v>2274</v>
      </c>
      <c r="O686" s="2" t="s">
        <v>1805</v>
      </c>
      <c r="P686" s="2" t="s">
        <v>2404</v>
      </c>
      <c r="Q686" s="2" t="s">
        <v>1806</v>
      </c>
      <c r="R686" s="2" t="s">
        <v>478</v>
      </c>
      <c r="S686" s="4">
        <v>45868</v>
      </c>
      <c r="T686" s="2" t="s">
        <v>3783</v>
      </c>
      <c r="U686" s="2" t="s">
        <v>3265</v>
      </c>
      <c r="V686" s="2" t="s">
        <v>3784</v>
      </c>
      <c r="W686" s="2" t="s">
        <v>1806</v>
      </c>
      <c r="X686" s="2" t="s">
        <v>117</v>
      </c>
      <c r="Y686" s="3" t="s">
        <v>118</v>
      </c>
      <c r="Z686" s="3">
        <v>114.92</v>
      </c>
      <c r="AA686" s="2" t="s">
        <v>138</v>
      </c>
      <c r="AB686" s="2" t="s">
        <v>478</v>
      </c>
      <c r="AC686" s="2" t="s">
        <v>479</v>
      </c>
      <c r="AD686" t="str" cm="1">
        <f t="array" ref="AD68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686" s="2" t="s">
        <v>91</v>
      </c>
      <c r="AF686" s="2" t="s">
        <v>92</v>
      </c>
      <c r="AG686" s="2" t="s">
        <v>140</v>
      </c>
      <c r="AH686" s="2" t="s">
        <v>141</v>
      </c>
      <c r="AJ686" s="2" t="s">
        <v>122</v>
      </c>
      <c r="AK686" s="2" t="s">
        <v>3785</v>
      </c>
      <c r="AN686" s="3">
        <v>1</v>
      </c>
      <c r="AO686" s="3">
        <v>0</v>
      </c>
      <c r="AP686" s="3">
        <v>1</v>
      </c>
      <c r="AQ686" s="3">
        <v>1</v>
      </c>
      <c r="AR686" s="3">
        <v>1</v>
      </c>
      <c r="AS686" s="3">
        <v>0</v>
      </c>
      <c r="AT686" s="3">
        <v>0</v>
      </c>
      <c r="AU686" s="3">
        <v>0</v>
      </c>
      <c r="AV686" s="3">
        <v>1</v>
      </c>
      <c r="AW686" s="3">
        <v>0</v>
      </c>
      <c r="AX686" s="3">
        <v>1</v>
      </c>
      <c r="AY686" s="3">
        <v>0</v>
      </c>
      <c r="AZ686" s="3">
        <v>0</v>
      </c>
      <c r="BA686" s="3">
        <v>0</v>
      </c>
      <c r="BB686" s="3">
        <v>0</v>
      </c>
      <c r="BC686" s="3">
        <v>1</v>
      </c>
      <c r="BD686" s="3">
        <v>9</v>
      </c>
      <c r="BE686" s="3">
        <v>0</v>
      </c>
      <c r="BG686" s="2" t="s">
        <v>91</v>
      </c>
      <c r="BH686" s="3">
        <v>3</v>
      </c>
      <c r="BJ686" s="2" t="s">
        <v>96</v>
      </c>
      <c r="BL686" s="2" t="s">
        <v>143</v>
      </c>
      <c r="BM686" s="2" t="s">
        <v>144</v>
      </c>
      <c r="BN686" s="2" t="s">
        <v>99</v>
      </c>
      <c r="BO686" s="2" t="s">
        <v>100</v>
      </c>
      <c r="BP686" s="2" t="s">
        <v>242</v>
      </c>
      <c r="BQ686" s="2" t="s">
        <v>145</v>
      </c>
      <c r="BR686" s="2" t="s">
        <v>146</v>
      </c>
      <c r="BS686" s="2" t="s">
        <v>147</v>
      </c>
      <c r="BT686" s="2" t="s">
        <v>148</v>
      </c>
      <c r="BU686" s="2" t="s">
        <v>149</v>
      </c>
      <c r="BV686" s="2" t="s">
        <v>150</v>
      </c>
      <c r="BW686" s="2" t="s">
        <v>151</v>
      </c>
      <c r="BX686" s="2" t="s">
        <v>91</v>
      </c>
      <c r="BY68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86" s="2">
        <f>IF(AND(Cases[[#This Row],[Priority Level]]&gt;=3,Cases[[#This Row],[System Role]]&lt;&gt;"Productive"),1,0)</f>
        <v>0</v>
      </c>
      <c r="CA686" s="2">
        <f>IFERROR(IF(Cases[[#This Row],[Days at Customer]]&gt;MAX(1,Cases[[#This Row],[Days at SAP]]*2),1,0),0)</f>
        <v>1</v>
      </c>
      <c r="CB686" s="2">
        <f>IF(AND(Cases[[#This Row],[Initial Component]]&lt;&gt;"",Cases[[#This Row],[Component]]&lt;&gt;"",Cases[[#This Row],[Initial Component]]&lt;&gt;Cases[[#This Row],[Component]]),1,0)</f>
        <v>0</v>
      </c>
      <c r="CC686" s="2">
        <f>IF(OR(Cases[[#This Row],[Is Reopened]]="X",Cases[[#This Row],[No. of Reopenings]]&gt;0),1,0)</f>
        <v>1</v>
      </c>
      <c r="CD686" s="2">
        <f>IF(Cases[[#This Row],[Confirmation Type]]="Automatic",1,0)</f>
        <v>1</v>
      </c>
      <c r="CE686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87" spans="1:83" x14ac:dyDescent="0.2">
      <c r="A687" s="1" t="s">
        <v>3786</v>
      </c>
      <c r="B687" s="2" t="s">
        <v>3787</v>
      </c>
      <c r="C687" s="2" t="s">
        <v>352</v>
      </c>
      <c r="D687" s="2" t="s">
        <v>238</v>
      </c>
      <c r="E687" s="3">
        <v>4.7</v>
      </c>
      <c r="F687" s="3">
        <v>87.24</v>
      </c>
      <c r="G687" s="2" t="s">
        <v>79</v>
      </c>
      <c r="H687" s="2" t="s">
        <v>80</v>
      </c>
      <c r="I687" s="3" t="s">
        <v>81</v>
      </c>
      <c r="J687" s="3">
        <v>261</v>
      </c>
      <c r="K687" s="2" t="s">
        <v>3788</v>
      </c>
      <c r="L687" s="4">
        <v>46049</v>
      </c>
      <c r="M687" s="4">
        <v>45957</v>
      </c>
      <c r="N687" s="2" t="s">
        <v>2727</v>
      </c>
      <c r="O687" s="2" t="s">
        <v>1805</v>
      </c>
      <c r="P687" s="2" t="s">
        <v>2717</v>
      </c>
      <c r="Q687" s="2" t="s">
        <v>1806</v>
      </c>
      <c r="R687" s="2" t="s">
        <v>351</v>
      </c>
      <c r="S687" s="4">
        <v>45866</v>
      </c>
      <c r="T687" s="2" t="s">
        <v>3783</v>
      </c>
      <c r="U687" s="2" t="s">
        <v>3265</v>
      </c>
      <c r="V687" s="2" t="s">
        <v>3784</v>
      </c>
      <c r="W687" s="2" t="s">
        <v>1806</v>
      </c>
      <c r="X687" s="2" t="s">
        <v>88</v>
      </c>
      <c r="Y687" s="3" t="s">
        <v>89</v>
      </c>
      <c r="Z687" s="3">
        <v>91.94</v>
      </c>
      <c r="AA687" s="2" t="s">
        <v>90</v>
      </c>
      <c r="AB687" s="2" t="s">
        <v>351</v>
      </c>
      <c r="AC687" s="2" t="s">
        <v>352</v>
      </c>
      <c r="AD687" t="str" cm="1">
        <f t="array" ref="AD68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687" s="2" t="s">
        <v>139</v>
      </c>
      <c r="AF687" s="2" t="s">
        <v>92</v>
      </c>
      <c r="AG687" s="2" t="s">
        <v>3789</v>
      </c>
      <c r="AH687" s="2" t="s">
        <v>3790</v>
      </c>
      <c r="AK687" s="2" t="s">
        <v>3791</v>
      </c>
      <c r="AN687" s="3">
        <v>1</v>
      </c>
      <c r="AO687" s="3">
        <v>0</v>
      </c>
      <c r="AP687" s="3">
        <v>1</v>
      </c>
      <c r="AQ687" s="3">
        <v>1</v>
      </c>
      <c r="AR687" s="3">
        <v>0</v>
      </c>
      <c r="AS687" s="3">
        <v>0</v>
      </c>
      <c r="AT687" s="3">
        <v>1</v>
      </c>
      <c r="AU687" s="3">
        <v>0</v>
      </c>
      <c r="AV687" s="3">
        <v>1</v>
      </c>
      <c r="AW687" s="3">
        <v>0</v>
      </c>
      <c r="AX687" s="3">
        <v>0</v>
      </c>
      <c r="AY687" s="3">
        <v>0</v>
      </c>
      <c r="AZ687" s="3">
        <v>1</v>
      </c>
      <c r="BA687" s="3">
        <v>0</v>
      </c>
      <c r="BB687" s="3">
        <v>0</v>
      </c>
      <c r="BC687" s="3">
        <v>1</v>
      </c>
      <c r="BD687" s="3">
        <v>0</v>
      </c>
      <c r="BE687" s="3">
        <v>0</v>
      </c>
      <c r="BG687" s="2" t="s">
        <v>139</v>
      </c>
      <c r="BH687" s="3">
        <v>2</v>
      </c>
      <c r="BJ687" s="2" t="s">
        <v>96</v>
      </c>
      <c r="BL687" s="2" t="s">
        <v>97</v>
      </c>
      <c r="BM687" s="2" t="s">
        <v>98</v>
      </c>
      <c r="BN687" s="2" t="s">
        <v>99</v>
      </c>
      <c r="BO687" s="2" t="s">
        <v>100</v>
      </c>
      <c r="BP687" s="2" t="s">
        <v>242</v>
      </c>
      <c r="BQ687" s="2" t="s">
        <v>102</v>
      </c>
      <c r="BR687" s="2" t="s">
        <v>103</v>
      </c>
      <c r="BS687" s="2" t="s">
        <v>127</v>
      </c>
      <c r="BT687" s="2" t="s">
        <v>356</v>
      </c>
      <c r="BU687" s="2" t="s">
        <v>3792</v>
      </c>
      <c r="BV687" s="2" t="s">
        <v>150</v>
      </c>
      <c r="BW687" s="2" t="s">
        <v>151</v>
      </c>
      <c r="BX687" s="2" t="s">
        <v>139</v>
      </c>
      <c r="BY68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87" s="2">
        <f>IF(AND(Cases[[#This Row],[Priority Level]]&gt;=3,Cases[[#This Row],[System Role]]&lt;&gt;"Productive"),1,0)</f>
        <v>0</v>
      </c>
      <c r="CA687" s="2">
        <f>IFERROR(IF(Cases[[#This Row],[Days at Customer]]&gt;MAX(1,Cases[[#This Row],[Days at SAP]]*2),1,0),0)</f>
        <v>1</v>
      </c>
      <c r="CB687" s="2">
        <f>IF(AND(Cases[[#This Row],[Initial Component]]&lt;&gt;"",Cases[[#This Row],[Component]]&lt;&gt;"",Cases[[#This Row],[Initial Component]]&lt;&gt;Cases[[#This Row],[Component]]),1,0)</f>
        <v>0</v>
      </c>
      <c r="CC687" s="2">
        <f>IF(OR(Cases[[#This Row],[Is Reopened]]="X",Cases[[#This Row],[No. of Reopenings]]&gt;0),1,0)</f>
        <v>0</v>
      </c>
      <c r="CD687" s="2">
        <f>IF(Cases[[#This Row],[Confirmation Type]]="Automatic",1,0)</f>
        <v>1</v>
      </c>
      <c r="CE687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88" spans="1:83" x14ac:dyDescent="0.2">
      <c r="A688" s="1" t="s">
        <v>3793</v>
      </c>
      <c r="B688" s="2" t="s">
        <v>3794</v>
      </c>
      <c r="C688" s="2" t="s">
        <v>2236</v>
      </c>
      <c r="D688" s="2" t="s">
        <v>238</v>
      </c>
      <c r="E688" s="3">
        <v>12.62</v>
      </c>
      <c r="F688" s="3">
        <v>69.010000000000005</v>
      </c>
      <c r="G688" s="2" t="s">
        <v>190</v>
      </c>
      <c r="H688" s="2" t="s">
        <v>191</v>
      </c>
      <c r="I688" s="3" t="s">
        <v>114</v>
      </c>
      <c r="J688" s="3">
        <v>265</v>
      </c>
      <c r="K688" s="2" t="s">
        <v>3795</v>
      </c>
      <c r="L688" s="4">
        <v>46040</v>
      </c>
      <c r="M688" s="4">
        <v>45943</v>
      </c>
      <c r="N688" s="2" t="s">
        <v>2727</v>
      </c>
      <c r="O688" s="2" t="s">
        <v>1805</v>
      </c>
      <c r="P688" s="2" t="s">
        <v>2936</v>
      </c>
      <c r="Q688" s="2" t="s">
        <v>1806</v>
      </c>
      <c r="R688" s="2" t="s">
        <v>2238</v>
      </c>
      <c r="S688" s="4">
        <v>45862</v>
      </c>
      <c r="T688" s="2" t="s">
        <v>3783</v>
      </c>
      <c r="U688" s="2" t="s">
        <v>3265</v>
      </c>
      <c r="V688" s="2" t="s">
        <v>3796</v>
      </c>
      <c r="W688" s="2" t="s">
        <v>1806</v>
      </c>
      <c r="X688" s="2" t="s">
        <v>117</v>
      </c>
      <c r="Y688" s="3" t="s">
        <v>118</v>
      </c>
      <c r="Z688" s="3">
        <v>81.63</v>
      </c>
      <c r="AA688" s="2" t="s">
        <v>90</v>
      </c>
      <c r="AB688" s="2" t="s">
        <v>2238</v>
      </c>
      <c r="AC688" s="2" t="s">
        <v>2236</v>
      </c>
      <c r="AD688" t="str" cm="1">
        <f t="array" ref="AD68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688" s="2" t="s">
        <v>91</v>
      </c>
      <c r="AF688" s="2" t="s">
        <v>92</v>
      </c>
      <c r="AG688" s="2" t="s">
        <v>119</v>
      </c>
      <c r="AH688" s="2" t="s">
        <v>120</v>
      </c>
      <c r="AK688" s="2" t="s">
        <v>3797</v>
      </c>
      <c r="AN688" s="3">
        <v>1</v>
      </c>
      <c r="AO688" s="3">
        <v>0</v>
      </c>
      <c r="AP688" s="3">
        <v>1</v>
      </c>
      <c r="AQ688" s="3">
        <v>1</v>
      </c>
      <c r="AR688" s="3">
        <v>1</v>
      </c>
      <c r="AS688" s="3">
        <v>0</v>
      </c>
      <c r="AT688" s="3">
        <v>0</v>
      </c>
      <c r="AU688" s="3">
        <v>0</v>
      </c>
      <c r="AV688" s="3">
        <v>1</v>
      </c>
      <c r="AW688" s="3">
        <v>0</v>
      </c>
      <c r="AX688" s="3">
        <v>1</v>
      </c>
      <c r="AY688" s="3">
        <v>0</v>
      </c>
      <c r="AZ688" s="3">
        <v>0</v>
      </c>
      <c r="BA688" s="3">
        <v>0</v>
      </c>
      <c r="BB688" s="3">
        <v>0</v>
      </c>
      <c r="BC688" s="3">
        <v>1</v>
      </c>
      <c r="BD688" s="3">
        <v>0</v>
      </c>
      <c r="BE688" s="3">
        <v>0</v>
      </c>
      <c r="BG688" s="2" t="s">
        <v>91</v>
      </c>
      <c r="BH688" s="3">
        <v>3</v>
      </c>
      <c r="BJ688" s="2" t="s">
        <v>96</v>
      </c>
      <c r="BL688" s="2" t="s">
        <v>123</v>
      </c>
      <c r="BM688" s="2" t="s">
        <v>123</v>
      </c>
      <c r="BN688" s="2" t="s">
        <v>124</v>
      </c>
      <c r="BO688" s="2" t="s">
        <v>125</v>
      </c>
      <c r="BP688" s="2" t="s">
        <v>242</v>
      </c>
      <c r="BQ688" s="2" t="s">
        <v>124</v>
      </c>
      <c r="BR688" s="2" t="s">
        <v>126</v>
      </c>
      <c r="BS688" s="2" t="s">
        <v>127</v>
      </c>
      <c r="BT688" s="2" t="s">
        <v>420</v>
      </c>
      <c r="BU688" s="2" t="s">
        <v>421</v>
      </c>
      <c r="BV688" s="2" t="s">
        <v>150</v>
      </c>
      <c r="BW688" s="2" t="s">
        <v>151</v>
      </c>
      <c r="BX688" s="2" t="s">
        <v>91</v>
      </c>
      <c r="BY68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88" s="2">
        <f>IF(AND(Cases[[#This Row],[Priority Level]]&gt;=3,Cases[[#This Row],[System Role]]&lt;&gt;"Productive"),1,0)</f>
        <v>0</v>
      </c>
      <c r="CA688" s="2">
        <f>IFERROR(IF(Cases[[#This Row],[Days at Customer]]&gt;MAX(1,Cases[[#This Row],[Days at SAP]]*2),1,0),0)</f>
        <v>1</v>
      </c>
      <c r="CB688" s="2">
        <f>IF(AND(Cases[[#This Row],[Initial Component]]&lt;&gt;"",Cases[[#This Row],[Component]]&lt;&gt;"",Cases[[#This Row],[Initial Component]]&lt;&gt;Cases[[#This Row],[Component]]),1,0)</f>
        <v>0</v>
      </c>
      <c r="CC688" s="2">
        <f>IF(OR(Cases[[#This Row],[Is Reopened]]="X",Cases[[#This Row],[No. of Reopenings]]&gt;0),1,0)</f>
        <v>0</v>
      </c>
      <c r="CD688" s="2">
        <f>IF(Cases[[#This Row],[Confirmation Type]]="Automatic",1,0)</f>
        <v>1</v>
      </c>
      <c r="CE688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89" spans="1:83" x14ac:dyDescent="0.2">
      <c r="A689" s="1" t="s">
        <v>306</v>
      </c>
      <c r="B689" s="2" t="s">
        <v>307</v>
      </c>
      <c r="C689" s="2" t="s">
        <v>189</v>
      </c>
      <c r="D689" s="2" t="s">
        <v>238</v>
      </c>
      <c r="E689" s="3">
        <v>2.36</v>
      </c>
      <c r="F689" s="3">
        <v>22.25</v>
      </c>
      <c r="G689" s="2" t="s">
        <v>190</v>
      </c>
      <c r="H689" s="2" t="s">
        <v>308</v>
      </c>
      <c r="I689" s="3" t="s">
        <v>114</v>
      </c>
      <c r="J689" s="3">
        <v>29</v>
      </c>
      <c r="K689" s="2" t="s">
        <v>309</v>
      </c>
      <c r="L689" s="4">
        <v>46126</v>
      </c>
      <c r="M689" s="4">
        <v>46123</v>
      </c>
      <c r="N689" s="2" t="s">
        <v>83</v>
      </c>
      <c r="O689" s="2" t="s">
        <v>84</v>
      </c>
      <c r="P689" s="2" t="s">
        <v>85</v>
      </c>
      <c r="Q689" s="2" t="s">
        <v>86</v>
      </c>
      <c r="R689" s="2" t="s">
        <v>194</v>
      </c>
      <c r="S689" s="4">
        <v>46098</v>
      </c>
      <c r="T689" s="2" t="s">
        <v>180</v>
      </c>
      <c r="U689" s="2" t="s">
        <v>181</v>
      </c>
      <c r="V689" s="2" t="s">
        <v>260</v>
      </c>
      <c r="W689" s="2" t="s">
        <v>86</v>
      </c>
      <c r="X689" s="2" t="s">
        <v>117</v>
      </c>
      <c r="Y689" s="3" t="s">
        <v>118</v>
      </c>
      <c r="Z689" s="3">
        <v>24.61</v>
      </c>
      <c r="AA689" s="2" t="s">
        <v>90</v>
      </c>
      <c r="AB689" s="2" t="s">
        <v>310</v>
      </c>
      <c r="AC689" s="2" t="s">
        <v>311</v>
      </c>
      <c r="AD689" t="str" cm="1">
        <f t="array" ref="AD68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689" s="2" t="s">
        <v>91</v>
      </c>
      <c r="AF689" s="2" t="s">
        <v>92</v>
      </c>
      <c r="AG689" s="2" t="s">
        <v>119</v>
      </c>
      <c r="AH689" s="2" t="s">
        <v>120</v>
      </c>
      <c r="AK689" s="2" t="s">
        <v>312</v>
      </c>
      <c r="AN689" s="3">
        <v>1</v>
      </c>
      <c r="AO689" s="3">
        <v>1</v>
      </c>
      <c r="AP689" s="3">
        <v>1</v>
      </c>
      <c r="AQ689" s="3">
        <v>1</v>
      </c>
      <c r="AR689" s="3">
        <v>1</v>
      </c>
      <c r="AS689" s="3">
        <v>0</v>
      </c>
      <c r="AT689" s="3">
        <v>0</v>
      </c>
      <c r="AU689" s="3">
        <v>0</v>
      </c>
      <c r="AV689" s="3">
        <v>1</v>
      </c>
      <c r="AW689" s="3">
        <v>0</v>
      </c>
      <c r="AX689" s="3">
        <v>1</v>
      </c>
      <c r="AY689" s="3">
        <v>0</v>
      </c>
      <c r="AZ689" s="3">
        <v>0</v>
      </c>
      <c r="BA689" s="3">
        <v>1</v>
      </c>
      <c r="BB689" s="3">
        <v>0</v>
      </c>
      <c r="BC689" s="3">
        <v>0</v>
      </c>
      <c r="BD689" s="3">
        <v>0</v>
      </c>
      <c r="BE689" s="3">
        <v>0</v>
      </c>
      <c r="BG689" s="2" t="s">
        <v>91</v>
      </c>
      <c r="BH689" s="3">
        <v>3</v>
      </c>
      <c r="BJ689" s="2" t="s">
        <v>96</v>
      </c>
      <c r="BL689" s="2" t="s">
        <v>123</v>
      </c>
      <c r="BM689" s="2" t="s">
        <v>123</v>
      </c>
      <c r="BN689" s="2" t="s">
        <v>124</v>
      </c>
      <c r="BO689" s="2" t="s">
        <v>125</v>
      </c>
      <c r="BP689" s="2" t="s">
        <v>242</v>
      </c>
      <c r="BQ689" s="2" t="s">
        <v>124</v>
      </c>
      <c r="BR689" s="2" t="s">
        <v>126</v>
      </c>
      <c r="BS689" s="2" t="s">
        <v>127</v>
      </c>
      <c r="BT689" s="2" t="s">
        <v>199</v>
      </c>
      <c r="BU689" s="2" t="s">
        <v>200</v>
      </c>
      <c r="BV689" s="2" t="s">
        <v>166</v>
      </c>
      <c r="BW689" s="2" t="s">
        <v>167</v>
      </c>
      <c r="BX689" s="2" t="s">
        <v>91</v>
      </c>
      <c r="BY68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89" s="2">
        <f>IF(AND(Cases[[#This Row],[Priority Level]]&gt;=3,Cases[[#This Row],[System Role]]&lt;&gt;"Productive"),1,0)</f>
        <v>1</v>
      </c>
      <c r="CA689" s="2">
        <f>IFERROR(IF(Cases[[#This Row],[Days at Customer]]&gt;MAX(1,Cases[[#This Row],[Days at SAP]]*2),1,0),0)</f>
        <v>1</v>
      </c>
      <c r="CB689" s="2">
        <f>IF(AND(Cases[[#This Row],[Initial Component]]&lt;&gt;"",Cases[[#This Row],[Component]]&lt;&gt;"",Cases[[#This Row],[Initial Component]]&lt;&gt;Cases[[#This Row],[Component]]),1,0)</f>
        <v>1</v>
      </c>
      <c r="CC689" s="2">
        <f>IF(OR(Cases[[#This Row],[Is Reopened]]="X",Cases[[#This Row],[No. of Reopenings]]&gt;0),1,0)</f>
        <v>0</v>
      </c>
      <c r="CD689" s="2">
        <f>IF(Cases[[#This Row],[Confirmation Type]]="Automatic",1,0)</f>
        <v>1</v>
      </c>
      <c r="CE689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690" spans="1:83" x14ac:dyDescent="0.2">
      <c r="A690" s="1" t="s">
        <v>313</v>
      </c>
      <c r="B690" s="2" t="s">
        <v>314</v>
      </c>
      <c r="C690" s="2" t="s">
        <v>189</v>
      </c>
      <c r="D690" s="2" t="s">
        <v>238</v>
      </c>
      <c r="E690" s="3">
        <v>2.38</v>
      </c>
      <c r="F690" s="3">
        <v>22.22</v>
      </c>
      <c r="G690" s="2" t="s">
        <v>190</v>
      </c>
      <c r="H690" s="2" t="s">
        <v>308</v>
      </c>
      <c r="I690" s="3" t="s">
        <v>114</v>
      </c>
      <c r="J690" s="3">
        <v>29</v>
      </c>
      <c r="K690" s="2" t="s">
        <v>315</v>
      </c>
      <c r="L690" s="4">
        <v>46126</v>
      </c>
      <c r="M690" s="4">
        <v>46123</v>
      </c>
      <c r="N690" s="2" t="s">
        <v>83</v>
      </c>
      <c r="O690" s="2" t="s">
        <v>84</v>
      </c>
      <c r="P690" s="2" t="s">
        <v>85</v>
      </c>
      <c r="Q690" s="2" t="s">
        <v>86</v>
      </c>
      <c r="R690" s="2" t="s">
        <v>194</v>
      </c>
      <c r="S690" s="4">
        <v>46098</v>
      </c>
      <c r="T690" s="2" t="s">
        <v>180</v>
      </c>
      <c r="U690" s="2" t="s">
        <v>181</v>
      </c>
      <c r="V690" s="2" t="s">
        <v>260</v>
      </c>
      <c r="W690" s="2" t="s">
        <v>86</v>
      </c>
      <c r="X690" s="2" t="s">
        <v>117</v>
      </c>
      <c r="Y690" s="3" t="s">
        <v>118</v>
      </c>
      <c r="Z690" s="3">
        <v>24.6</v>
      </c>
      <c r="AA690" s="2" t="s">
        <v>90</v>
      </c>
      <c r="AB690" s="2" t="s">
        <v>310</v>
      </c>
      <c r="AC690" s="2" t="s">
        <v>311</v>
      </c>
      <c r="AD690" t="str" cm="1">
        <f t="array" ref="AD69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690" s="2" t="s">
        <v>91</v>
      </c>
      <c r="AF690" s="2" t="s">
        <v>92</v>
      </c>
      <c r="AG690" s="2" t="s">
        <v>119</v>
      </c>
      <c r="AH690" s="2" t="s">
        <v>120</v>
      </c>
      <c r="AK690" s="2" t="s">
        <v>316</v>
      </c>
      <c r="AN690" s="3">
        <v>1</v>
      </c>
      <c r="AO690" s="3">
        <v>1</v>
      </c>
      <c r="AP690" s="3">
        <v>1</v>
      </c>
      <c r="AQ690" s="3">
        <v>1</v>
      </c>
      <c r="AR690" s="3">
        <v>1</v>
      </c>
      <c r="AS690" s="3">
        <v>0</v>
      </c>
      <c r="AT690" s="3">
        <v>0</v>
      </c>
      <c r="AU690" s="3">
        <v>0</v>
      </c>
      <c r="AV690" s="3">
        <v>1</v>
      </c>
      <c r="AW690" s="3">
        <v>0</v>
      </c>
      <c r="AX690" s="3">
        <v>1</v>
      </c>
      <c r="AY690" s="3">
        <v>0</v>
      </c>
      <c r="AZ690" s="3">
        <v>0</v>
      </c>
      <c r="BA690" s="3">
        <v>1</v>
      </c>
      <c r="BB690" s="3">
        <v>0</v>
      </c>
      <c r="BC690" s="3">
        <v>0</v>
      </c>
      <c r="BD690" s="3">
        <v>0</v>
      </c>
      <c r="BE690" s="3">
        <v>0</v>
      </c>
      <c r="BG690" s="2" t="s">
        <v>91</v>
      </c>
      <c r="BH690" s="3">
        <v>3</v>
      </c>
      <c r="BJ690" s="2" t="s">
        <v>96</v>
      </c>
      <c r="BL690" s="2" t="s">
        <v>123</v>
      </c>
      <c r="BM690" s="2" t="s">
        <v>123</v>
      </c>
      <c r="BN690" s="2" t="s">
        <v>124</v>
      </c>
      <c r="BO690" s="2" t="s">
        <v>125</v>
      </c>
      <c r="BP690" s="2" t="s">
        <v>242</v>
      </c>
      <c r="BQ690" s="2" t="s">
        <v>124</v>
      </c>
      <c r="BR690" s="2" t="s">
        <v>126</v>
      </c>
      <c r="BS690" s="2" t="s">
        <v>127</v>
      </c>
      <c r="BT690" s="2" t="s">
        <v>199</v>
      </c>
      <c r="BU690" s="2" t="s">
        <v>200</v>
      </c>
      <c r="BV690" s="2" t="s">
        <v>166</v>
      </c>
      <c r="BW690" s="2" t="s">
        <v>167</v>
      </c>
      <c r="BX690" s="2" t="s">
        <v>91</v>
      </c>
      <c r="BY69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90" s="2">
        <f>IF(AND(Cases[[#This Row],[Priority Level]]&gt;=3,Cases[[#This Row],[System Role]]&lt;&gt;"Productive"),1,0)</f>
        <v>1</v>
      </c>
      <c r="CA690" s="2">
        <f>IFERROR(IF(Cases[[#This Row],[Days at Customer]]&gt;MAX(1,Cases[[#This Row],[Days at SAP]]*2),1,0),0)</f>
        <v>1</v>
      </c>
      <c r="CB690" s="2">
        <f>IF(AND(Cases[[#This Row],[Initial Component]]&lt;&gt;"",Cases[[#This Row],[Component]]&lt;&gt;"",Cases[[#This Row],[Initial Component]]&lt;&gt;Cases[[#This Row],[Component]]),1,0)</f>
        <v>1</v>
      </c>
      <c r="CC690" s="2">
        <f>IF(OR(Cases[[#This Row],[Is Reopened]]="X",Cases[[#This Row],[No. of Reopenings]]&gt;0),1,0)</f>
        <v>0</v>
      </c>
      <c r="CD690" s="2">
        <f>IF(Cases[[#This Row],[Confirmation Type]]="Automatic",1,0)</f>
        <v>1</v>
      </c>
      <c r="CE690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691" spans="1:83" x14ac:dyDescent="0.2">
      <c r="A691" s="1" t="s">
        <v>3806</v>
      </c>
      <c r="B691" s="2" t="s">
        <v>3807</v>
      </c>
      <c r="C691" s="2" t="s">
        <v>3808</v>
      </c>
      <c r="D691" s="2" t="s">
        <v>238</v>
      </c>
      <c r="E691" s="3">
        <v>2.99</v>
      </c>
      <c r="F691" s="3">
        <v>46.99</v>
      </c>
      <c r="G691" s="2" t="s">
        <v>113</v>
      </c>
      <c r="H691" s="2" t="s">
        <v>113</v>
      </c>
      <c r="I691" s="3" t="s">
        <v>114</v>
      </c>
      <c r="J691" s="3">
        <v>265</v>
      </c>
      <c r="K691" s="2" t="s">
        <v>3809</v>
      </c>
      <c r="L691" s="4">
        <v>46033</v>
      </c>
      <c r="M691" s="4">
        <v>45937</v>
      </c>
      <c r="N691" s="2" t="s">
        <v>2727</v>
      </c>
      <c r="O691" s="2" t="s">
        <v>1805</v>
      </c>
      <c r="P691" s="2" t="s">
        <v>3126</v>
      </c>
      <c r="Q691" s="2" t="s">
        <v>1806</v>
      </c>
      <c r="R691" s="2" t="s">
        <v>3810</v>
      </c>
      <c r="S691" s="4">
        <v>45862</v>
      </c>
      <c r="T691" s="2" t="s">
        <v>3783</v>
      </c>
      <c r="U691" s="2" t="s">
        <v>3265</v>
      </c>
      <c r="V691" s="2" t="s">
        <v>3796</v>
      </c>
      <c r="W691" s="2" t="s">
        <v>1806</v>
      </c>
      <c r="X691" s="2" t="s">
        <v>117</v>
      </c>
      <c r="Y691" s="3" t="s">
        <v>118</v>
      </c>
      <c r="Z691" s="3">
        <v>49.98</v>
      </c>
      <c r="AA691" s="2" t="s">
        <v>138</v>
      </c>
      <c r="AB691" s="2" t="s">
        <v>259</v>
      </c>
      <c r="AC691" s="2" t="s">
        <v>257</v>
      </c>
      <c r="AD691" t="str" cm="1">
        <f t="array" ref="AD69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691" s="2" t="s">
        <v>91</v>
      </c>
      <c r="AF691" s="2" t="s">
        <v>92</v>
      </c>
      <c r="AG691" s="2" t="s">
        <v>140</v>
      </c>
      <c r="AH691" s="2" t="s">
        <v>141</v>
      </c>
      <c r="AK691" s="2" t="s">
        <v>3811</v>
      </c>
      <c r="AN691" s="3">
        <v>1</v>
      </c>
      <c r="AO691" s="3">
        <v>0</v>
      </c>
      <c r="AP691" s="3">
        <v>1</v>
      </c>
      <c r="AQ691" s="3">
        <v>1</v>
      </c>
      <c r="AR691" s="3">
        <v>1</v>
      </c>
      <c r="AS691" s="3">
        <v>0</v>
      </c>
      <c r="AT691" s="3">
        <v>0</v>
      </c>
      <c r="AU691" s="3">
        <v>0</v>
      </c>
      <c r="AV691" s="3">
        <v>1</v>
      </c>
      <c r="AW691" s="3">
        <v>0</v>
      </c>
      <c r="AX691" s="3">
        <v>1</v>
      </c>
      <c r="AY691" s="3">
        <v>0</v>
      </c>
      <c r="AZ691" s="3">
        <v>0</v>
      </c>
      <c r="BA691" s="3">
        <v>1</v>
      </c>
      <c r="BB691" s="3">
        <v>0</v>
      </c>
      <c r="BC691" s="3">
        <v>0</v>
      </c>
      <c r="BD691" s="3">
        <v>0</v>
      </c>
      <c r="BE691" s="3">
        <v>0</v>
      </c>
      <c r="BG691" s="2" t="s">
        <v>91</v>
      </c>
      <c r="BH691" s="3">
        <v>3</v>
      </c>
      <c r="BI691" s="2" t="s">
        <v>122</v>
      </c>
      <c r="BJ691" s="2" t="s">
        <v>96</v>
      </c>
      <c r="BL691" s="2" t="s">
        <v>143</v>
      </c>
      <c r="BM691" s="2" t="s">
        <v>144</v>
      </c>
      <c r="BN691" s="2" t="s">
        <v>99</v>
      </c>
      <c r="BO691" s="2" t="s">
        <v>100</v>
      </c>
      <c r="BP691" s="2" t="s">
        <v>242</v>
      </c>
      <c r="BQ691" s="2" t="s">
        <v>145</v>
      </c>
      <c r="BR691" s="2" t="s">
        <v>146</v>
      </c>
      <c r="BS691" s="2" t="s">
        <v>147</v>
      </c>
      <c r="BT691" s="2" t="s">
        <v>148</v>
      </c>
      <c r="BU691" s="2" t="s">
        <v>262</v>
      </c>
      <c r="BV691" s="2" t="s">
        <v>107</v>
      </c>
      <c r="BW691" s="2" t="s">
        <v>108</v>
      </c>
      <c r="BX691" s="2" t="s">
        <v>91</v>
      </c>
      <c r="BY69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91" s="2">
        <f>IF(AND(Cases[[#This Row],[Priority Level]]&gt;=3,Cases[[#This Row],[System Role]]&lt;&gt;"Productive"),1,0)</f>
        <v>1</v>
      </c>
      <c r="CA691" s="2">
        <f>IFERROR(IF(Cases[[#This Row],[Days at Customer]]&gt;MAX(1,Cases[[#This Row],[Days at SAP]]*2),1,0),0)</f>
        <v>1</v>
      </c>
      <c r="CB691" s="2">
        <f>IF(AND(Cases[[#This Row],[Initial Component]]&lt;&gt;"",Cases[[#This Row],[Component]]&lt;&gt;"",Cases[[#This Row],[Initial Component]]&lt;&gt;Cases[[#This Row],[Component]]),1,0)</f>
        <v>1</v>
      </c>
      <c r="CC691" s="2">
        <f>IF(OR(Cases[[#This Row],[Is Reopened]]="X",Cases[[#This Row],[No. of Reopenings]]&gt;0),1,0)</f>
        <v>0</v>
      </c>
      <c r="CD691" s="2">
        <f>IF(Cases[[#This Row],[Confirmation Type]]="Automatic",1,0)</f>
        <v>1</v>
      </c>
      <c r="CE691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692" spans="1:83" x14ac:dyDescent="0.2">
      <c r="A692" s="1" t="s">
        <v>3812</v>
      </c>
      <c r="B692" s="2" t="s">
        <v>3813</v>
      </c>
      <c r="C692" s="2" t="s">
        <v>1112</v>
      </c>
      <c r="D692" s="2" t="s">
        <v>238</v>
      </c>
      <c r="E692" s="3">
        <v>46.57</v>
      </c>
      <c r="F692" s="3">
        <v>142.69999999999999</v>
      </c>
      <c r="G692" s="2" t="s">
        <v>190</v>
      </c>
      <c r="H692" s="2" t="s">
        <v>191</v>
      </c>
      <c r="I692" s="3" t="s">
        <v>114</v>
      </c>
      <c r="J692" s="3">
        <v>271</v>
      </c>
      <c r="K692" s="2" t="s">
        <v>3814</v>
      </c>
      <c r="L692" s="4">
        <v>46063</v>
      </c>
      <c r="M692" s="4">
        <v>46045</v>
      </c>
      <c r="N692" s="2" t="s">
        <v>1334</v>
      </c>
      <c r="O692" s="2" t="s">
        <v>181</v>
      </c>
      <c r="P692" s="2" t="s">
        <v>83</v>
      </c>
      <c r="Q692" s="2" t="s">
        <v>86</v>
      </c>
      <c r="R692" s="2" t="s">
        <v>1114</v>
      </c>
      <c r="S692" s="4">
        <v>45856</v>
      </c>
      <c r="T692" s="2" t="s">
        <v>3783</v>
      </c>
      <c r="U692" s="2" t="s">
        <v>3265</v>
      </c>
      <c r="V692" s="2" t="s">
        <v>3815</v>
      </c>
      <c r="W692" s="2" t="s">
        <v>1806</v>
      </c>
      <c r="X692" s="2" t="s">
        <v>117</v>
      </c>
      <c r="Y692" s="3" t="s">
        <v>118</v>
      </c>
      <c r="Z692" s="3">
        <v>189.28</v>
      </c>
      <c r="AA692" s="2" t="s">
        <v>138</v>
      </c>
      <c r="AB692" s="2" t="s">
        <v>1114</v>
      </c>
      <c r="AC692" s="2" t="s">
        <v>1112</v>
      </c>
      <c r="AD692" t="str" cm="1">
        <f t="array" ref="AD69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Reporting &amp; Analytics (BW)</v>
      </c>
      <c r="AE692" s="2" t="s">
        <v>91</v>
      </c>
      <c r="AF692" s="2" t="s">
        <v>998</v>
      </c>
      <c r="AG692" s="2" t="s">
        <v>140</v>
      </c>
      <c r="AH692" s="2" t="s">
        <v>141</v>
      </c>
      <c r="AJ692" s="2" t="s">
        <v>122</v>
      </c>
      <c r="AK692" s="2" t="s">
        <v>3816</v>
      </c>
      <c r="AN692" s="3">
        <v>1</v>
      </c>
      <c r="AO692" s="3">
        <v>0</v>
      </c>
      <c r="AP692" s="3">
        <v>1</v>
      </c>
      <c r="AQ692" s="3">
        <v>1</v>
      </c>
      <c r="AR692" s="3">
        <v>0</v>
      </c>
      <c r="AS692" s="3">
        <v>0</v>
      </c>
      <c r="AT692" s="3">
        <v>1</v>
      </c>
      <c r="AU692" s="3">
        <v>0</v>
      </c>
      <c r="AV692" s="3">
        <v>1</v>
      </c>
      <c r="AW692" s="3">
        <v>0</v>
      </c>
      <c r="AX692" s="3">
        <v>0</v>
      </c>
      <c r="AY692" s="3">
        <v>0</v>
      </c>
      <c r="AZ692" s="3">
        <v>1</v>
      </c>
      <c r="BA692" s="3">
        <v>1</v>
      </c>
      <c r="BB692" s="3">
        <v>0</v>
      </c>
      <c r="BC692" s="3">
        <v>0</v>
      </c>
      <c r="BD692" s="3">
        <v>2</v>
      </c>
      <c r="BE692" s="3">
        <v>0</v>
      </c>
      <c r="BG692" s="2" t="s">
        <v>139</v>
      </c>
      <c r="BH692" s="3">
        <v>2</v>
      </c>
      <c r="BJ692" s="2" t="s">
        <v>96</v>
      </c>
      <c r="BL692" s="2" t="s">
        <v>143</v>
      </c>
      <c r="BM692" s="2" t="s">
        <v>144</v>
      </c>
      <c r="BN692" s="2" t="s">
        <v>99</v>
      </c>
      <c r="BO692" s="2" t="s">
        <v>100</v>
      </c>
      <c r="BP692" s="2" t="s">
        <v>242</v>
      </c>
      <c r="BQ692" s="2" t="s">
        <v>145</v>
      </c>
      <c r="BR692" s="2" t="s">
        <v>146</v>
      </c>
      <c r="BS692" s="2" t="s">
        <v>147</v>
      </c>
      <c r="BT692" s="2" t="s">
        <v>148</v>
      </c>
      <c r="BU692" s="2" t="s">
        <v>262</v>
      </c>
      <c r="BV692" s="2" t="s">
        <v>107</v>
      </c>
      <c r="BW692" s="2" t="s">
        <v>108</v>
      </c>
      <c r="BX692" s="2" t="s">
        <v>91</v>
      </c>
      <c r="BY69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92" s="2">
        <f>IF(AND(Cases[[#This Row],[Priority Level]]&gt;=3,Cases[[#This Row],[System Role]]&lt;&gt;"Productive"),1,0)</f>
        <v>0</v>
      </c>
      <c r="CA692" s="2">
        <f>IFERROR(IF(Cases[[#This Row],[Days at Customer]]&gt;MAX(1,Cases[[#This Row],[Days at SAP]]*2),1,0),0)</f>
        <v>1</v>
      </c>
      <c r="CB692" s="2">
        <f>IF(AND(Cases[[#This Row],[Initial Component]]&lt;&gt;"",Cases[[#This Row],[Component]]&lt;&gt;"",Cases[[#This Row],[Initial Component]]&lt;&gt;Cases[[#This Row],[Component]]),1,0)</f>
        <v>0</v>
      </c>
      <c r="CC692" s="2">
        <f>IF(OR(Cases[[#This Row],[Is Reopened]]="X",Cases[[#This Row],[No. of Reopenings]]&gt;0),1,0)</f>
        <v>1</v>
      </c>
      <c r="CD692" s="2">
        <f>IF(Cases[[#This Row],[Confirmation Type]]="Automatic",1,0)</f>
        <v>1</v>
      </c>
      <c r="CE692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93" spans="1:83" x14ac:dyDescent="0.2">
      <c r="A693" s="1" t="s">
        <v>3817</v>
      </c>
      <c r="B693" s="2" t="s">
        <v>3818</v>
      </c>
      <c r="C693" s="2" t="s">
        <v>3819</v>
      </c>
      <c r="D693" s="2" t="s">
        <v>78</v>
      </c>
      <c r="E693" s="3">
        <v>93.02</v>
      </c>
      <c r="F693" s="3">
        <v>30.64</v>
      </c>
      <c r="G693" s="2" t="s">
        <v>190</v>
      </c>
      <c r="H693" s="2" t="s">
        <v>1205</v>
      </c>
      <c r="I693" s="3" t="s">
        <v>114</v>
      </c>
      <c r="J693" s="3">
        <v>272</v>
      </c>
      <c r="K693" s="2" t="s">
        <v>3820</v>
      </c>
      <c r="L693" s="4">
        <v>46009</v>
      </c>
      <c r="M693" s="4">
        <v>45979</v>
      </c>
      <c r="N693" s="2" t="s">
        <v>2274</v>
      </c>
      <c r="O693" s="2" t="s">
        <v>1805</v>
      </c>
      <c r="P693" s="2" t="s">
        <v>2404</v>
      </c>
      <c r="Q693" s="2" t="s">
        <v>1806</v>
      </c>
      <c r="R693" s="2" t="s">
        <v>3821</v>
      </c>
      <c r="S693" s="4">
        <v>45855</v>
      </c>
      <c r="T693" s="2" t="s">
        <v>3783</v>
      </c>
      <c r="U693" s="2" t="s">
        <v>3265</v>
      </c>
      <c r="V693" s="2" t="s">
        <v>3815</v>
      </c>
      <c r="W693" s="2" t="s">
        <v>1806</v>
      </c>
      <c r="X693" s="2" t="s">
        <v>117</v>
      </c>
      <c r="Y693" s="3" t="s">
        <v>118</v>
      </c>
      <c r="Z693" s="3">
        <v>123.66</v>
      </c>
      <c r="AA693" s="2" t="s">
        <v>90</v>
      </c>
      <c r="AB693" s="2" t="s">
        <v>3821</v>
      </c>
      <c r="AC693" s="2" t="s">
        <v>3819</v>
      </c>
      <c r="AD693" t="str" cm="1">
        <f t="array" ref="AD69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693" s="2" t="s">
        <v>139</v>
      </c>
      <c r="AF693" s="2" t="s">
        <v>92</v>
      </c>
      <c r="AG693" s="2" t="s">
        <v>119</v>
      </c>
      <c r="AH693" s="2" t="s">
        <v>120</v>
      </c>
      <c r="AJ693" s="2" t="s">
        <v>122</v>
      </c>
      <c r="AK693" s="2" t="s">
        <v>3822</v>
      </c>
      <c r="AN693" s="3">
        <v>1</v>
      </c>
      <c r="AO693" s="3">
        <v>0</v>
      </c>
      <c r="AP693" s="3">
        <v>1</v>
      </c>
      <c r="AQ693" s="3">
        <v>1</v>
      </c>
      <c r="AR693" s="3">
        <v>0</v>
      </c>
      <c r="AS693" s="3">
        <v>1</v>
      </c>
      <c r="AT693" s="3">
        <v>0</v>
      </c>
      <c r="AU693" s="3">
        <v>0</v>
      </c>
      <c r="AV693" s="3">
        <v>0</v>
      </c>
      <c r="AW693" s="3">
        <v>1</v>
      </c>
      <c r="AX693" s="3">
        <v>0</v>
      </c>
      <c r="AY693" s="3">
        <v>1</v>
      </c>
      <c r="AZ693" s="3">
        <v>0</v>
      </c>
      <c r="BA693" s="3">
        <v>1</v>
      </c>
      <c r="BB693" s="3">
        <v>0</v>
      </c>
      <c r="BC693" s="3">
        <v>0</v>
      </c>
      <c r="BD693" s="3">
        <v>2</v>
      </c>
      <c r="BE693" s="3">
        <v>0</v>
      </c>
      <c r="BG693" s="2" t="s">
        <v>158</v>
      </c>
      <c r="BH693" s="3">
        <v>1</v>
      </c>
      <c r="BJ693" s="2" t="s">
        <v>96</v>
      </c>
      <c r="BL693" s="2" t="s">
        <v>123</v>
      </c>
      <c r="BM693" s="2" t="s">
        <v>123</v>
      </c>
      <c r="BN693" s="2" t="s">
        <v>124</v>
      </c>
      <c r="BO693" s="2" t="s">
        <v>125</v>
      </c>
      <c r="BP693" s="2" t="s">
        <v>101</v>
      </c>
      <c r="BQ693" s="2" t="s">
        <v>124</v>
      </c>
      <c r="BR693" s="2" t="s">
        <v>126</v>
      </c>
      <c r="BS693" s="2" t="s">
        <v>127</v>
      </c>
      <c r="BT693" s="2" t="s">
        <v>3621</v>
      </c>
      <c r="BU693" s="2" t="s">
        <v>3622</v>
      </c>
      <c r="BV693" s="2" t="s">
        <v>166</v>
      </c>
      <c r="BW693" s="2" t="s">
        <v>167</v>
      </c>
      <c r="BX693" s="2" t="s">
        <v>139</v>
      </c>
      <c r="BY69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93" s="2">
        <f>IF(AND(Cases[[#This Row],[Priority Level]]&gt;=3,Cases[[#This Row],[System Role]]&lt;&gt;"Productive"),1,0)</f>
        <v>0</v>
      </c>
      <c r="CA693" s="2">
        <f>IFERROR(IF(Cases[[#This Row],[Days at Customer]]&gt;MAX(1,Cases[[#This Row],[Days at SAP]]*2),1,0),0)</f>
        <v>0</v>
      </c>
      <c r="CB693" s="2">
        <f>IF(AND(Cases[[#This Row],[Initial Component]]&lt;&gt;"",Cases[[#This Row],[Component]]&lt;&gt;"",Cases[[#This Row],[Initial Component]]&lt;&gt;Cases[[#This Row],[Component]]),1,0)</f>
        <v>0</v>
      </c>
      <c r="CC693" s="2">
        <f>IF(OR(Cases[[#This Row],[Is Reopened]]="X",Cases[[#This Row],[No. of Reopenings]]&gt;0),1,0)</f>
        <v>1</v>
      </c>
      <c r="CD693" s="2">
        <f>IF(Cases[[#This Row],[Confirmation Type]]="Automatic",1,0)</f>
        <v>0</v>
      </c>
      <c r="CE693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94" spans="1:83" x14ac:dyDescent="0.2">
      <c r="A694" s="1" t="s">
        <v>3823</v>
      </c>
      <c r="B694" s="2" t="s">
        <v>3824</v>
      </c>
      <c r="C694" s="2" t="s">
        <v>300</v>
      </c>
      <c r="D694" s="2" t="s">
        <v>238</v>
      </c>
      <c r="E694" s="3">
        <v>24.66</v>
      </c>
      <c r="F694" s="3">
        <v>53.15</v>
      </c>
      <c r="G694" s="2" t="s">
        <v>79</v>
      </c>
      <c r="H694" s="2" t="s">
        <v>80</v>
      </c>
      <c r="I694" s="3" t="s">
        <v>114</v>
      </c>
      <c r="J694" s="3">
        <v>272</v>
      </c>
      <c r="K694" s="2" t="s">
        <v>3825</v>
      </c>
      <c r="L694" s="4">
        <v>46026</v>
      </c>
      <c r="M694" s="4">
        <v>45933</v>
      </c>
      <c r="N694" s="2" t="s">
        <v>2727</v>
      </c>
      <c r="O694" s="2" t="s">
        <v>1805</v>
      </c>
      <c r="P694" s="2" t="s">
        <v>3224</v>
      </c>
      <c r="Q694" s="2" t="s">
        <v>1806</v>
      </c>
      <c r="R694" s="2" t="s">
        <v>299</v>
      </c>
      <c r="S694" s="4">
        <v>45855</v>
      </c>
      <c r="T694" s="2" t="s">
        <v>3783</v>
      </c>
      <c r="U694" s="2" t="s">
        <v>3265</v>
      </c>
      <c r="V694" s="2" t="s">
        <v>3815</v>
      </c>
      <c r="W694" s="2" t="s">
        <v>1806</v>
      </c>
      <c r="X694" s="2" t="s">
        <v>117</v>
      </c>
      <c r="Y694" s="3" t="s">
        <v>118</v>
      </c>
      <c r="Z694" s="3">
        <v>77.81</v>
      </c>
      <c r="AA694" s="2" t="s">
        <v>90</v>
      </c>
      <c r="AB694" s="2" t="s">
        <v>299</v>
      </c>
      <c r="AC694" s="2" t="s">
        <v>300</v>
      </c>
      <c r="AD694" t="str" cm="1">
        <f t="array" ref="AD69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GRC</v>
      </c>
      <c r="AE694" s="2" t="s">
        <v>91</v>
      </c>
      <c r="AF694" s="2" t="s">
        <v>92</v>
      </c>
      <c r="AG694" s="2" t="s">
        <v>159</v>
      </c>
      <c r="AH694" s="2" t="s">
        <v>160</v>
      </c>
      <c r="AK694" s="2" t="s">
        <v>3826</v>
      </c>
      <c r="AN694" s="3">
        <v>1</v>
      </c>
      <c r="AO694" s="3">
        <v>0</v>
      </c>
      <c r="AP694" s="3">
        <v>1</v>
      </c>
      <c r="AQ694" s="3">
        <v>1</v>
      </c>
      <c r="AR694" s="3">
        <v>1</v>
      </c>
      <c r="AS694" s="3">
        <v>0</v>
      </c>
      <c r="AT694" s="3">
        <v>0</v>
      </c>
      <c r="AU694" s="3">
        <v>0</v>
      </c>
      <c r="AV694" s="3">
        <v>1</v>
      </c>
      <c r="AW694" s="3">
        <v>0</v>
      </c>
      <c r="AX694" s="3">
        <v>1</v>
      </c>
      <c r="AY694" s="3">
        <v>0</v>
      </c>
      <c r="AZ694" s="3">
        <v>0</v>
      </c>
      <c r="BA694" s="3">
        <v>0</v>
      </c>
      <c r="BB694" s="3">
        <v>0</v>
      </c>
      <c r="BC694" s="3">
        <v>1</v>
      </c>
      <c r="BD694" s="3">
        <v>0</v>
      </c>
      <c r="BE694" s="3">
        <v>0</v>
      </c>
      <c r="BG694" s="2" t="s">
        <v>91</v>
      </c>
      <c r="BH694" s="3">
        <v>3</v>
      </c>
      <c r="BJ694" s="2" t="s">
        <v>96</v>
      </c>
      <c r="BL694" s="2" t="s">
        <v>162</v>
      </c>
      <c r="BM694" s="2" t="s">
        <v>163</v>
      </c>
      <c r="BN694" s="2" t="s">
        <v>99</v>
      </c>
      <c r="BO694" s="2" t="s">
        <v>100</v>
      </c>
      <c r="BP694" s="2" t="s">
        <v>242</v>
      </c>
      <c r="BQ694" s="2" t="s">
        <v>102</v>
      </c>
      <c r="BR694" s="2" t="s">
        <v>103</v>
      </c>
      <c r="BS694" s="2" t="s">
        <v>127</v>
      </c>
      <c r="BT694" s="2" t="s">
        <v>398</v>
      </c>
      <c r="BU694" s="2" t="s">
        <v>399</v>
      </c>
      <c r="BV694" s="2" t="s">
        <v>150</v>
      </c>
      <c r="BW694" s="2" t="s">
        <v>151</v>
      </c>
      <c r="BX694" s="2" t="s">
        <v>91</v>
      </c>
      <c r="BY69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94" s="2">
        <f>IF(AND(Cases[[#This Row],[Priority Level]]&gt;=3,Cases[[#This Row],[System Role]]&lt;&gt;"Productive"),1,0)</f>
        <v>0</v>
      </c>
      <c r="CA694" s="2">
        <f>IFERROR(IF(Cases[[#This Row],[Days at Customer]]&gt;MAX(1,Cases[[#This Row],[Days at SAP]]*2),1,0),0)</f>
        <v>1</v>
      </c>
      <c r="CB694" s="2">
        <f>IF(AND(Cases[[#This Row],[Initial Component]]&lt;&gt;"",Cases[[#This Row],[Component]]&lt;&gt;"",Cases[[#This Row],[Initial Component]]&lt;&gt;Cases[[#This Row],[Component]]),1,0)</f>
        <v>0</v>
      </c>
      <c r="CC694" s="2">
        <f>IF(OR(Cases[[#This Row],[Is Reopened]]="X",Cases[[#This Row],[No. of Reopenings]]&gt;0),1,0)</f>
        <v>0</v>
      </c>
      <c r="CD694" s="2">
        <f>IF(Cases[[#This Row],[Confirmation Type]]="Automatic",1,0)</f>
        <v>1</v>
      </c>
      <c r="CE69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695" spans="1:83" x14ac:dyDescent="0.2">
      <c r="A695" s="1" t="s">
        <v>3827</v>
      </c>
      <c r="B695" s="2" t="s">
        <v>3828</v>
      </c>
      <c r="C695" s="2" t="s">
        <v>3829</v>
      </c>
      <c r="D695" s="2" t="s">
        <v>238</v>
      </c>
      <c r="E695" s="3">
        <v>89.3</v>
      </c>
      <c r="F695" s="3">
        <v>148.35</v>
      </c>
      <c r="G695" s="2" t="s">
        <v>79</v>
      </c>
      <c r="H695" s="2" t="s">
        <v>178</v>
      </c>
      <c r="I695" s="3" t="s">
        <v>114</v>
      </c>
      <c r="J695" s="3">
        <v>274</v>
      </c>
      <c r="K695" s="2" t="s">
        <v>3830</v>
      </c>
      <c r="L695" s="4">
        <v>46096</v>
      </c>
      <c r="M695" s="4">
        <v>46091</v>
      </c>
      <c r="N695" s="2" t="s">
        <v>180</v>
      </c>
      <c r="O695" s="2" t="s">
        <v>181</v>
      </c>
      <c r="P695" s="2" t="s">
        <v>350</v>
      </c>
      <c r="Q695" s="2" t="s">
        <v>86</v>
      </c>
      <c r="R695" s="2" t="s">
        <v>3831</v>
      </c>
      <c r="S695" s="4">
        <v>45853</v>
      </c>
      <c r="T695" s="2" t="s">
        <v>3783</v>
      </c>
      <c r="U695" s="2" t="s">
        <v>3265</v>
      </c>
      <c r="V695" s="2" t="s">
        <v>3815</v>
      </c>
      <c r="W695" s="2" t="s">
        <v>1806</v>
      </c>
      <c r="X695" s="2" t="s">
        <v>117</v>
      </c>
      <c r="Y695" s="3" t="s">
        <v>118</v>
      </c>
      <c r="Z695" s="3">
        <v>237.64</v>
      </c>
      <c r="AA695" s="2" t="s">
        <v>90</v>
      </c>
      <c r="AB695" s="2" t="s">
        <v>3832</v>
      </c>
      <c r="AC695" s="2" t="s">
        <v>3833</v>
      </c>
      <c r="AD695" t="str" cm="1">
        <f t="array" ref="AD69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695" s="2" t="s">
        <v>158</v>
      </c>
      <c r="AF695" s="2" t="s">
        <v>900</v>
      </c>
      <c r="AG695" s="2" t="s">
        <v>3834</v>
      </c>
      <c r="AH695" s="2" t="s">
        <v>3835</v>
      </c>
      <c r="AK695" s="2" t="s">
        <v>3836</v>
      </c>
      <c r="AN695" s="3">
        <v>1</v>
      </c>
      <c r="AO695" s="3">
        <v>0</v>
      </c>
      <c r="AP695" s="3">
        <v>1</v>
      </c>
      <c r="AQ695" s="3">
        <v>1</v>
      </c>
      <c r="AR695" s="3">
        <v>1</v>
      </c>
      <c r="AS695" s="3">
        <v>0</v>
      </c>
      <c r="AT695" s="3">
        <v>0</v>
      </c>
      <c r="AU695" s="3">
        <v>0</v>
      </c>
      <c r="AV695" s="3">
        <v>1</v>
      </c>
      <c r="AW695" s="3">
        <v>0</v>
      </c>
      <c r="AX695" s="3">
        <v>1</v>
      </c>
      <c r="AY695" s="3">
        <v>0</v>
      </c>
      <c r="AZ695" s="3">
        <v>0</v>
      </c>
      <c r="BA695" s="3">
        <v>0</v>
      </c>
      <c r="BB695" s="3">
        <v>0</v>
      </c>
      <c r="BC695" s="3">
        <v>1</v>
      </c>
      <c r="BD695" s="3">
        <v>0</v>
      </c>
      <c r="BE695" s="3">
        <v>0</v>
      </c>
      <c r="BG695" s="2" t="s">
        <v>91</v>
      </c>
      <c r="BH695" s="3">
        <v>3</v>
      </c>
      <c r="BJ695" s="2" t="s">
        <v>96</v>
      </c>
      <c r="BL695" s="2" t="s">
        <v>3562</v>
      </c>
      <c r="BM695" s="2" t="s">
        <v>3563</v>
      </c>
      <c r="BN695" s="2" t="s">
        <v>981</v>
      </c>
      <c r="BO695" s="2" t="s">
        <v>982</v>
      </c>
      <c r="BP695" s="2" t="s">
        <v>242</v>
      </c>
      <c r="BQ695" s="2" t="s">
        <v>3564</v>
      </c>
      <c r="BR695" s="2" t="s">
        <v>3565</v>
      </c>
      <c r="BS695" s="2" t="s">
        <v>127</v>
      </c>
      <c r="BT695" s="2" t="s">
        <v>3837</v>
      </c>
      <c r="BU695" s="2" t="s">
        <v>3838</v>
      </c>
      <c r="BV695" s="2" t="s">
        <v>150</v>
      </c>
      <c r="BW695" s="2" t="s">
        <v>151</v>
      </c>
      <c r="BX695" s="2" t="s">
        <v>91</v>
      </c>
      <c r="BY69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95" s="2">
        <f>IF(AND(Cases[[#This Row],[Priority Level]]&gt;=3,Cases[[#This Row],[System Role]]&lt;&gt;"Productive"),1,0)</f>
        <v>0</v>
      </c>
      <c r="CA695" s="2">
        <f>IFERROR(IF(Cases[[#This Row],[Days at Customer]]&gt;MAX(1,Cases[[#This Row],[Days at SAP]]*2),1,0),0)</f>
        <v>0</v>
      </c>
      <c r="CB695" s="2">
        <f>IF(AND(Cases[[#This Row],[Initial Component]]&lt;&gt;"",Cases[[#This Row],[Component]]&lt;&gt;"",Cases[[#This Row],[Initial Component]]&lt;&gt;Cases[[#This Row],[Component]]),1,0)</f>
        <v>1</v>
      </c>
      <c r="CC695" s="2">
        <f>IF(OR(Cases[[#This Row],[Is Reopened]]="X",Cases[[#This Row],[No. of Reopenings]]&gt;0),1,0)</f>
        <v>0</v>
      </c>
      <c r="CD695" s="2">
        <f>IF(Cases[[#This Row],[Confirmation Type]]="Automatic",1,0)</f>
        <v>1</v>
      </c>
      <c r="CE695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96" spans="1:83" x14ac:dyDescent="0.2">
      <c r="A696" s="1" t="s">
        <v>3839</v>
      </c>
      <c r="B696" s="2" t="s">
        <v>3206</v>
      </c>
      <c r="C696" s="2" t="s">
        <v>3207</v>
      </c>
      <c r="D696" s="2" t="s">
        <v>238</v>
      </c>
      <c r="E696" s="3">
        <v>10.72</v>
      </c>
      <c r="F696" s="3">
        <v>69.67</v>
      </c>
      <c r="G696" s="2" t="s">
        <v>588</v>
      </c>
      <c r="H696" s="2" t="s">
        <v>113</v>
      </c>
      <c r="I696" s="3" t="s">
        <v>81</v>
      </c>
      <c r="J696" s="3">
        <v>274</v>
      </c>
      <c r="K696" s="2" t="s">
        <v>3840</v>
      </c>
      <c r="L696" s="4">
        <v>46026</v>
      </c>
      <c r="M696" s="4">
        <v>45933</v>
      </c>
      <c r="N696" s="2" t="s">
        <v>2727</v>
      </c>
      <c r="O696" s="2" t="s">
        <v>1805</v>
      </c>
      <c r="P696" s="2" t="s">
        <v>3224</v>
      </c>
      <c r="Q696" s="2" t="s">
        <v>1806</v>
      </c>
      <c r="R696" s="2" t="s">
        <v>3209</v>
      </c>
      <c r="S696" s="4">
        <v>45853</v>
      </c>
      <c r="T696" s="2" t="s">
        <v>3783</v>
      </c>
      <c r="U696" s="2" t="s">
        <v>3265</v>
      </c>
      <c r="V696" s="2" t="s">
        <v>3815</v>
      </c>
      <c r="W696" s="2" t="s">
        <v>1806</v>
      </c>
      <c r="X696" s="2" t="s">
        <v>88</v>
      </c>
      <c r="Y696" s="3" t="s">
        <v>89</v>
      </c>
      <c r="Z696" s="3">
        <v>80.39</v>
      </c>
      <c r="AA696" s="2" t="s">
        <v>90</v>
      </c>
      <c r="AB696" s="2" t="s">
        <v>860</v>
      </c>
      <c r="AC696" s="2" t="s">
        <v>858</v>
      </c>
      <c r="AD696" t="str" cm="1">
        <f t="array" ref="AD69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696" s="2" t="s">
        <v>139</v>
      </c>
      <c r="AF696" s="2" t="s">
        <v>92</v>
      </c>
      <c r="AG696" s="2" t="s">
        <v>93</v>
      </c>
      <c r="AH696" s="2" t="s">
        <v>94</v>
      </c>
      <c r="AJ696" s="2" t="s">
        <v>122</v>
      </c>
      <c r="AK696" s="2" t="s">
        <v>3841</v>
      </c>
      <c r="AN696" s="3">
        <v>1</v>
      </c>
      <c r="AO696" s="3">
        <v>0</v>
      </c>
      <c r="AP696" s="3">
        <v>1</v>
      </c>
      <c r="AQ696" s="3">
        <v>1</v>
      </c>
      <c r="AR696" s="3">
        <v>0</v>
      </c>
      <c r="AS696" s="3">
        <v>0</v>
      </c>
      <c r="AT696" s="3">
        <v>1</v>
      </c>
      <c r="AU696" s="3">
        <v>0</v>
      </c>
      <c r="AV696" s="3">
        <v>1</v>
      </c>
      <c r="AW696" s="3">
        <v>0</v>
      </c>
      <c r="AX696" s="3">
        <v>0</v>
      </c>
      <c r="AY696" s="3">
        <v>0</v>
      </c>
      <c r="AZ696" s="3">
        <v>1</v>
      </c>
      <c r="BA696" s="3">
        <v>0</v>
      </c>
      <c r="BB696" s="3">
        <v>0</v>
      </c>
      <c r="BC696" s="3">
        <v>1</v>
      </c>
      <c r="BD696" s="3">
        <v>3</v>
      </c>
      <c r="BE696" s="3">
        <v>0</v>
      </c>
      <c r="BG696" s="2" t="s">
        <v>139</v>
      </c>
      <c r="BH696" s="3">
        <v>2</v>
      </c>
      <c r="BJ696" s="2" t="s">
        <v>96</v>
      </c>
      <c r="BL696" s="2" t="s">
        <v>184</v>
      </c>
      <c r="BM696" s="2" t="s">
        <v>184</v>
      </c>
      <c r="BN696" s="2" t="s">
        <v>124</v>
      </c>
      <c r="BO696" s="2" t="s">
        <v>125</v>
      </c>
      <c r="BP696" s="2" t="s">
        <v>242</v>
      </c>
      <c r="BQ696" s="2" t="s">
        <v>124</v>
      </c>
      <c r="BR696" s="2" t="s">
        <v>126</v>
      </c>
      <c r="BS696" s="2" t="s">
        <v>104</v>
      </c>
      <c r="BT696" s="2" t="s">
        <v>185</v>
      </c>
      <c r="BU696" s="2" t="s">
        <v>968</v>
      </c>
      <c r="BV696" s="2" t="s">
        <v>150</v>
      </c>
      <c r="BW696" s="2" t="s">
        <v>151</v>
      </c>
      <c r="BX696" s="2" t="s">
        <v>139</v>
      </c>
      <c r="BY69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96" s="2">
        <f>IF(AND(Cases[[#This Row],[Priority Level]]&gt;=3,Cases[[#This Row],[System Role]]&lt;&gt;"Productive"),1,0)</f>
        <v>0</v>
      </c>
      <c r="CA696" s="2">
        <f>IFERROR(IF(Cases[[#This Row],[Days at Customer]]&gt;MAX(1,Cases[[#This Row],[Days at SAP]]*2),1,0),0)</f>
        <v>1</v>
      </c>
      <c r="CB696" s="2">
        <f>IF(AND(Cases[[#This Row],[Initial Component]]&lt;&gt;"",Cases[[#This Row],[Component]]&lt;&gt;"",Cases[[#This Row],[Initial Component]]&lt;&gt;Cases[[#This Row],[Component]]),1,0)</f>
        <v>1</v>
      </c>
      <c r="CC696" s="2">
        <f>IF(OR(Cases[[#This Row],[Is Reopened]]="X",Cases[[#This Row],[No. of Reopenings]]&gt;0),1,0)</f>
        <v>1</v>
      </c>
      <c r="CD696" s="2">
        <f>IF(Cases[[#This Row],[Confirmation Type]]="Automatic",1,0)</f>
        <v>1</v>
      </c>
      <c r="CE696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697" spans="1:83" x14ac:dyDescent="0.2">
      <c r="A697" s="1" t="s">
        <v>3842</v>
      </c>
      <c r="B697" s="2" t="s">
        <v>3843</v>
      </c>
      <c r="C697" s="2" t="s">
        <v>1853</v>
      </c>
      <c r="D697" s="2" t="s">
        <v>238</v>
      </c>
      <c r="E697" s="3">
        <v>10.050000000000001</v>
      </c>
      <c r="F697" s="3">
        <v>110.02</v>
      </c>
      <c r="G697" s="2" t="s">
        <v>79</v>
      </c>
      <c r="H697" s="2" t="s">
        <v>155</v>
      </c>
      <c r="I697" s="3" t="s">
        <v>114</v>
      </c>
      <c r="J697" s="3">
        <v>274</v>
      </c>
      <c r="K697" s="2" t="s">
        <v>3844</v>
      </c>
      <c r="L697" s="4">
        <v>46065</v>
      </c>
      <c r="M697" s="4">
        <v>45974</v>
      </c>
      <c r="N697" s="2" t="s">
        <v>2274</v>
      </c>
      <c r="O697" s="2" t="s">
        <v>1805</v>
      </c>
      <c r="P697" s="2" t="s">
        <v>2467</v>
      </c>
      <c r="Q697" s="2" t="s">
        <v>1806</v>
      </c>
      <c r="R697" s="2" t="s">
        <v>1852</v>
      </c>
      <c r="S697" s="4">
        <v>45853</v>
      </c>
      <c r="T697" s="2" t="s">
        <v>3783</v>
      </c>
      <c r="U697" s="2" t="s">
        <v>3265</v>
      </c>
      <c r="V697" s="2" t="s">
        <v>3815</v>
      </c>
      <c r="W697" s="2" t="s">
        <v>1806</v>
      </c>
      <c r="X697" s="2" t="s">
        <v>117</v>
      </c>
      <c r="Y697" s="3" t="s">
        <v>118</v>
      </c>
      <c r="Z697" s="3">
        <v>120.07</v>
      </c>
      <c r="AA697" s="2" t="s">
        <v>90</v>
      </c>
      <c r="AB697" s="2" t="s">
        <v>1852</v>
      </c>
      <c r="AC697" s="2" t="s">
        <v>1853</v>
      </c>
      <c r="AD697" t="str" cm="1">
        <f t="array" ref="AD69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697" s="2" t="s">
        <v>139</v>
      </c>
      <c r="AF697" s="2" t="s">
        <v>92</v>
      </c>
      <c r="AG697" s="2" t="s">
        <v>119</v>
      </c>
      <c r="AH697" s="2" t="s">
        <v>120</v>
      </c>
      <c r="AK697" s="2" t="s">
        <v>3845</v>
      </c>
      <c r="AN697" s="3">
        <v>1</v>
      </c>
      <c r="AO697" s="3">
        <v>0</v>
      </c>
      <c r="AP697" s="3">
        <v>1</v>
      </c>
      <c r="AQ697" s="3">
        <v>1</v>
      </c>
      <c r="AR697" s="3">
        <v>0</v>
      </c>
      <c r="AS697" s="3">
        <v>0</v>
      </c>
      <c r="AT697" s="3">
        <v>1</v>
      </c>
      <c r="AU697" s="3">
        <v>0</v>
      </c>
      <c r="AV697" s="3">
        <v>1</v>
      </c>
      <c r="AW697" s="3">
        <v>0</v>
      </c>
      <c r="AX697" s="3">
        <v>0</v>
      </c>
      <c r="AY697" s="3">
        <v>0</v>
      </c>
      <c r="AZ697" s="3">
        <v>1</v>
      </c>
      <c r="BA697" s="3">
        <v>0</v>
      </c>
      <c r="BB697" s="3">
        <v>0</v>
      </c>
      <c r="BC697" s="3">
        <v>1</v>
      </c>
      <c r="BD697" s="3">
        <v>0</v>
      </c>
      <c r="BE697" s="3">
        <v>0</v>
      </c>
      <c r="BG697" s="2" t="s">
        <v>139</v>
      </c>
      <c r="BH697" s="3">
        <v>2</v>
      </c>
      <c r="BJ697" s="2" t="s">
        <v>96</v>
      </c>
      <c r="BL697" s="2" t="s">
        <v>123</v>
      </c>
      <c r="BM697" s="2" t="s">
        <v>123</v>
      </c>
      <c r="BN697" s="2" t="s">
        <v>124</v>
      </c>
      <c r="BO697" s="2" t="s">
        <v>125</v>
      </c>
      <c r="BP697" s="2" t="s">
        <v>242</v>
      </c>
      <c r="BQ697" s="2" t="s">
        <v>124</v>
      </c>
      <c r="BR697" s="2" t="s">
        <v>126</v>
      </c>
      <c r="BS697" s="2" t="s">
        <v>127</v>
      </c>
      <c r="BT697" s="2" t="s">
        <v>174</v>
      </c>
      <c r="BU697" s="2" t="s">
        <v>175</v>
      </c>
      <c r="BV697" s="2" t="s">
        <v>150</v>
      </c>
      <c r="BW697" s="2" t="s">
        <v>151</v>
      </c>
      <c r="BX697" s="2" t="s">
        <v>139</v>
      </c>
      <c r="BY69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97" s="2">
        <f>IF(AND(Cases[[#This Row],[Priority Level]]&gt;=3,Cases[[#This Row],[System Role]]&lt;&gt;"Productive"),1,0)</f>
        <v>0</v>
      </c>
      <c r="CA697" s="2">
        <f>IFERROR(IF(Cases[[#This Row],[Days at Customer]]&gt;MAX(1,Cases[[#This Row],[Days at SAP]]*2),1,0),0)</f>
        <v>1</v>
      </c>
      <c r="CB697" s="2">
        <f>IF(AND(Cases[[#This Row],[Initial Component]]&lt;&gt;"",Cases[[#This Row],[Component]]&lt;&gt;"",Cases[[#This Row],[Initial Component]]&lt;&gt;Cases[[#This Row],[Component]]),1,0)</f>
        <v>0</v>
      </c>
      <c r="CC697" s="2">
        <f>IF(OR(Cases[[#This Row],[Is Reopened]]="X",Cases[[#This Row],[No. of Reopenings]]&gt;0),1,0)</f>
        <v>0</v>
      </c>
      <c r="CD697" s="2">
        <f>IF(Cases[[#This Row],[Confirmation Type]]="Automatic",1,0)</f>
        <v>1</v>
      </c>
      <c r="CE69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698" spans="1:83" x14ac:dyDescent="0.2">
      <c r="A698" s="1" t="s">
        <v>3846</v>
      </c>
      <c r="B698" s="2" t="s">
        <v>3847</v>
      </c>
      <c r="C698" s="2" t="s">
        <v>77</v>
      </c>
      <c r="D698" s="2" t="s">
        <v>78</v>
      </c>
      <c r="E698" s="3">
        <v>121.61</v>
      </c>
      <c r="F698" s="3">
        <v>28.4</v>
      </c>
      <c r="G698" s="2" t="s">
        <v>251</v>
      </c>
      <c r="H698" s="2" t="s">
        <v>252</v>
      </c>
      <c r="I698" s="3" t="s">
        <v>114</v>
      </c>
      <c r="J698" s="3">
        <v>277</v>
      </c>
      <c r="K698" s="2" t="s">
        <v>3848</v>
      </c>
      <c r="L698" s="4">
        <v>46009</v>
      </c>
      <c r="M698" s="4">
        <v>46000</v>
      </c>
      <c r="N698" s="2" t="s">
        <v>1804</v>
      </c>
      <c r="O698" s="2" t="s">
        <v>1805</v>
      </c>
      <c r="P698" s="2" t="s">
        <v>2037</v>
      </c>
      <c r="Q698" s="2" t="s">
        <v>1806</v>
      </c>
      <c r="R698" s="2" t="s">
        <v>87</v>
      </c>
      <c r="S698" s="4">
        <v>45850</v>
      </c>
      <c r="T698" s="2" t="s">
        <v>3783</v>
      </c>
      <c r="U698" s="2" t="s">
        <v>3265</v>
      </c>
      <c r="V698" s="2" t="s">
        <v>3849</v>
      </c>
      <c r="W698" s="2" t="s">
        <v>1806</v>
      </c>
      <c r="X698" s="2" t="s">
        <v>117</v>
      </c>
      <c r="Y698" s="3" t="s">
        <v>118</v>
      </c>
      <c r="Z698" s="3">
        <v>150.01</v>
      </c>
      <c r="AA698" s="2" t="s">
        <v>90</v>
      </c>
      <c r="AB698" s="2" t="s">
        <v>334</v>
      </c>
      <c r="AC698" s="2" t="s">
        <v>335</v>
      </c>
      <c r="AD698" t="str" cm="1">
        <f t="array" ref="AD69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698" s="2" t="s">
        <v>139</v>
      </c>
      <c r="AF698" s="2" t="s">
        <v>92</v>
      </c>
      <c r="AG698" s="2" t="s">
        <v>119</v>
      </c>
      <c r="AH698" s="2" t="s">
        <v>120</v>
      </c>
      <c r="AJ698" s="2" t="s">
        <v>122</v>
      </c>
      <c r="AK698" s="2" t="s">
        <v>3850</v>
      </c>
      <c r="AN698" s="3">
        <v>1</v>
      </c>
      <c r="AO698" s="3">
        <v>0</v>
      </c>
      <c r="AP698" s="3">
        <v>1</v>
      </c>
      <c r="AQ698" s="3">
        <v>1</v>
      </c>
      <c r="AR698" s="3">
        <v>0</v>
      </c>
      <c r="AS698" s="3">
        <v>0</v>
      </c>
      <c r="AT698" s="3">
        <v>1</v>
      </c>
      <c r="AU698" s="3">
        <v>0</v>
      </c>
      <c r="AV698" s="3">
        <v>0</v>
      </c>
      <c r="AW698" s="3">
        <v>1</v>
      </c>
      <c r="AX698" s="3">
        <v>0</v>
      </c>
      <c r="AY698" s="3">
        <v>0</v>
      </c>
      <c r="AZ698" s="3">
        <v>1</v>
      </c>
      <c r="BA698" s="3">
        <v>1</v>
      </c>
      <c r="BB698" s="3">
        <v>0</v>
      </c>
      <c r="BC698" s="3">
        <v>0</v>
      </c>
      <c r="BD698" s="3">
        <v>1</v>
      </c>
      <c r="BE698" s="3">
        <v>0</v>
      </c>
      <c r="BG698" s="2" t="s">
        <v>139</v>
      </c>
      <c r="BH698" s="3">
        <v>2</v>
      </c>
      <c r="BJ698" s="2" t="s">
        <v>96</v>
      </c>
      <c r="BL698" s="2" t="s">
        <v>123</v>
      </c>
      <c r="BM698" s="2" t="s">
        <v>123</v>
      </c>
      <c r="BN698" s="2" t="s">
        <v>124</v>
      </c>
      <c r="BO698" s="2" t="s">
        <v>125</v>
      </c>
      <c r="BP698" s="2" t="s">
        <v>101</v>
      </c>
      <c r="BQ698" s="2" t="s">
        <v>124</v>
      </c>
      <c r="BR698" s="2" t="s">
        <v>126</v>
      </c>
      <c r="BS698" s="2" t="s">
        <v>127</v>
      </c>
      <c r="BT698" s="2" t="s">
        <v>199</v>
      </c>
      <c r="BU698" s="2" t="s">
        <v>200</v>
      </c>
      <c r="BV698" s="2" t="s">
        <v>166</v>
      </c>
      <c r="BW698" s="2" t="s">
        <v>167</v>
      </c>
      <c r="BX698" s="2" t="s">
        <v>139</v>
      </c>
      <c r="BY69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698" s="2">
        <f>IF(AND(Cases[[#This Row],[Priority Level]]&gt;=3,Cases[[#This Row],[System Role]]&lt;&gt;"Productive"),1,0)</f>
        <v>0</v>
      </c>
      <c r="CA698" s="2">
        <f>IFERROR(IF(Cases[[#This Row],[Days at Customer]]&gt;MAX(1,Cases[[#This Row],[Days at SAP]]*2),1,0),0)</f>
        <v>0</v>
      </c>
      <c r="CB698" s="2">
        <f>IF(AND(Cases[[#This Row],[Initial Component]]&lt;&gt;"",Cases[[#This Row],[Component]]&lt;&gt;"",Cases[[#This Row],[Initial Component]]&lt;&gt;Cases[[#This Row],[Component]]),1,0)</f>
        <v>1</v>
      </c>
      <c r="CC698" s="2">
        <f>IF(OR(Cases[[#This Row],[Is Reopened]]="X",Cases[[#This Row],[No. of Reopenings]]&gt;0),1,0)</f>
        <v>1</v>
      </c>
      <c r="CD698" s="2">
        <f>IF(Cases[[#This Row],[Confirmation Type]]="Automatic",1,0)</f>
        <v>0</v>
      </c>
      <c r="CE698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699" spans="1:83" x14ac:dyDescent="0.2">
      <c r="A699" s="1" t="s">
        <v>3851</v>
      </c>
      <c r="B699" s="2" t="s">
        <v>3852</v>
      </c>
      <c r="C699" s="2" t="s">
        <v>231</v>
      </c>
      <c r="D699" s="2" t="s">
        <v>238</v>
      </c>
      <c r="E699" s="3">
        <v>32.58</v>
      </c>
      <c r="F699" s="3">
        <v>51.75</v>
      </c>
      <c r="G699" s="2" t="s">
        <v>113</v>
      </c>
      <c r="H699" s="2" t="s">
        <v>113</v>
      </c>
      <c r="I699" s="3" t="s">
        <v>114</v>
      </c>
      <c r="J699" s="3">
        <v>280</v>
      </c>
      <c r="K699" s="2" t="s">
        <v>3853</v>
      </c>
      <c r="L699" s="4">
        <v>46026</v>
      </c>
      <c r="M699" s="4">
        <v>45932</v>
      </c>
      <c r="N699" s="2" t="s">
        <v>2727</v>
      </c>
      <c r="O699" s="2" t="s">
        <v>1805</v>
      </c>
      <c r="P699" s="2" t="s">
        <v>3224</v>
      </c>
      <c r="Q699" s="2" t="s">
        <v>1806</v>
      </c>
      <c r="R699" s="2" t="s">
        <v>233</v>
      </c>
      <c r="S699" s="4">
        <v>45847</v>
      </c>
      <c r="T699" s="2" t="s">
        <v>3783</v>
      </c>
      <c r="U699" s="2" t="s">
        <v>3265</v>
      </c>
      <c r="V699" s="2" t="s">
        <v>3849</v>
      </c>
      <c r="W699" s="2" t="s">
        <v>1806</v>
      </c>
      <c r="X699" s="2" t="s">
        <v>117</v>
      </c>
      <c r="Y699" s="3" t="s">
        <v>118</v>
      </c>
      <c r="Z699" s="3">
        <v>84.33</v>
      </c>
      <c r="AA699" s="2" t="s">
        <v>90</v>
      </c>
      <c r="AB699" s="2" t="s">
        <v>3854</v>
      </c>
      <c r="AC699" s="2" t="s">
        <v>3855</v>
      </c>
      <c r="AD699" t="str" cm="1">
        <f t="array" ref="AD69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699" s="2" t="s">
        <v>91</v>
      </c>
      <c r="AF699" s="2" t="s">
        <v>92</v>
      </c>
      <c r="AG699" s="2" t="s">
        <v>540</v>
      </c>
      <c r="AH699" s="2" t="s">
        <v>541</v>
      </c>
      <c r="AK699" s="2" t="s">
        <v>3856</v>
      </c>
      <c r="AN699" s="3">
        <v>1</v>
      </c>
      <c r="AO699" s="3">
        <v>0</v>
      </c>
      <c r="AP699" s="3">
        <v>1</v>
      </c>
      <c r="AQ699" s="3">
        <v>1</v>
      </c>
      <c r="AR699" s="3">
        <v>1</v>
      </c>
      <c r="AS699" s="3">
        <v>0</v>
      </c>
      <c r="AT699" s="3">
        <v>0</v>
      </c>
      <c r="AU699" s="3">
        <v>0</v>
      </c>
      <c r="AV699" s="3">
        <v>1</v>
      </c>
      <c r="AW699" s="3">
        <v>0</v>
      </c>
      <c r="AX699" s="3">
        <v>1</v>
      </c>
      <c r="AY699" s="3">
        <v>0</v>
      </c>
      <c r="AZ699" s="3">
        <v>0</v>
      </c>
      <c r="BA699" s="3">
        <v>0</v>
      </c>
      <c r="BB699" s="3">
        <v>0</v>
      </c>
      <c r="BC699" s="3">
        <v>1</v>
      </c>
      <c r="BD699" s="3">
        <v>0</v>
      </c>
      <c r="BE699" s="3">
        <v>0</v>
      </c>
      <c r="BG699" s="2" t="s">
        <v>91</v>
      </c>
      <c r="BH699" s="3">
        <v>3</v>
      </c>
      <c r="BJ699" s="2" t="s">
        <v>96</v>
      </c>
      <c r="BL699" s="2" t="s">
        <v>779</v>
      </c>
      <c r="BM699" s="2" t="s">
        <v>780</v>
      </c>
      <c r="BN699" s="2" t="s">
        <v>99</v>
      </c>
      <c r="BO699" s="2" t="s">
        <v>100</v>
      </c>
      <c r="BP699" s="2" t="s">
        <v>242</v>
      </c>
      <c r="BQ699" s="2" t="s">
        <v>102</v>
      </c>
      <c r="BR699" s="2" t="s">
        <v>103</v>
      </c>
      <c r="BS699" s="2" t="s">
        <v>713</v>
      </c>
      <c r="BT699" s="2" t="s">
        <v>1132</v>
      </c>
      <c r="BU699" s="2" t="s">
        <v>1231</v>
      </c>
      <c r="BV699" s="2" t="s">
        <v>150</v>
      </c>
      <c r="BW699" s="2" t="s">
        <v>151</v>
      </c>
      <c r="BX699" s="2" t="s">
        <v>91</v>
      </c>
      <c r="BY69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699" s="2">
        <f>IF(AND(Cases[[#This Row],[Priority Level]]&gt;=3,Cases[[#This Row],[System Role]]&lt;&gt;"Productive"),1,0)</f>
        <v>0</v>
      </c>
      <c r="CA699" s="2">
        <f>IFERROR(IF(Cases[[#This Row],[Days at Customer]]&gt;MAX(1,Cases[[#This Row],[Days at SAP]]*2),1,0),0)</f>
        <v>0</v>
      </c>
      <c r="CB699" s="2">
        <f>IF(AND(Cases[[#This Row],[Initial Component]]&lt;&gt;"",Cases[[#This Row],[Component]]&lt;&gt;"",Cases[[#This Row],[Initial Component]]&lt;&gt;Cases[[#This Row],[Component]]),1,0)</f>
        <v>1</v>
      </c>
      <c r="CC699" s="2">
        <f>IF(OR(Cases[[#This Row],[Is Reopened]]="X",Cases[[#This Row],[No. of Reopenings]]&gt;0),1,0)</f>
        <v>0</v>
      </c>
      <c r="CD699" s="2">
        <f>IF(Cases[[#This Row],[Confirmation Type]]="Automatic",1,0)</f>
        <v>1</v>
      </c>
      <c r="CE699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700" spans="1:83" x14ac:dyDescent="0.2">
      <c r="A700" s="1" t="s">
        <v>3857</v>
      </c>
      <c r="B700" s="2" t="s">
        <v>1624</v>
      </c>
      <c r="C700" s="2" t="s">
        <v>1625</v>
      </c>
      <c r="D700" s="2" t="s">
        <v>238</v>
      </c>
      <c r="E700" s="3">
        <v>63.74</v>
      </c>
      <c r="F700" s="3">
        <v>41.64</v>
      </c>
      <c r="G700" s="2" t="s">
        <v>113</v>
      </c>
      <c r="H700" s="2" t="s">
        <v>113</v>
      </c>
      <c r="I700" s="3" t="s">
        <v>114</v>
      </c>
      <c r="J700" s="3">
        <v>287</v>
      </c>
      <c r="K700" s="2" t="s">
        <v>3858</v>
      </c>
      <c r="L700" s="4">
        <v>46040</v>
      </c>
      <c r="M700" s="4">
        <v>45946</v>
      </c>
      <c r="N700" s="2" t="s">
        <v>2727</v>
      </c>
      <c r="O700" s="2" t="s">
        <v>1805</v>
      </c>
      <c r="P700" s="2" t="s">
        <v>2936</v>
      </c>
      <c r="Q700" s="2" t="s">
        <v>1806</v>
      </c>
      <c r="R700" s="2" t="s">
        <v>1627</v>
      </c>
      <c r="S700" s="4">
        <v>45840</v>
      </c>
      <c r="T700" s="2" t="s">
        <v>3783</v>
      </c>
      <c r="U700" s="2" t="s">
        <v>3265</v>
      </c>
      <c r="V700" s="2" t="s">
        <v>3859</v>
      </c>
      <c r="W700" s="2" t="s">
        <v>1806</v>
      </c>
      <c r="X700" s="2" t="s">
        <v>117</v>
      </c>
      <c r="Y700" s="3" t="s">
        <v>118</v>
      </c>
      <c r="Z700" s="3">
        <v>105.39</v>
      </c>
      <c r="AA700" s="2" t="s">
        <v>90</v>
      </c>
      <c r="AB700" s="2" t="s">
        <v>1627</v>
      </c>
      <c r="AC700" s="2" t="s">
        <v>1625</v>
      </c>
      <c r="AD700" t="str" cm="1">
        <f t="array" ref="AD70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700" s="2" t="s">
        <v>158</v>
      </c>
      <c r="AF700" s="2" t="s">
        <v>92</v>
      </c>
      <c r="AG700" s="2" t="s">
        <v>119</v>
      </c>
      <c r="AH700" s="2" t="s">
        <v>120</v>
      </c>
      <c r="AK700" s="2" t="s">
        <v>3860</v>
      </c>
      <c r="AN700" s="3">
        <v>1</v>
      </c>
      <c r="AO700" s="3">
        <v>0</v>
      </c>
      <c r="AP700" s="3">
        <v>1</v>
      </c>
      <c r="AQ700" s="3">
        <v>1</v>
      </c>
      <c r="AR700" s="3">
        <v>1</v>
      </c>
      <c r="AS700" s="3">
        <v>0</v>
      </c>
      <c r="AT700" s="3">
        <v>0</v>
      </c>
      <c r="AU700" s="3">
        <v>0</v>
      </c>
      <c r="AV700" s="3">
        <v>1</v>
      </c>
      <c r="AW700" s="3">
        <v>0</v>
      </c>
      <c r="AX700" s="3">
        <v>1</v>
      </c>
      <c r="AY700" s="3">
        <v>0</v>
      </c>
      <c r="AZ700" s="3">
        <v>0</v>
      </c>
      <c r="BA700" s="3">
        <v>1</v>
      </c>
      <c r="BB700" s="3">
        <v>0</v>
      </c>
      <c r="BC700" s="3">
        <v>0</v>
      </c>
      <c r="BD700" s="3">
        <v>0</v>
      </c>
      <c r="BE700" s="3">
        <v>0</v>
      </c>
      <c r="BG700" s="2" t="s">
        <v>91</v>
      </c>
      <c r="BH700" s="3">
        <v>3</v>
      </c>
      <c r="BJ700" s="2" t="s">
        <v>96</v>
      </c>
      <c r="BL700" s="2" t="s">
        <v>123</v>
      </c>
      <c r="BM700" s="2" t="s">
        <v>123</v>
      </c>
      <c r="BN700" s="2" t="s">
        <v>124</v>
      </c>
      <c r="BO700" s="2" t="s">
        <v>125</v>
      </c>
      <c r="BP700" s="2" t="s">
        <v>242</v>
      </c>
      <c r="BQ700" s="2" t="s">
        <v>124</v>
      </c>
      <c r="BR700" s="2" t="s">
        <v>126</v>
      </c>
      <c r="BS700" s="2" t="s">
        <v>3861</v>
      </c>
      <c r="BT700" s="2" t="s">
        <v>3862</v>
      </c>
      <c r="BU700" s="2" t="s">
        <v>3863</v>
      </c>
      <c r="BV700" s="2" t="s">
        <v>107</v>
      </c>
      <c r="BW700" s="2" t="s">
        <v>108</v>
      </c>
      <c r="BX700" s="2" t="s">
        <v>91</v>
      </c>
      <c r="BY70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700" s="2">
        <f>IF(AND(Cases[[#This Row],[Priority Level]]&gt;=3,Cases[[#This Row],[System Role]]&lt;&gt;"Productive"),1,0)</f>
        <v>1</v>
      </c>
      <c r="CA700" s="2">
        <f>IFERROR(IF(Cases[[#This Row],[Days at Customer]]&gt;MAX(1,Cases[[#This Row],[Days at SAP]]*2),1,0),0)</f>
        <v>0</v>
      </c>
      <c r="CB700" s="2">
        <f>IF(AND(Cases[[#This Row],[Initial Component]]&lt;&gt;"",Cases[[#This Row],[Component]]&lt;&gt;"",Cases[[#This Row],[Initial Component]]&lt;&gt;Cases[[#This Row],[Component]]),1,0)</f>
        <v>0</v>
      </c>
      <c r="CC700" s="2">
        <f>IF(OR(Cases[[#This Row],[Is Reopened]]="X",Cases[[#This Row],[No. of Reopenings]]&gt;0),1,0)</f>
        <v>0</v>
      </c>
      <c r="CD700" s="2">
        <f>IF(Cases[[#This Row],[Confirmation Type]]="Automatic",1,0)</f>
        <v>1</v>
      </c>
      <c r="CE700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701" spans="1:83" x14ac:dyDescent="0.2">
      <c r="A701" s="1" t="s">
        <v>3864</v>
      </c>
      <c r="B701" s="2" t="s">
        <v>3865</v>
      </c>
      <c r="C701" s="2" t="s">
        <v>1556</v>
      </c>
      <c r="D701" s="2" t="s">
        <v>238</v>
      </c>
      <c r="E701" s="3">
        <v>69.37</v>
      </c>
      <c r="F701" s="3">
        <v>37.369999999999997</v>
      </c>
      <c r="G701" s="2" t="s">
        <v>190</v>
      </c>
      <c r="H701" s="2" t="s">
        <v>1205</v>
      </c>
      <c r="I701" s="3" t="s">
        <v>114</v>
      </c>
      <c r="J701" s="3">
        <v>289</v>
      </c>
      <c r="K701" s="2" t="s">
        <v>3866</v>
      </c>
      <c r="L701" s="4">
        <v>46040</v>
      </c>
      <c r="M701" s="4">
        <v>45945</v>
      </c>
      <c r="N701" s="2" t="s">
        <v>2727</v>
      </c>
      <c r="O701" s="2" t="s">
        <v>1805</v>
      </c>
      <c r="P701" s="2" t="s">
        <v>2936</v>
      </c>
      <c r="Q701" s="2" t="s">
        <v>1806</v>
      </c>
      <c r="R701" s="2" t="s">
        <v>1555</v>
      </c>
      <c r="S701" s="4">
        <v>45838</v>
      </c>
      <c r="T701" s="2" t="s">
        <v>3867</v>
      </c>
      <c r="U701" s="2" t="s">
        <v>3868</v>
      </c>
      <c r="V701" s="2" t="s">
        <v>3859</v>
      </c>
      <c r="W701" s="2" t="s">
        <v>1806</v>
      </c>
      <c r="X701" s="2" t="s">
        <v>117</v>
      </c>
      <c r="Y701" s="3" t="s">
        <v>118</v>
      </c>
      <c r="Z701" s="3">
        <v>106.74</v>
      </c>
      <c r="AA701" s="2" t="s">
        <v>90</v>
      </c>
      <c r="AB701" s="2" t="s">
        <v>1555</v>
      </c>
      <c r="AC701" s="2" t="s">
        <v>1556</v>
      </c>
      <c r="AD701" t="str" cm="1">
        <f t="array" ref="AD70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701" s="2" t="s">
        <v>139</v>
      </c>
      <c r="AF701" s="2" t="s">
        <v>92</v>
      </c>
      <c r="AG701" s="2" t="s">
        <v>119</v>
      </c>
      <c r="AH701" s="2" t="s">
        <v>120</v>
      </c>
      <c r="AK701" s="2" t="s">
        <v>3869</v>
      </c>
      <c r="AN701" s="3">
        <v>1</v>
      </c>
      <c r="AO701" s="3">
        <v>0</v>
      </c>
      <c r="AP701" s="3">
        <v>1</v>
      </c>
      <c r="AQ701" s="3">
        <v>1</v>
      </c>
      <c r="AR701" s="3">
        <v>1</v>
      </c>
      <c r="AS701" s="3">
        <v>0</v>
      </c>
      <c r="AT701" s="3">
        <v>0</v>
      </c>
      <c r="AU701" s="3">
        <v>0</v>
      </c>
      <c r="AV701" s="3">
        <v>1</v>
      </c>
      <c r="AW701" s="3">
        <v>0</v>
      </c>
      <c r="AX701" s="3">
        <v>1</v>
      </c>
      <c r="AY701" s="3">
        <v>0</v>
      </c>
      <c r="AZ701" s="3">
        <v>0</v>
      </c>
      <c r="BA701" s="3">
        <v>0</v>
      </c>
      <c r="BB701" s="3">
        <v>0</v>
      </c>
      <c r="BC701" s="3">
        <v>1</v>
      </c>
      <c r="BD701" s="3">
        <v>0</v>
      </c>
      <c r="BE701" s="3">
        <v>0</v>
      </c>
      <c r="BG701" s="2" t="s">
        <v>91</v>
      </c>
      <c r="BH701" s="3">
        <v>3</v>
      </c>
      <c r="BJ701" s="2" t="s">
        <v>96</v>
      </c>
      <c r="BL701" s="2" t="s">
        <v>123</v>
      </c>
      <c r="BM701" s="2" t="s">
        <v>123</v>
      </c>
      <c r="BN701" s="2" t="s">
        <v>124</v>
      </c>
      <c r="BO701" s="2" t="s">
        <v>125</v>
      </c>
      <c r="BP701" s="2" t="s">
        <v>242</v>
      </c>
      <c r="BQ701" s="2" t="s">
        <v>124</v>
      </c>
      <c r="BR701" s="2" t="s">
        <v>126</v>
      </c>
      <c r="BS701" s="2" t="s">
        <v>127</v>
      </c>
      <c r="BT701" s="2" t="s">
        <v>174</v>
      </c>
      <c r="BU701" s="2" t="s">
        <v>175</v>
      </c>
      <c r="BV701" s="2" t="s">
        <v>150</v>
      </c>
      <c r="BW701" s="2" t="s">
        <v>151</v>
      </c>
      <c r="BX701" s="2" t="s">
        <v>91</v>
      </c>
      <c r="BY70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701" s="2">
        <f>IF(AND(Cases[[#This Row],[Priority Level]]&gt;=3,Cases[[#This Row],[System Role]]&lt;&gt;"Productive"),1,0)</f>
        <v>0</v>
      </c>
      <c r="CA701" s="2">
        <f>IFERROR(IF(Cases[[#This Row],[Days at Customer]]&gt;MAX(1,Cases[[#This Row],[Days at SAP]]*2),1,0),0)</f>
        <v>0</v>
      </c>
      <c r="CB701" s="2">
        <f>IF(AND(Cases[[#This Row],[Initial Component]]&lt;&gt;"",Cases[[#This Row],[Component]]&lt;&gt;"",Cases[[#This Row],[Initial Component]]&lt;&gt;Cases[[#This Row],[Component]]),1,0)</f>
        <v>0</v>
      </c>
      <c r="CC701" s="2">
        <f>IF(OR(Cases[[#This Row],[Is Reopened]]="X",Cases[[#This Row],[No. of Reopenings]]&gt;0),1,0)</f>
        <v>0</v>
      </c>
      <c r="CD701" s="2">
        <f>IF(Cases[[#This Row],[Confirmation Type]]="Automatic",1,0)</f>
        <v>1</v>
      </c>
      <c r="CE701" s="2">
        <f>Cases[[#This Row],[Flag_HowToOrConsulting]]+Cases[[#This Row],[Flag_PriorityInflation]]+Cases[[#This Row],[Flag_CustomerDelay]]+Cases[[#This Row],[Flag_ComponentMismatch]]+Cases[[#This Row],[Flag_Reopened]]</f>
        <v>0</v>
      </c>
    </row>
    <row r="702" spans="1:83" x14ac:dyDescent="0.2">
      <c r="A702" s="1" t="s">
        <v>3870</v>
      </c>
      <c r="B702" s="2" t="s">
        <v>3871</v>
      </c>
      <c r="C702" s="2" t="s">
        <v>2605</v>
      </c>
      <c r="D702" s="2" t="s">
        <v>78</v>
      </c>
      <c r="E702" s="3">
        <v>54.56</v>
      </c>
      <c r="F702" s="3">
        <v>62.64</v>
      </c>
      <c r="G702" s="2" t="s">
        <v>79</v>
      </c>
      <c r="H702" s="2" t="s">
        <v>178</v>
      </c>
      <c r="I702" s="3" t="s">
        <v>114</v>
      </c>
      <c r="J702" s="3">
        <v>294</v>
      </c>
      <c r="K702" s="2" t="s">
        <v>3872</v>
      </c>
      <c r="L702" s="4">
        <v>46047</v>
      </c>
      <c r="M702" s="4">
        <v>45950</v>
      </c>
      <c r="N702" s="2" t="s">
        <v>2727</v>
      </c>
      <c r="O702" s="2" t="s">
        <v>1805</v>
      </c>
      <c r="P702" s="2" t="s">
        <v>2887</v>
      </c>
      <c r="Q702" s="2" t="s">
        <v>1806</v>
      </c>
      <c r="R702" s="2" t="s">
        <v>2604</v>
      </c>
      <c r="S702" s="4">
        <v>45833</v>
      </c>
      <c r="T702" s="2" t="s">
        <v>3867</v>
      </c>
      <c r="U702" s="2" t="s">
        <v>3868</v>
      </c>
      <c r="V702" s="2" t="s">
        <v>3873</v>
      </c>
      <c r="W702" s="2" t="s">
        <v>1806</v>
      </c>
      <c r="X702" s="2" t="s">
        <v>117</v>
      </c>
      <c r="Y702" s="3" t="s">
        <v>118</v>
      </c>
      <c r="Z702" s="3">
        <v>117.2</v>
      </c>
      <c r="AA702" s="2" t="s">
        <v>90</v>
      </c>
      <c r="AB702" s="2" t="s">
        <v>1852</v>
      </c>
      <c r="AC702" s="2" t="s">
        <v>1853</v>
      </c>
      <c r="AD702" t="str" cm="1">
        <f t="array" ref="AD70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702" s="2" t="s">
        <v>91</v>
      </c>
      <c r="AF702" s="2" t="s">
        <v>92</v>
      </c>
      <c r="AG702" s="2" t="s">
        <v>540</v>
      </c>
      <c r="AH702" s="2" t="s">
        <v>541</v>
      </c>
      <c r="AJ702" s="2" t="s">
        <v>122</v>
      </c>
      <c r="AK702" s="2" t="s">
        <v>3874</v>
      </c>
      <c r="AN702" s="3">
        <v>1</v>
      </c>
      <c r="AO702" s="3">
        <v>0</v>
      </c>
      <c r="AP702" s="3">
        <v>1</v>
      </c>
      <c r="AQ702" s="3">
        <v>1</v>
      </c>
      <c r="AR702" s="3">
        <v>0</v>
      </c>
      <c r="AS702" s="3">
        <v>0</v>
      </c>
      <c r="AT702" s="3">
        <v>0</v>
      </c>
      <c r="AU702" s="3">
        <v>1</v>
      </c>
      <c r="AV702" s="3">
        <v>0</v>
      </c>
      <c r="AW702" s="3">
        <v>1</v>
      </c>
      <c r="AX702" s="3">
        <v>0</v>
      </c>
      <c r="AY702" s="3">
        <v>0</v>
      </c>
      <c r="AZ702" s="3">
        <v>0</v>
      </c>
      <c r="BA702" s="3">
        <v>0</v>
      </c>
      <c r="BB702" s="3">
        <v>0</v>
      </c>
      <c r="BC702" s="3">
        <v>1</v>
      </c>
      <c r="BD702" s="3">
        <v>1</v>
      </c>
      <c r="BE702" s="3">
        <v>1</v>
      </c>
      <c r="BG702" s="2" t="s">
        <v>182</v>
      </c>
      <c r="BH702" s="3">
        <v>4</v>
      </c>
      <c r="BJ702" s="2" t="s">
        <v>96</v>
      </c>
      <c r="BL702" s="2" t="s">
        <v>779</v>
      </c>
      <c r="BM702" s="2" t="s">
        <v>780</v>
      </c>
      <c r="BN702" s="2" t="s">
        <v>99</v>
      </c>
      <c r="BO702" s="2" t="s">
        <v>100</v>
      </c>
      <c r="BP702" s="2" t="s">
        <v>101</v>
      </c>
      <c r="BQ702" s="2" t="s">
        <v>102</v>
      </c>
      <c r="BR702" s="2" t="s">
        <v>103</v>
      </c>
      <c r="BS702" s="2" t="s">
        <v>713</v>
      </c>
      <c r="BT702" s="2" t="s">
        <v>1132</v>
      </c>
      <c r="BU702" s="2" t="s">
        <v>1231</v>
      </c>
      <c r="BV702" s="2" t="s">
        <v>150</v>
      </c>
      <c r="BW702" s="2" t="s">
        <v>151</v>
      </c>
      <c r="BX702" s="2" t="s">
        <v>182</v>
      </c>
      <c r="BY70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702" s="2">
        <f>IF(AND(Cases[[#This Row],[Priority Level]]&gt;=3,Cases[[#This Row],[System Role]]&lt;&gt;"Productive"),1,0)</f>
        <v>0</v>
      </c>
      <c r="CA702" s="2">
        <f>IFERROR(IF(Cases[[#This Row],[Days at Customer]]&gt;MAX(1,Cases[[#This Row],[Days at SAP]]*2),1,0),0)</f>
        <v>0</v>
      </c>
      <c r="CB702" s="2">
        <f>IF(AND(Cases[[#This Row],[Initial Component]]&lt;&gt;"",Cases[[#This Row],[Component]]&lt;&gt;"",Cases[[#This Row],[Initial Component]]&lt;&gt;Cases[[#This Row],[Component]]),1,0)</f>
        <v>1</v>
      </c>
      <c r="CC702" s="2">
        <f>IF(OR(Cases[[#This Row],[Is Reopened]]="X",Cases[[#This Row],[No. of Reopenings]]&gt;0),1,0)</f>
        <v>1</v>
      </c>
      <c r="CD702" s="2">
        <f>IF(Cases[[#This Row],[Confirmation Type]]="Automatic",1,0)</f>
        <v>0</v>
      </c>
      <c r="CE702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703" spans="1:83" x14ac:dyDescent="0.2">
      <c r="A703" s="1" t="s">
        <v>3875</v>
      </c>
      <c r="B703" s="2" t="s">
        <v>3876</v>
      </c>
      <c r="C703" s="2" t="s">
        <v>655</v>
      </c>
      <c r="D703" s="2" t="s">
        <v>238</v>
      </c>
      <c r="E703" s="3">
        <v>40.58</v>
      </c>
      <c r="F703" s="3">
        <v>63.88</v>
      </c>
      <c r="G703" s="2" t="s">
        <v>113</v>
      </c>
      <c r="H703" s="2" t="s">
        <v>113</v>
      </c>
      <c r="I703" s="3" t="s">
        <v>114</v>
      </c>
      <c r="J703" s="3">
        <v>298</v>
      </c>
      <c r="K703" s="2" t="s">
        <v>3877</v>
      </c>
      <c r="L703" s="4">
        <v>46026</v>
      </c>
      <c r="M703" s="4">
        <v>45934</v>
      </c>
      <c r="N703" s="2" t="s">
        <v>2727</v>
      </c>
      <c r="O703" s="2" t="s">
        <v>1805</v>
      </c>
      <c r="P703" s="2" t="s">
        <v>3224</v>
      </c>
      <c r="Q703" s="2" t="s">
        <v>1806</v>
      </c>
      <c r="R703" s="2" t="s">
        <v>657</v>
      </c>
      <c r="S703" s="4">
        <v>45829</v>
      </c>
      <c r="T703" s="2" t="s">
        <v>3867</v>
      </c>
      <c r="U703" s="2" t="s">
        <v>3868</v>
      </c>
      <c r="V703" s="2" t="s">
        <v>3878</v>
      </c>
      <c r="W703" s="2" t="s">
        <v>1806</v>
      </c>
      <c r="X703" s="2" t="s">
        <v>117</v>
      </c>
      <c r="Y703" s="3" t="s">
        <v>118</v>
      </c>
      <c r="Z703" s="3">
        <v>104.46</v>
      </c>
      <c r="AA703" s="2" t="s">
        <v>90</v>
      </c>
      <c r="AB703" s="2" t="s">
        <v>658</v>
      </c>
      <c r="AC703" s="2" t="s">
        <v>659</v>
      </c>
      <c r="AD703" t="str" cm="1">
        <f t="array" ref="AD70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703" s="2" t="s">
        <v>182</v>
      </c>
      <c r="AF703" s="2" t="s">
        <v>92</v>
      </c>
      <c r="AG703" s="2" t="s">
        <v>540</v>
      </c>
      <c r="AH703" s="2" t="s">
        <v>541</v>
      </c>
      <c r="AK703" s="2" t="s">
        <v>3879</v>
      </c>
      <c r="AN703" s="3">
        <v>1</v>
      </c>
      <c r="AO703" s="3">
        <v>0</v>
      </c>
      <c r="AP703" s="3">
        <v>1</v>
      </c>
      <c r="AQ703" s="3">
        <v>1</v>
      </c>
      <c r="AR703" s="3">
        <v>1</v>
      </c>
      <c r="AS703" s="3">
        <v>0</v>
      </c>
      <c r="AT703" s="3">
        <v>0</v>
      </c>
      <c r="AU703" s="3">
        <v>0</v>
      </c>
      <c r="AV703" s="3">
        <v>1</v>
      </c>
      <c r="AW703" s="3">
        <v>0</v>
      </c>
      <c r="AX703" s="3">
        <v>1</v>
      </c>
      <c r="AY703" s="3">
        <v>0</v>
      </c>
      <c r="AZ703" s="3">
        <v>0</v>
      </c>
      <c r="BA703" s="3">
        <v>0</v>
      </c>
      <c r="BB703" s="3">
        <v>0</v>
      </c>
      <c r="BC703" s="3">
        <v>1</v>
      </c>
      <c r="BD703" s="3">
        <v>0</v>
      </c>
      <c r="BE703" s="3">
        <v>0</v>
      </c>
      <c r="BG703" s="2" t="s">
        <v>91</v>
      </c>
      <c r="BH703" s="3">
        <v>3</v>
      </c>
      <c r="BJ703" s="2" t="s">
        <v>96</v>
      </c>
      <c r="BL703" s="2" t="s">
        <v>779</v>
      </c>
      <c r="BM703" s="2" t="s">
        <v>780</v>
      </c>
      <c r="BN703" s="2" t="s">
        <v>99</v>
      </c>
      <c r="BO703" s="2" t="s">
        <v>100</v>
      </c>
      <c r="BP703" s="2" t="s">
        <v>242</v>
      </c>
      <c r="BQ703" s="2" t="s">
        <v>102</v>
      </c>
      <c r="BR703" s="2" t="s">
        <v>103</v>
      </c>
      <c r="BS703" s="2" t="s">
        <v>713</v>
      </c>
      <c r="BT703" s="2" t="s">
        <v>1132</v>
      </c>
      <c r="BU703" s="2" t="s">
        <v>1231</v>
      </c>
      <c r="BV703" s="2" t="s">
        <v>150</v>
      </c>
      <c r="BW703" s="2" t="s">
        <v>151</v>
      </c>
      <c r="BX703" s="2" t="s">
        <v>182</v>
      </c>
      <c r="BY70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703" s="2">
        <f>IF(AND(Cases[[#This Row],[Priority Level]]&gt;=3,Cases[[#This Row],[System Role]]&lt;&gt;"Productive"),1,0)</f>
        <v>0</v>
      </c>
      <c r="CA703" s="2">
        <f>IFERROR(IF(Cases[[#This Row],[Days at Customer]]&gt;MAX(1,Cases[[#This Row],[Days at SAP]]*2),1,0),0)</f>
        <v>0</v>
      </c>
      <c r="CB703" s="2">
        <f>IF(AND(Cases[[#This Row],[Initial Component]]&lt;&gt;"",Cases[[#This Row],[Component]]&lt;&gt;"",Cases[[#This Row],[Initial Component]]&lt;&gt;Cases[[#This Row],[Component]]),1,0)</f>
        <v>1</v>
      </c>
      <c r="CC703" s="2">
        <f>IF(OR(Cases[[#This Row],[Is Reopened]]="X",Cases[[#This Row],[No. of Reopenings]]&gt;0),1,0)</f>
        <v>0</v>
      </c>
      <c r="CD703" s="2">
        <f>IF(Cases[[#This Row],[Confirmation Type]]="Automatic",1,0)</f>
        <v>1</v>
      </c>
      <c r="CE703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704" spans="1:83" x14ac:dyDescent="0.2">
      <c r="A704" s="1" t="s">
        <v>269</v>
      </c>
      <c r="B704" s="2" t="s">
        <v>270</v>
      </c>
      <c r="C704" s="2" t="s">
        <v>271</v>
      </c>
      <c r="D704" s="2" t="s">
        <v>238</v>
      </c>
      <c r="E704" s="3">
        <v>3.98</v>
      </c>
      <c r="F704" s="3">
        <v>22.7</v>
      </c>
      <c r="G704" s="2" t="s">
        <v>79</v>
      </c>
      <c r="H704" s="2" t="s">
        <v>155</v>
      </c>
      <c r="I704" s="3" t="s">
        <v>114</v>
      </c>
      <c r="J704" s="3">
        <v>28</v>
      </c>
      <c r="K704" s="2" t="s">
        <v>272</v>
      </c>
      <c r="L704" s="4">
        <v>46127</v>
      </c>
      <c r="M704" s="4">
        <v>46126</v>
      </c>
      <c r="N704" s="2" t="s">
        <v>83</v>
      </c>
      <c r="O704" s="2" t="s">
        <v>84</v>
      </c>
      <c r="P704" s="2" t="s">
        <v>193</v>
      </c>
      <c r="Q704" s="2" t="s">
        <v>86</v>
      </c>
      <c r="R704" s="2" t="s">
        <v>273</v>
      </c>
      <c r="S704" s="4">
        <v>46099</v>
      </c>
      <c r="T704" s="2" t="s">
        <v>180</v>
      </c>
      <c r="U704" s="2" t="s">
        <v>181</v>
      </c>
      <c r="V704" s="2" t="s">
        <v>260</v>
      </c>
      <c r="W704" s="2" t="s">
        <v>86</v>
      </c>
      <c r="X704" s="2" t="s">
        <v>117</v>
      </c>
      <c r="Y704" s="3" t="s">
        <v>118</v>
      </c>
      <c r="Z704" s="3">
        <v>26.68</v>
      </c>
      <c r="AA704" s="2" t="s">
        <v>138</v>
      </c>
      <c r="AB704" s="2" t="s">
        <v>273</v>
      </c>
      <c r="AC704" s="2" t="s">
        <v>271</v>
      </c>
      <c r="AD704" t="str" cm="1">
        <f t="array" ref="AD70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704" s="2" t="s">
        <v>91</v>
      </c>
      <c r="AF704" s="2" t="s">
        <v>92</v>
      </c>
      <c r="AG704" s="2" t="s">
        <v>274</v>
      </c>
      <c r="AH704" s="2" t="s">
        <v>275</v>
      </c>
      <c r="AK704" s="2" t="s">
        <v>276</v>
      </c>
      <c r="AN704" s="3">
        <v>1</v>
      </c>
      <c r="AO704" s="3">
        <v>1</v>
      </c>
      <c r="AP704" s="3">
        <v>1</v>
      </c>
      <c r="AQ704" s="3">
        <v>1</v>
      </c>
      <c r="AR704" s="3">
        <v>0</v>
      </c>
      <c r="AS704" s="3">
        <v>1</v>
      </c>
      <c r="AT704" s="3">
        <v>0</v>
      </c>
      <c r="AU704" s="3">
        <v>0</v>
      </c>
      <c r="AV704" s="3">
        <v>1</v>
      </c>
      <c r="AW704" s="3">
        <v>0</v>
      </c>
      <c r="AX704" s="3">
        <v>0</v>
      </c>
      <c r="AY704" s="3">
        <v>1</v>
      </c>
      <c r="AZ704" s="3">
        <v>0</v>
      </c>
      <c r="BA704" s="3">
        <v>0</v>
      </c>
      <c r="BB704" s="3">
        <v>0</v>
      </c>
      <c r="BC704" s="3">
        <v>1</v>
      </c>
      <c r="BD704" s="3">
        <v>0</v>
      </c>
      <c r="BE704" s="3">
        <v>0</v>
      </c>
      <c r="BG704" s="2" t="s">
        <v>158</v>
      </c>
      <c r="BH704" s="3">
        <v>1</v>
      </c>
      <c r="BJ704" s="2" t="s">
        <v>96</v>
      </c>
      <c r="BL704" s="2" t="s">
        <v>277</v>
      </c>
      <c r="BM704" s="2" t="s">
        <v>278</v>
      </c>
      <c r="BN704" s="2" t="s">
        <v>279</v>
      </c>
      <c r="BO704" s="2" t="s">
        <v>280</v>
      </c>
      <c r="BP704" s="2" t="s">
        <v>242</v>
      </c>
      <c r="BQ704" s="2" t="s">
        <v>277</v>
      </c>
      <c r="BR704" s="2" t="s">
        <v>281</v>
      </c>
      <c r="BS704" s="2" t="s">
        <v>147</v>
      </c>
      <c r="BT704" s="2" t="s">
        <v>148</v>
      </c>
      <c r="BU704" s="2" t="s">
        <v>282</v>
      </c>
      <c r="BV704" s="2" t="s">
        <v>150</v>
      </c>
      <c r="BW704" s="2" t="s">
        <v>151</v>
      </c>
      <c r="BX704" s="2" t="s">
        <v>91</v>
      </c>
      <c r="BY70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704" s="2">
        <f>IF(AND(Cases[[#This Row],[Priority Level]]&gt;=3,Cases[[#This Row],[System Role]]&lt;&gt;"Productive"),1,0)</f>
        <v>0</v>
      </c>
      <c r="CA704" s="2">
        <f>IFERROR(IF(Cases[[#This Row],[Days at Customer]]&gt;MAX(1,Cases[[#This Row],[Days at SAP]]*2),1,0),0)</f>
        <v>1</v>
      </c>
      <c r="CB704" s="2">
        <f>IF(AND(Cases[[#This Row],[Initial Component]]&lt;&gt;"",Cases[[#This Row],[Component]]&lt;&gt;"",Cases[[#This Row],[Initial Component]]&lt;&gt;Cases[[#This Row],[Component]]),1,0)</f>
        <v>0</v>
      </c>
      <c r="CC704" s="2">
        <f>IF(OR(Cases[[#This Row],[Is Reopened]]="X",Cases[[#This Row],[No. of Reopenings]]&gt;0),1,0)</f>
        <v>0</v>
      </c>
      <c r="CD704" s="2">
        <f>IF(Cases[[#This Row],[Confirmation Type]]="Automatic",1,0)</f>
        <v>1</v>
      </c>
      <c r="CE704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705" spans="1:83" x14ac:dyDescent="0.2">
      <c r="A705" s="1" t="s">
        <v>3884</v>
      </c>
      <c r="B705" s="2" t="s">
        <v>3885</v>
      </c>
      <c r="C705" s="2" t="s">
        <v>1710</v>
      </c>
      <c r="D705" s="2" t="s">
        <v>78</v>
      </c>
      <c r="E705" s="3">
        <v>98.08</v>
      </c>
      <c r="F705" s="3">
        <v>42.43</v>
      </c>
      <c r="G705" s="2" t="s">
        <v>79</v>
      </c>
      <c r="H705" s="2" t="s">
        <v>80</v>
      </c>
      <c r="I705" s="3" t="s">
        <v>114</v>
      </c>
      <c r="J705" s="3">
        <v>308</v>
      </c>
      <c r="K705" s="2" t="s">
        <v>3886</v>
      </c>
      <c r="L705" s="4">
        <v>46054</v>
      </c>
      <c r="M705" s="4">
        <v>45960</v>
      </c>
      <c r="N705" s="2" t="s">
        <v>2727</v>
      </c>
      <c r="O705" s="2" t="s">
        <v>1805</v>
      </c>
      <c r="P705" s="2" t="s">
        <v>2717</v>
      </c>
      <c r="Q705" s="2" t="s">
        <v>1806</v>
      </c>
      <c r="R705" s="2" t="s">
        <v>1712</v>
      </c>
      <c r="S705" s="4">
        <v>45819</v>
      </c>
      <c r="T705" s="2" t="s">
        <v>3867</v>
      </c>
      <c r="U705" s="2" t="s">
        <v>3868</v>
      </c>
      <c r="V705" s="2" t="s">
        <v>3887</v>
      </c>
      <c r="W705" s="2" t="s">
        <v>1806</v>
      </c>
      <c r="X705" s="2" t="s">
        <v>117</v>
      </c>
      <c r="Y705" s="3" t="s">
        <v>118</v>
      </c>
      <c r="Z705" s="3">
        <v>140.52000000000001</v>
      </c>
      <c r="AA705" s="2" t="s">
        <v>90</v>
      </c>
      <c r="AB705" s="2" t="s">
        <v>990</v>
      </c>
      <c r="AC705" s="2" t="s">
        <v>988</v>
      </c>
      <c r="AD705" t="str" cm="1">
        <f t="array" ref="AD70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705" s="2" t="s">
        <v>91</v>
      </c>
      <c r="AF705" s="2" t="s">
        <v>92</v>
      </c>
      <c r="AG705" s="2" t="s">
        <v>553</v>
      </c>
      <c r="AH705" s="2" t="s">
        <v>554</v>
      </c>
      <c r="AK705" s="2" t="s">
        <v>3888</v>
      </c>
      <c r="AN705" s="3">
        <v>1</v>
      </c>
      <c r="AO705" s="3">
        <v>0</v>
      </c>
      <c r="AP705" s="3">
        <v>1</v>
      </c>
      <c r="AQ705" s="3">
        <v>1</v>
      </c>
      <c r="AR705" s="3">
        <v>1</v>
      </c>
      <c r="AS705" s="3">
        <v>0</v>
      </c>
      <c r="AT705" s="3">
        <v>0</v>
      </c>
      <c r="AU705" s="3">
        <v>0</v>
      </c>
      <c r="AV705" s="3">
        <v>0</v>
      </c>
      <c r="AW705" s="3">
        <v>1</v>
      </c>
      <c r="AX705" s="3">
        <v>1</v>
      </c>
      <c r="AY705" s="3">
        <v>0</v>
      </c>
      <c r="AZ705" s="3">
        <v>0</v>
      </c>
      <c r="BA705" s="3">
        <v>0</v>
      </c>
      <c r="BB705" s="3">
        <v>0</v>
      </c>
      <c r="BC705" s="3">
        <v>1</v>
      </c>
      <c r="BD705" s="3">
        <v>0</v>
      </c>
      <c r="BE705" s="3">
        <v>0</v>
      </c>
      <c r="BG705" s="2" t="s">
        <v>91</v>
      </c>
      <c r="BH705" s="3">
        <v>3</v>
      </c>
      <c r="BJ705" s="2" t="s">
        <v>96</v>
      </c>
      <c r="BL705" s="2" t="s">
        <v>556</v>
      </c>
      <c r="BM705" s="2" t="s">
        <v>557</v>
      </c>
      <c r="BN705" s="2" t="s">
        <v>99</v>
      </c>
      <c r="BO705" s="2" t="s">
        <v>100</v>
      </c>
      <c r="BP705" s="2" t="s">
        <v>101</v>
      </c>
      <c r="BQ705" s="2" t="s">
        <v>102</v>
      </c>
      <c r="BR705" s="2" t="s">
        <v>103</v>
      </c>
      <c r="BS705" s="2" t="s">
        <v>127</v>
      </c>
      <c r="BT705" s="2" t="s">
        <v>1171</v>
      </c>
      <c r="BU705" s="2" t="s">
        <v>1172</v>
      </c>
      <c r="BV705" s="2" t="s">
        <v>150</v>
      </c>
      <c r="BW705" s="2" t="s">
        <v>151</v>
      </c>
      <c r="BX705" s="2" t="s">
        <v>91</v>
      </c>
      <c r="BY70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705" s="2">
        <f>IF(AND(Cases[[#This Row],[Priority Level]]&gt;=3,Cases[[#This Row],[System Role]]&lt;&gt;"Productive"),1,0)</f>
        <v>0</v>
      </c>
      <c r="CA705" s="2">
        <f>IFERROR(IF(Cases[[#This Row],[Days at Customer]]&gt;MAX(1,Cases[[#This Row],[Days at SAP]]*2),1,0),0)</f>
        <v>0</v>
      </c>
      <c r="CB705" s="2">
        <f>IF(AND(Cases[[#This Row],[Initial Component]]&lt;&gt;"",Cases[[#This Row],[Component]]&lt;&gt;"",Cases[[#This Row],[Initial Component]]&lt;&gt;Cases[[#This Row],[Component]]),1,0)</f>
        <v>1</v>
      </c>
      <c r="CC705" s="2">
        <f>IF(OR(Cases[[#This Row],[Is Reopened]]="X",Cases[[#This Row],[No. of Reopenings]]&gt;0),1,0)</f>
        <v>0</v>
      </c>
      <c r="CD705" s="2">
        <f>IF(Cases[[#This Row],[Confirmation Type]]="Automatic",1,0)</f>
        <v>0</v>
      </c>
      <c r="CE705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706" spans="1:83" x14ac:dyDescent="0.2">
      <c r="A706" s="1" t="s">
        <v>481</v>
      </c>
      <c r="B706" s="2" t="s">
        <v>482</v>
      </c>
      <c r="C706" s="2" t="s">
        <v>111</v>
      </c>
      <c r="D706" s="2" t="s">
        <v>238</v>
      </c>
      <c r="E706" s="3">
        <v>0</v>
      </c>
      <c r="F706" s="3">
        <v>28.19</v>
      </c>
      <c r="G706" s="2" t="s">
        <v>112</v>
      </c>
      <c r="H706" s="2" t="s">
        <v>113</v>
      </c>
      <c r="I706" s="3" t="s">
        <v>114</v>
      </c>
      <c r="J706" s="3">
        <v>36</v>
      </c>
      <c r="K706" s="2" t="s">
        <v>483</v>
      </c>
      <c r="L706" s="4">
        <v>46127</v>
      </c>
      <c r="M706" s="4">
        <v>46125</v>
      </c>
      <c r="N706" s="2" t="s">
        <v>83</v>
      </c>
      <c r="O706" s="2" t="s">
        <v>84</v>
      </c>
      <c r="P706" s="2" t="s">
        <v>193</v>
      </c>
      <c r="Q706" s="2" t="s">
        <v>86</v>
      </c>
      <c r="R706" s="2" t="s">
        <v>116</v>
      </c>
      <c r="S706" s="4">
        <v>46091</v>
      </c>
      <c r="T706" s="2" t="s">
        <v>180</v>
      </c>
      <c r="U706" s="2" t="s">
        <v>181</v>
      </c>
      <c r="V706" s="2" t="s">
        <v>350</v>
      </c>
      <c r="W706" s="2" t="s">
        <v>86</v>
      </c>
      <c r="X706" s="2" t="s">
        <v>117</v>
      </c>
      <c r="Y706" s="3" t="s">
        <v>118</v>
      </c>
      <c r="Z706" s="3">
        <v>28.19</v>
      </c>
      <c r="AA706" s="2" t="s">
        <v>90</v>
      </c>
      <c r="AB706" s="2" t="s">
        <v>116</v>
      </c>
      <c r="AC706" s="2" t="s">
        <v>111</v>
      </c>
      <c r="AD706" t="str" cm="1">
        <f t="array" ref="AD70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706" s="2" t="s">
        <v>91</v>
      </c>
      <c r="AF706" s="2" t="s">
        <v>92</v>
      </c>
      <c r="AG706" s="2" t="s">
        <v>119</v>
      </c>
      <c r="AH706" s="2" t="s">
        <v>120</v>
      </c>
      <c r="AK706" s="2" t="s">
        <v>484</v>
      </c>
      <c r="AN706" s="3">
        <v>1</v>
      </c>
      <c r="AO706" s="3">
        <v>1</v>
      </c>
      <c r="AP706" s="3">
        <v>1</v>
      </c>
      <c r="AQ706" s="3">
        <v>1</v>
      </c>
      <c r="AR706" s="3">
        <v>1</v>
      </c>
      <c r="AS706" s="3">
        <v>0</v>
      </c>
      <c r="AT706" s="3">
        <v>0</v>
      </c>
      <c r="AU706" s="3">
        <v>0</v>
      </c>
      <c r="AV706" s="3">
        <v>1</v>
      </c>
      <c r="AW706" s="3">
        <v>0</v>
      </c>
      <c r="AX706" s="3">
        <v>1</v>
      </c>
      <c r="AY706" s="3">
        <v>0</v>
      </c>
      <c r="AZ706" s="3">
        <v>0</v>
      </c>
      <c r="BA706" s="3">
        <v>0</v>
      </c>
      <c r="BB706" s="3">
        <v>0</v>
      </c>
      <c r="BC706" s="3">
        <v>1</v>
      </c>
      <c r="BD706" s="3">
        <v>0</v>
      </c>
      <c r="BE706" s="3">
        <v>0</v>
      </c>
      <c r="BG706" s="2" t="s">
        <v>91</v>
      </c>
      <c r="BH706" s="3">
        <v>3</v>
      </c>
      <c r="BI706" s="2" t="s">
        <v>122</v>
      </c>
      <c r="BJ706" s="2" t="s">
        <v>96</v>
      </c>
      <c r="BL706" s="2" t="s">
        <v>123</v>
      </c>
      <c r="BM706" s="2" t="s">
        <v>123</v>
      </c>
      <c r="BN706" s="2" t="s">
        <v>124</v>
      </c>
      <c r="BO706" s="2" t="s">
        <v>125</v>
      </c>
      <c r="BP706" s="2" t="s">
        <v>242</v>
      </c>
      <c r="BQ706" s="2" t="s">
        <v>124</v>
      </c>
      <c r="BR706" s="2" t="s">
        <v>126</v>
      </c>
      <c r="BS706" s="2" t="s">
        <v>127</v>
      </c>
      <c r="BT706" s="2" t="s">
        <v>207</v>
      </c>
      <c r="BU706" s="2" t="s">
        <v>208</v>
      </c>
      <c r="BV706" s="2" t="s">
        <v>150</v>
      </c>
      <c r="BW706" s="2" t="s">
        <v>151</v>
      </c>
      <c r="BX706" s="2" t="s">
        <v>91</v>
      </c>
      <c r="BY70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706" s="2">
        <f>IF(AND(Cases[[#This Row],[Priority Level]]&gt;=3,Cases[[#This Row],[System Role]]&lt;&gt;"Productive"),1,0)</f>
        <v>0</v>
      </c>
      <c r="CA706" s="2">
        <f>IFERROR(IF(Cases[[#This Row],[Days at Customer]]&gt;MAX(1,Cases[[#This Row],[Days at SAP]]*2),1,0),0)</f>
        <v>1</v>
      </c>
      <c r="CB706" s="2">
        <f>IF(AND(Cases[[#This Row],[Initial Component]]&lt;&gt;"",Cases[[#This Row],[Component]]&lt;&gt;"",Cases[[#This Row],[Initial Component]]&lt;&gt;Cases[[#This Row],[Component]]),1,0)</f>
        <v>0</v>
      </c>
      <c r="CC706" s="2">
        <f>IF(OR(Cases[[#This Row],[Is Reopened]]="X",Cases[[#This Row],[No. of Reopenings]]&gt;0),1,0)</f>
        <v>0</v>
      </c>
      <c r="CD706" s="2">
        <f>IF(Cases[[#This Row],[Confirmation Type]]="Automatic",1,0)</f>
        <v>1</v>
      </c>
      <c r="CE706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707" spans="1:83" x14ac:dyDescent="0.2">
      <c r="A707" s="1" t="s">
        <v>3897</v>
      </c>
      <c r="B707" s="2" t="s">
        <v>3898</v>
      </c>
      <c r="C707" s="2" t="s">
        <v>3899</v>
      </c>
      <c r="D707" s="2" t="s">
        <v>238</v>
      </c>
      <c r="E707" s="3">
        <v>11.28</v>
      </c>
      <c r="F707" s="3">
        <v>130.30000000000001</v>
      </c>
      <c r="G707" s="2" t="s">
        <v>133</v>
      </c>
      <c r="H707" s="2" t="s">
        <v>995</v>
      </c>
      <c r="I707" s="3" t="s">
        <v>114</v>
      </c>
      <c r="J707" s="3">
        <v>321</v>
      </c>
      <c r="K707" s="2" t="s">
        <v>3900</v>
      </c>
      <c r="L707" s="4">
        <v>46040</v>
      </c>
      <c r="M707" s="4">
        <v>45948</v>
      </c>
      <c r="N707" s="2" t="s">
        <v>2727</v>
      </c>
      <c r="O707" s="2" t="s">
        <v>1805</v>
      </c>
      <c r="P707" s="2" t="s">
        <v>2936</v>
      </c>
      <c r="Q707" s="2" t="s">
        <v>1806</v>
      </c>
      <c r="R707" s="2" t="s">
        <v>3901</v>
      </c>
      <c r="S707" s="4">
        <v>45806</v>
      </c>
      <c r="T707" s="2" t="s">
        <v>3902</v>
      </c>
      <c r="U707" s="2" t="s">
        <v>3868</v>
      </c>
      <c r="V707" s="2" t="s">
        <v>3903</v>
      </c>
      <c r="W707" s="2" t="s">
        <v>1806</v>
      </c>
      <c r="X707" s="2" t="s">
        <v>117</v>
      </c>
      <c r="Y707" s="3" t="s">
        <v>118</v>
      </c>
      <c r="Z707" s="3">
        <v>141.59</v>
      </c>
      <c r="AA707" s="2" t="s">
        <v>90</v>
      </c>
      <c r="AB707" s="2" t="s">
        <v>1555</v>
      </c>
      <c r="AC707" s="2" t="s">
        <v>1556</v>
      </c>
      <c r="AD707" t="str" cm="1">
        <f t="array" ref="AD70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707" s="2" t="s">
        <v>91</v>
      </c>
      <c r="AF707" s="2" t="s">
        <v>92</v>
      </c>
      <c r="AG707" s="2" t="s">
        <v>119</v>
      </c>
      <c r="AH707" s="2" t="s">
        <v>120</v>
      </c>
      <c r="AJ707" s="2" t="s">
        <v>122</v>
      </c>
      <c r="AK707" s="2" t="s">
        <v>3904</v>
      </c>
      <c r="AN707" s="3">
        <v>1</v>
      </c>
      <c r="AO707" s="3">
        <v>0</v>
      </c>
      <c r="AP707" s="3">
        <v>1</v>
      </c>
      <c r="AQ707" s="3">
        <v>1</v>
      </c>
      <c r="AR707" s="3">
        <v>1</v>
      </c>
      <c r="AS707" s="3">
        <v>0</v>
      </c>
      <c r="AT707" s="3">
        <v>0</v>
      </c>
      <c r="AU707" s="3">
        <v>0</v>
      </c>
      <c r="AV707" s="3">
        <v>1</v>
      </c>
      <c r="AW707" s="3">
        <v>0</v>
      </c>
      <c r="AX707" s="3">
        <v>1</v>
      </c>
      <c r="AY707" s="3">
        <v>0</v>
      </c>
      <c r="AZ707" s="3">
        <v>0</v>
      </c>
      <c r="BA707" s="3">
        <v>0</v>
      </c>
      <c r="BB707" s="3">
        <v>0</v>
      </c>
      <c r="BC707" s="3">
        <v>1</v>
      </c>
      <c r="BD707" s="3">
        <v>2</v>
      </c>
      <c r="BE707" s="3">
        <v>0</v>
      </c>
      <c r="BG707" s="2" t="s">
        <v>91</v>
      </c>
      <c r="BH707" s="3">
        <v>3</v>
      </c>
      <c r="BJ707" s="2" t="s">
        <v>96</v>
      </c>
      <c r="BL707" s="2" t="s">
        <v>123</v>
      </c>
      <c r="BM707" s="2" t="s">
        <v>123</v>
      </c>
      <c r="BN707" s="2" t="s">
        <v>124</v>
      </c>
      <c r="BO707" s="2" t="s">
        <v>125</v>
      </c>
      <c r="BP707" s="2" t="s">
        <v>242</v>
      </c>
      <c r="BQ707" s="2" t="s">
        <v>124</v>
      </c>
      <c r="BR707" s="2" t="s">
        <v>126</v>
      </c>
      <c r="BS707" s="2" t="s">
        <v>127</v>
      </c>
      <c r="BT707" s="2" t="s">
        <v>174</v>
      </c>
      <c r="BU707" s="2" t="s">
        <v>175</v>
      </c>
      <c r="BV707" s="2" t="s">
        <v>150</v>
      </c>
      <c r="BW707" s="2" t="s">
        <v>151</v>
      </c>
      <c r="BX707" s="2" t="s">
        <v>91</v>
      </c>
      <c r="BY70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707" s="2">
        <f>IF(AND(Cases[[#This Row],[Priority Level]]&gt;=3,Cases[[#This Row],[System Role]]&lt;&gt;"Productive"),1,0)</f>
        <v>0</v>
      </c>
      <c r="CA707" s="2">
        <f>IFERROR(IF(Cases[[#This Row],[Days at Customer]]&gt;MAX(1,Cases[[#This Row],[Days at SAP]]*2),1,0),0)</f>
        <v>1</v>
      </c>
      <c r="CB707" s="2">
        <f>IF(AND(Cases[[#This Row],[Initial Component]]&lt;&gt;"",Cases[[#This Row],[Component]]&lt;&gt;"",Cases[[#This Row],[Initial Component]]&lt;&gt;Cases[[#This Row],[Component]]),1,0)</f>
        <v>1</v>
      </c>
      <c r="CC707" s="2">
        <f>IF(OR(Cases[[#This Row],[Is Reopened]]="X",Cases[[#This Row],[No. of Reopenings]]&gt;0),1,0)</f>
        <v>1</v>
      </c>
      <c r="CD707" s="2">
        <f>IF(Cases[[#This Row],[Confirmation Type]]="Automatic",1,0)</f>
        <v>1</v>
      </c>
      <c r="CE707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708" spans="1:83" x14ac:dyDescent="0.2">
      <c r="A708" s="1" t="s">
        <v>3905</v>
      </c>
      <c r="B708" s="2" t="s">
        <v>3906</v>
      </c>
      <c r="C708" s="2" t="s">
        <v>2908</v>
      </c>
      <c r="D708" s="2" t="s">
        <v>238</v>
      </c>
      <c r="E708" s="3">
        <v>49.18</v>
      </c>
      <c r="F708" s="3">
        <v>175.31</v>
      </c>
      <c r="G708" s="2" t="s">
        <v>79</v>
      </c>
      <c r="H708" s="2" t="s">
        <v>732</v>
      </c>
      <c r="I708" s="3" t="s">
        <v>114</v>
      </c>
      <c r="J708" s="3">
        <v>324</v>
      </c>
      <c r="K708" s="2" t="s">
        <v>3907</v>
      </c>
      <c r="L708" s="4">
        <v>46033</v>
      </c>
      <c r="M708" s="4">
        <v>46028</v>
      </c>
      <c r="N708" s="2" t="s">
        <v>1334</v>
      </c>
      <c r="O708" s="2" t="s">
        <v>181</v>
      </c>
      <c r="P708" s="2" t="s">
        <v>677</v>
      </c>
      <c r="Q708" s="2" t="s">
        <v>86</v>
      </c>
      <c r="R708" s="2" t="s">
        <v>2910</v>
      </c>
      <c r="S708" s="4">
        <v>45803</v>
      </c>
      <c r="T708" s="2" t="s">
        <v>3902</v>
      </c>
      <c r="U708" s="2" t="s">
        <v>3868</v>
      </c>
      <c r="V708" s="2" t="s">
        <v>3903</v>
      </c>
      <c r="W708" s="2" t="s">
        <v>1806</v>
      </c>
      <c r="X708" s="2" t="s">
        <v>117</v>
      </c>
      <c r="Y708" s="3" t="s">
        <v>118</v>
      </c>
      <c r="Z708" s="3">
        <v>224.49</v>
      </c>
      <c r="AA708" s="2" t="s">
        <v>90</v>
      </c>
      <c r="AB708" s="2" t="s">
        <v>172</v>
      </c>
      <c r="AC708" s="2" t="s">
        <v>170</v>
      </c>
      <c r="AD708" t="str" cm="1">
        <f t="array" ref="AD70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708" s="2" t="s">
        <v>91</v>
      </c>
      <c r="AF708" s="2" t="s">
        <v>92</v>
      </c>
      <c r="AG708" s="2" t="s">
        <v>119</v>
      </c>
      <c r="AH708" s="2" t="s">
        <v>120</v>
      </c>
      <c r="AJ708" s="2" t="s">
        <v>122</v>
      </c>
      <c r="AK708" s="2" t="s">
        <v>3908</v>
      </c>
      <c r="AN708" s="3">
        <v>1</v>
      </c>
      <c r="AO708" s="3">
        <v>0</v>
      </c>
      <c r="AP708" s="3">
        <v>1</v>
      </c>
      <c r="AQ708" s="3">
        <v>1</v>
      </c>
      <c r="AR708" s="3">
        <v>1</v>
      </c>
      <c r="AS708" s="3">
        <v>0</v>
      </c>
      <c r="AT708" s="3">
        <v>0</v>
      </c>
      <c r="AU708" s="3">
        <v>0</v>
      </c>
      <c r="AV708" s="3">
        <v>1</v>
      </c>
      <c r="AW708" s="3">
        <v>0</v>
      </c>
      <c r="AX708" s="3">
        <v>1</v>
      </c>
      <c r="AY708" s="3">
        <v>0</v>
      </c>
      <c r="AZ708" s="3">
        <v>0</v>
      </c>
      <c r="BA708" s="3">
        <v>0</v>
      </c>
      <c r="BB708" s="3">
        <v>0</v>
      </c>
      <c r="BC708" s="3">
        <v>1</v>
      </c>
      <c r="BD708" s="3">
        <v>10</v>
      </c>
      <c r="BE708" s="3">
        <v>0</v>
      </c>
      <c r="BG708" s="2" t="s">
        <v>91</v>
      </c>
      <c r="BH708" s="3">
        <v>3</v>
      </c>
      <c r="BJ708" s="2" t="s">
        <v>96</v>
      </c>
      <c r="BL708" s="2" t="s">
        <v>123</v>
      </c>
      <c r="BM708" s="2" t="s">
        <v>123</v>
      </c>
      <c r="BN708" s="2" t="s">
        <v>124</v>
      </c>
      <c r="BO708" s="2" t="s">
        <v>125</v>
      </c>
      <c r="BP708" s="2" t="s">
        <v>242</v>
      </c>
      <c r="BQ708" s="2" t="s">
        <v>124</v>
      </c>
      <c r="BR708" s="2" t="s">
        <v>126</v>
      </c>
      <c r="BS708" s="2" t="s">
        <v>127</v>
      </c>
      <c r="BT708" s="2" t="s">
        <v>174</v>
      </c>
      <c r="BU708" s="2" t="s">
        <v>175</v>
      </c>
      <c r="BV708" s="2" t="s">
        <v>150</v>
      </c>
      <c r="BW708" s="2" t="s">
        <v>151</v>
      </c>
      <c r="BX708" s="2" t="s">
        <v>91</v>
      </c>
      <c r="BY70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708" s="2">
        <f>IF(AND(Cases[[#This Row],[Priority Level]]&gt;=3,Cases[[#This Row],[System Role]]&lt;&gt;"Productive"),1,0)</f>
        <v>0</v>
      </c>
      <c r="CA708" s="2">
        <f>IFERROR(IF(Cases[[#This Row],[Days at Customer]]&gt;MAX(1,Cases[[#This Row],[Days at SAP]]*2),1,0),0)</f>
        <v>1</v>
      </c>
      <c r="CB708" s="2">
        <f>IF(AND(Cases[[#This Row],[Initial Component]]&lt;&gt;"",Cases[[#This Row],[Component]]&lt;&gt;"",Cases[[#This Row],[Initial Component]]&lt;&gt;Cases[[#This Row],[Component]]),1,0)</f>
        <v>1</v>
      </c>
      <c r="CC708" s="2">
        <f>IF(OR(Cases[[#This Row],[Is Reopened]]="X",Cases[[#This Row],[No. of Reopenings]]&gt;0),1,0)</f>
        <v>1</v>
      </c>
      <c r="CD708" s="2">
        <f>IF(Cases[[#This Row],[Confirmation Type]]="Automatic",1,0)</f>
        <v>1</v>
      </c>
      <c r="CE708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709" spans="1:83" x14ac:dyDescent="0.2">
      <c r="A709" s="1" t="s">
        <v>3909</v>
      </c>
      <c r="B709" s="2" t="s">
        <v>3910</v>
      </c>
      <c r="C709" s="2" t="s">
        <v>3911</v>
      </c>
      <c r="D709" s="2" t="s">
        <v>78</v>
      </c>
      <c r="E709" s="3">
        <v>101.34</v>
      </c>
      <c r="F709" s="3">
        <v>58.33</v>
      </c>
      <c r="G709" s="2" t="s">
        <v>113</v>
      </c>
      <c r="H709" s="2" t="s">
        <v>113</v>
      </c>
      <c r="I709" s="3" t="s">
        <v>114</v>
      </c>
      <c r="J709" s="3">
        <v>327</v>
      </c>
      <c r="K709" s="2" t="s">
        <v>3912</v>
      </c>
      <c r="L709" s="4">
        <v>46054</v>
      </c>
      <c r="M709" s="4">
        <v>45960</v>
      </c>
      <c r="N709" s="2" t="s">
        <v>2727</v>
      </c>
      <c r="O709" s="2" t="s">
        <v>1805</v>
      </c>
      <c r="P709" s="2" t="s">
        <v>2717</v>
      </c>
      <c r="Q709" s="2" t="s">
        <v>1806</v>
      </c>
      <c r="R709" s="2" t="s">
        <v>3913</v>
      </c>
      <c r="S709" s="4">
        <v>45800</v>
      </c>
      <c r="T709" s="2" t="s">
        <v>3902</v>
      </c>
      <c r="U709" s="2" t="s">
        <v>3868</v>
      </c>
      <c r="V709" s="2" t="s">
        <v>3914</v>
      </c>
      <c r="W709" s="2" t="s">
        <v>1806</v>
      </c>
      <c r="X709" s="2" t="s">
        <v>117</v>
      </c>
      <c r="Y709" s="3" t="s">
        <v>118</v>
      </c>
      <c r="Z709" s="3">
        <v>159.66</v>
      </c>
      <c r="AA709" s="2" t="s">
        <v>90</v>
      </c>
      <c r="AB709" s="2" t="s">
        <v>990</v>
      </c>
      <c r="AC709" s="2" t="s">
        <v>988</v>
      </c>
      <c r="AD709" t="str" cm="1">
        <f t="array" ref="AD70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709" s="2" t="s">
        <v>139</v>
      </c>
      <c r="AF709" s="2" t="s">
        <v>92</v>
      </c>
      <c r="AG709" s="2" t="s">
        <v>553</v>
      </c>
      <c r="AH709" s="2" t="s">
        <v>554</v>
      </c>
      <c r="AK709" s="2" t="s">
        <v>3915</v>
      </c>
      <c r="AN709" s="3">
        <v>1</v>
      </c>
      <c r="AO709" s="3">
        <v>0</v>
      </c>
      <c r="AP709" s="3">
        <v>1</v>
      </c>
      <c r="AQ709" s="3">
        <v>1</v>
      </c>
      <c r="AR709" s="3">
        <v>0</v>
      </c>
      <c r="AS709" s="3">
        <v>0</v>
      </c>
      <c r="AT709" s="3">
        <v>1</v>
      </c>
      <c r="AU709" s="3">
        <v>0</v>
      </c>
      <c r="AV709" s="3">
        <v>0</v>
      </c>
      <c r="AW709" s="3">
        <v>1</v>
      </c>
      <c r="AX709" s="3">
        <v>0</v>
      </c>
      <c r="AY709" s="3">
        <v>0</v>
      </c>
      <c r="AZ709" s="3">
        <v>1</v>
      </c>
      <c r="BA709" s="3">
        <v>0</v>
      </c>
      <c r="BB709" s="3">
        <v>0</v>
      </c>
      <c r="BC709" s="3">
        <v>1</v>
      </c>
      <c r="BD709" s="3">
        <v>0</v>
      </c>
      <c r="BE709" s="3">
        <v>0</v>
      </c>
      <c r="BG709" s="2" t="s">
        <v>139</v>
      </c>
      <c r="BH709" s="3">
        <v>2</v>
      </c>
      <c r="BJ709" s="2" t="s">
        <v>96</v>
      </c>
      <c r="BL709" s="2" t="s">
        <v>556</v>
      </c>
      <c r="BM709" s="2" t="s">
        <v>557</v>
      </c>
      <c r="BN709" s="2" t="s">
        <v>99</v>
      </c>
      <c r="BO709" s="2" t="s">
        <v>100</v>
      </c>
      <c r="BP709" s="2" t="s">
        <v>101</v>
      </c>
      <c r="BQ709" s="2" t="s">
        <v>102</v>
      </c>
      <c r="BR709" s="2" t="s">
        <v>103</v>
      </c>
      <c r="BS709" s="2" t="s">
        <v>127</v>
      </c>
      <c r="BT709" s="2" t="s">
        <v>1171</v>
      </c>
      <c r="BU709" s="2" t="s">
        <v>1172</v>
      </c>
      <c r="BV709" s="2" t="s">
        <v>150</v>
      </c>
      <c r="BW709" s="2" t="s">
        <v>151</v>
      </c>
      <c r="BX709" s="2" t="s">
        <v>139</v>
      </c>
      <c r="BY70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709" s="2">
        <f>IF(AND(Cases[[#This Row],[Priority Level]]&gt;=3,Cases[[#This Row],[System Role]]&lt;&gt;"Productive"),1,0)</f>
        <v>0</v>
      </c>
      <c r="CA709" s="2">
        <f>IFERROR(IF(Cases[[#This Row],[Days at Customer]]&gt;MAX(1,Cases[[#This Row],[Days at SAP]]*2),1,0),0)</f>
        <v>0</v>
      </c>
      <c r="CB709" s="2">
        <f>IF(AND(Cases[[#This Row],[Initial Component]]&lt;&gt;"",Cases[[#This Row],[Component]]&lt;&gt;"",Cases[[#This Row],[Initial Component]]&lt;&gt;Cases[[#This Row],[Component]]),1,0)</f>
        <v>1</v>
      </c>
      <c r="CC709" s="2">
        <f>IF(OR(Cases[[#This Row],[Is Reopened]]="X",Cases[[#This Row],[No. of Reopenings]]&gt;0),1,0)</f>
        <v>0</v>
      </c>
      <c r="CD709" s="2">
        <f>IF(Cases[[#This Row],[Confirmation Type]]="Automatic",1,0)</f>
        <v>0</v>
      </c>
      <c r="CE709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710" spans="1:83" x14ac:dyDescent="0.2">
      <c r="A710" s="1" t="s">
        <v>3916</v>
      </c>
      <c r="B710" s="2" t="s">
        <v>3917</v>
      </c>
      <c r="C710" s="2" t="s">
        <v>1655</v>
      </c>
      <c r="D710" s="2" t="s">
        <v>238</v>
      </c>
      <c r="E710" s="3">
        <v>13.4</v>
      </c>
      <c r="F710" s="3">
        <v>123.03</v>
      </c>
      <c r="G710" s="2" t="s">
        <v>79</v>
      </c>
      <c r="H710" s="2" t="s">
        <v>290</v>
      </c>
      <c r="I710" s="3" t="s">
        <v>114</v>
      </c>
      <c r="J710" s="3">
        <v>327</v>
      </c>
      <c r="K710" s="2" t="s">
        <v>3918</v>
      </c>
      <c r="L710" s="4">
        <v>46033</v>
      </c>
      <c r="M710" s="4">
        <v>45937</v>
      </c>
      <c r="N710" s="2" t="s">
        <v>2727</v>
      </c>
      <c r="O710" s="2" t="s">
        <v>1805</v>
      </c>
      <c r="P710" s="2" t="s">
        <v>3126</v>
      </c>
      <c r="Q710" s="2" t="s">
        <v>1806</v>
      </c>
      <c r="R710" s="2" t="s">
        <v>1657</v>
      </c>
      <c r="S710" s="4">
        <v>45800</v>
      </c>
      <c r="T710" s="2" t="s">
        <v>3902</v>
      </c>
      <c r="U710" s="2" t="s">
        <v>3868</v>
      </c>
      <c r="V710" s="2" t="s">
        <v>3914</v>
      </c>
      <c r="W710" s="2" t="s">
        <v>1806</v>
      </c>
      <c r="X710" s="2" t="s">
        <v>117</v>
      </c>
      <c r="Y710" s="3" t="s">
        <v>118</v>
      </c>
      <c r="Z710" s="3">
        <v>136.41999999999999</v>
      </c>
      <c r="AA710" s="2" t="s">
        <v>90</v>
      </c>
      <c r="AB710" s="2" t="s">
        <v>2149</v>
      </c>
      <c r="AC710" s="2" t="s">
        <v>2147</v>
      </c>
      <c r="AD710" t="str" cm="1">
        <f t="array" ref="AD710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MDG</v>
      </c>
      <c r="AE710" s="2" t="s">
        <v>91</v>
      </c>
      <c r="AF710" s="2" t="s">
        <v>92</v>
      </c>
      <c r="AG710" s="2" t="s">
        <v>119</v>
      </c>
      <c r="AH710" s="2" t="s">
        <v>120</v>
      </c>
      <c r="AJ710" s="2" t="s">
        <v>122</v>
      </c>
      <c r="AK710" s="2" t="s">
        <v>3919</v>
      </c>
      <c r="AN710" s="3">
        <v>1</v>
      </c>
      <c r="AO710" s="3">
        <v>0</v>
      </c>
      <c r="AP710" s="3">
        <v>1</v>
      </c>
      <c r="AQ710" s="3">
        <v>1</v>
      </c>
      <c r="AR710" s="3">
        <v>1</v>
      </c>
      <c r="AS710" s="3">
        <v>0</v>
      </c>
      <c r="AT710" s="3">
        <v>0</v>
      </c>
      <c r="AU710" s="3">
        <v>0</v>
      </c>
      <c r="AV710" s="3">
        <v>1</v>
      </c>
      <c r="AW710" s="3">
        <v>0</v>
      </c>
      <c r="AX710" s="3">
        <v>1</v>
      </c>
      <c r="AY710" s="3">
        <v>0</v>
      </c>
      <c r="AZ710" s="3">
        <v>0</v>
      </c>
      <c r="BA710" s="3">
        <v>0</v>
      </c>
      <c r="BB710" s="3">
        <v>0</v>
      </c>
      <c r="BC710" s="3">
        <v>1</v>
      </c>
      <c r="BD710" s="3">
        <v>1</v>
      </c>
      <c r="BE710" s="3">
        <v>0</v>
      </c>
      <c r="BG710" s="2" t="s">
        <v>91</v>
      </c>
      <c r="BH710" s="3">
        <v>3</v>
      </c>
      <c r="BJ710" s="2" t="s">
        <v>96</v>
      </c>
      <c r="BL710" s="2" t="s">
        <v>123</v>
      </c>
      <c r="BM710" s="2" t="s">
        <v>123</v>
      </c>
      <c r="BN710" s="2" t="s">
        <v>124</v>
      </c>
      <c r="BO710" s="2" t="s">
        <v>125</v>
      </c>
      <c r="BP710" s="2" t="s">
        <v>242</v>
      </c>
      <c r="BQ710" s="2" t="s">
        <v>124</v>
      </c>
      <c r="BR710" s="2" t="s">
        <v>126</v>
      </c>
      <c r="BS710" s="2" t="s">
        <v>127</v>
      </c>
      <c r="BT710" s="2" t="s">
        <v>420</v>
      </c>
      <c r="BU710" s="2" t="s">
        <v>421</v>
      </c>
      <c r="BV710" s="2" t="s">
        <v>150</v>
      </c>
      <c r="BW710" s="2" t="s">
        <v>151</v>
      </c>
      <c r="BX710" s="2" t="s">
        <v>91</v>
      </c>
      <c r="BY710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710" s="2">
        <f>IF(AND(Cases[[#This Row],[Priority Level]]&gt;=3,Cases[[#This Row],[System Role]]&lt;&gt;"Productive"),1,0)</f>
        <v>0</v>
      </c>
      <c r="CA710" s="2">
        <f>IFERROR(IF(Cases[[#This Row],[Days at Customer]]&gt;MAX(1,Cases[[#This Row],[Days at SAP]]*2),1,0),0)</f>
        <v>1</v>
      </c>
      <c r="CB710" s="2">
        <f>IF(AND(Cases[[#This Row],[Initial Component]]&lt;&gt;"",Cases[[#This Row],[Component]]&lt;&gt;"",Cases[[#This Row],[Initial Component]]&lt;&gt;Cases[[#This Row],[Component]]),1,0)</f>
        <v>1</v>
      </c>
      <c r="CC710" s="2">
        <f>IF(OR(Cases[[#This Row],[Is Reopened]]="X",Cases[[#This Row],[No. of Reopenings]]&gt;0),1,0)</f>
        <v>1</v>
      </c>
      <c r="CD710" s="2">
        <f>IF(Cases[[#This Row],[Confirmation Type]]="Automatic",1,0)</f>
        <v>1</v>
      </c>
      <c r="CE710" s="2">
        <f>Cases[[#This Row],[Flag_HowToOrConsulting]]+Cases[[#This Row],[Flag_PriorityInflation]]+Cases[[#This Row],[Flag_CustomerDelay]]+Cases[[#This Row],[Flag_ComponentMismatch]]+Cases[[#This Row],[Flag_Reopened]]</f>
        <v>4</v>
      </c>
    </row>
    <row r="711" spans="1:83" x14ac:dyDescent="0.2">
      <c r="A711" s="1" t="s">
        <v>3920</v>
      </c>
      <c r="B711" s="2" t="s">
        <v>3921</v>
      </c>
      <c r="C711" s="2" t="s">
        <v>1381</v>
      </c>
      <c r="D711" s="2" t="s">
        <v>238</v>
      </c>
      <c r="E711" s="3">
        <v>160.05000000000001</v>
      </c>
      <c r="F711" s="3">
        <v>24.36</v>
      </c>
      <c r="G711" s="2" t="s">
        <v>79</v>
      </c>
      <c r="H711" s="2" t="s">
        <v>155</v>
      </c>
      <c r="I711" s="3" t="s">
        <v>114</v>
      </c>
      <c r="J711" s="3">
        <v>329</v>
      </c>
      <c r="K711" s="2" t="s">
        <v>3922</v>
      </c>
      <c r="L711" s="4">
        <v>46009</v>
      </c>
      <c r="M711" s="4">
        <v>45983</v>
      </c>
      <c r="N711" s="2" t="s">
        <v>2274</v>
      </c>
      <c r="O711" s="2" t="s">
        <v>1805</v>
      </c>
      <c r="P711" s="2" t="s">
        <v>2404</v>
      </c>
      <c r="Q711" s="2" t="s">
        <v>1806</v>
      </c>
      <c r="R711" s="2" t="s">
        <v>1383</v>
      </c>
      <c r="S711" s="4">
        <v>45798</v>
      </c>
      <c r="T711" s="2" t="s">
        <v>3902</v>
      </c>
      <c r="U711" s="2" t="s">
        <v>3868</v>
      </c>
      <c r="V711" s="2" t="s">
        <v>3914</v>
      </c>
      <c r="W711" s="2" t="s">
        <v>1806</v>
      </c>
      <c r="X711" s="2" t="s">
        <v>117</v>
      </c>
      <c r="Y711" s="3" t="s">
        <v>118</v>
      </c>
      <c r="Z711" s="3">
        <v>184.42</v>
      </c>
      <c r="AA711" s="2" t="s">
        <v>90</v>
      </c>
      <c r="AB711" s="2" t="s">
        <v>1383</v>
      </c>
      <c r="AC711" s="2" t="s">
        <v>2078</v>
      </c>
      <c r="AD711" t="str" cm="1">
        <f t="array" ref="AD711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711" s="2" t="s">
        <v>91</v>
      </c>
      <c r="AF711" s="2" t="s">
        <v>92</v>
      </c>
      <c r="AG711" s="2" t="s">
        <v>119</v>
      </c>
      <c r="AH711" s="2" t="s">
        <v>120</v>
      </c>
      <c r="AJ711" s="2" t="s">
        <v>122</v>
      </c>
      <c r="AK711" s="2" t="s">
        <v>3923</v>
      </c>
      <c r="AN711" s="3">
        <v>1</v>
      </c>
      <c r="AO711" s="3">
        <v>0</v>
      </c>
      <c r="AP711" s="3">
        <v>1</v>
      </c>
      <c r="AQ711" s="3">
        <v>1</v>
      </c>
      <c r="AR711" s="3">
        <v>1</v>
      </c>
      <c r="AS711" s="3">
        <v>0</v>
      </c>
      <c r="AT711" s="3">
        <v>0</v>
      </c>
      <c r="AU711" s="3">
        <v>0</v>
      </c>
      <c r="AV711" s="3">
        <v>1</v>
      </c>
      <c r="AW711" s="3">
        <v>0</v>
      </c>
      <c r="AX711" s="3">
        <v>1</v>
      </c>
      <c r="AY711" s="3">
        <v>0</v>
      </c>
      <c r="AZ711" s="3">
        <v>0</v>
      </c>
      <c r="BA711" s="3">
        <v>1</v>
      </c>
      <c r="BB711" s="3">
        <v>0</v>
      </c>
      <c r="BC711" s="3">
        <v>0</v>
      </c>
      <c r="BD711" s="3">
        <v>5</v>
      </c>
      <c r="BE711" s="3">
        <v>0</v>
      </c>
      <c r="BG711" s="2" t="s">
        <v>91</v>
      </c>
      <c r="BH711" s="3">
        <v>3</v>
      </c>
      <c r="BJ711" s="2" t="s">
        <v>96</v>
      </c>
      <c r="BL711" s="2" t="s">
        <v>123</v>
      </c>
      <c r="BM711" s="2" t="s">
        <v>123</v>
      </c>
      <c r="BN711" s="2" t="s">
        <v>124</v>
      </c>
      <c r="BO711" s="2" t="s">
        <v>125</v>
      </c>
      <c r="BP711" s="2" t="s">
        <v>242</v>
      </c>
      <c r="BQ711" s="2" t="s">
        <v>124</v>
      </c>
      <c r="BR711" s="2" t="s">
        <v>126</v>
      </c>
      <c r="BS711" s="2" t="s">
        <v>127</v>
      </c>
      <c r="BT711" s="2" t="s">
        <v>199</v>
      </c>
      <c r="BU711" s="2" t="s">
        <v>200</v>
      </c>
      <c r="BV711" s="2" t="s">
        <v>166</v>
      </c>
      <c r="BW711" s="2" t="s">
        <v>167</v>
      </c>
      <c r="BX711" s="2" t="s">
        <v>91</v>
      </c>
      <c r="BY711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1</v>
      </c>
      <c r="BZ711" s="2">
        <f>IF(AND(Cases[[#This Row],[Priority Level]]&gt;=3,Cases[[#This Row],[System Role]]&lt;&gt;"Productive"),1,0)</f>
        <v>1</v>
      </c>
      <c r="CA711" s="2">
        <f>IFERROR(IF(Cases[[#This Row],[Days at Customer]]&gt;MAX(1,Cases[[#This Row],[Days at SAP]]*2),1,0),0)</f>
        <v>0</v>
      </c>
      <c r="CB711" s="2">
        <f>IF(AND(Cases[[#This Row],[Initial Component]]&lt;&gt;"",Cases[[#This Row],[Component]]&lt;&gt;"",Cases[[#This Row],[Initial Component]]&lt;&gt;Cases[[#This Row],[Component]]),1,0)</f>
        <v>0</v>
      </c>
      <c r="CC711" s="2">
        <f>IF(OR(Cases[[#This Row],[Is Reopened]]="X",Cases[[#This Row],[No. of Reopenings]]&gt;0),1,0)</f>
        <v>1</v>
      </c>
      <c r="CD711" s="2">
        <f>IF(Cases[[#This Row],[Confirmation Type]]="Automatic",1,0)</f>
        <v>1</v>
      </c>
      <c r="CE711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712" spans="1:83" x14ac:dyDescent="0.2">
      <c r="A712" s="1" t="s">
        <v>3924</v>
      </c>
      <c r="B712" s="2" t="s">
        <v>3925</v>
      </c>
      <c r="C712" s="2" t="s">
        <v>2908</v>
      </c>
      <c r="D712" s="2" t="s">
        <v>238</v>
      </c>
      <c r="E712" s="3">
        <v>72.760000000000005</v>
      </c>
      <c r="F712" s="3">
        <v>161.85</v>
      </c>
      <c r="G712" s="2" t="s">
        <v>133</v>
      </c>
      <c r="H712" s="2" t="s">
        <v>324</v>
      </c>
      <c r="I712" s="3" t="s">
        <v>114</v>
      </c>
      <c r="J712" s="3">
        <v>334</v>
      </c>
      <c r="K712" s="2" t="s">
        <v>3926</v>
      </c>
      <c r="L712" s="4">
        <v>46033</v>
      </c>
      <c r="M712" s="4">
        <v>46028</v>
      </c>
      <c r="N712" s="2" t="s">
        <v>1334</v>
      </c>
      <c r="O712" s="2" t="s">
        <v>181</v>
      </c>
      <c r="P712" s="2" t="s">
        <v>677</v>
      </c>
      <c r="Q712" s="2" t="s">
        <v>86</v>
      </c>
      <c r="R712" s="2" t="s">
        <v>2910</v>
      </c>
      <c r="S712" s="4">
        <v>45793</v>
      </c>
      <c r="T712" s="2" t="s">
        <v>3902</v>
      </c>
      <c r="U712" s="2" t="s">
        <v>3868</v>
      </c>
      <c r="V712" s="2" t="s">
        <v>3927</v>
      </c>
      <c r="W712" s="2" t="s">
        <v>1806</v>
      </c>
      <c r="X712" s="2" t="s">
        <v>117</v>
      </c>
      <c r="Y712" s="3" t="s">
        <v>118</v>
      </c>
      <c r="Z712" s="3">
        <v>234.62</v>
      </c>
      <c r="AA712" s="2" t="s">
        <v>90</v>
      </c>
      <c r="AB712" s="2" t="s">
        <v>1647</v>
      </c>
      <c r="AC712" s="2" t="s">
        <v>1645</v>
      </c>
      <c r="AD712" t="str" cm="1">
        <f t="array" ref="AD712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712" s="2" t="s">
        <v>91</v>
      </c>
      <c r="AF712" s="2" t="s">
        <v>92</v>
      </c>
      <c r="AG712" s="2" t="s">
        <v>119</v>
      </c>
      <c r="AH712" s="2" t="s">
        <v>120</v>
      </c>
      <c r="AJ712" s="2" t="s">
        <v>122</v>
      </c>
      <c r="AK712" s="2" t="s">
        <v>3928</v>
      </c>
      <c r="AN712" s="3">
        <v>1</v>
      </c>
      <c r="AO712" s="3">
        <v>0</v>
      </c>
      <c r="AP712" s="3">
        <v>1</v>
      </c>
      <c r="AQ712" s="3">
        <v>1</v>
      </c>
      <c r="AR712" s="3">
        <v>1</v>
      </c>
      <c r="AS712" s="3">
        <v>0</v>
      </c>
      <c r="AT712" s="3">
        <v>0</v>
      </c>
      <c r="AU712" s="3">
        <v>0</v>
      </c>
      <c r="AV712" s="3">
        <v>1</v>
      </c>
      <c r="AW712" s="3">
        <v>0</v>
      </c>
      <c r="AX712" s="3">
        <v>1</v>
      </c>
      <c r="AY712" s="3">
        <v>0</v>
      </c>
      <c r="AZ712" s="3">
        <v>0</v>
      </c>
      <c r="BA712" s="3">
        <v>0</v>
      </c>
      <c r="BB712" s="3">
        <v>0</v>
      </c>
      <c r="BC712" s="3">
        <v>1</v>
      </c>
      <c r="BD712" s="3">
        <v>1</v>
      </c>
      <c r="BE712" s="3">
        <v>0</v>
      </c>
      <c r="BG712" s="2" t="s">
        <v>91</v>
      </c>
      <c r="BH712" s="3">
        <v>3</v>
      </c>
      <c r="BJ712" s="2" t="s">
        <v>96</v>
      </c>
      <c r="BL712" s="2" t="s">
        <v>123</v>
      </c>
      <c r="BM712" s="2" t="s">
        <v>123</v>
      </c>
      <c r="BN712" s="2" t="s">
        <v>124</v>
      </c>
      <c r="BO712" s="2" t="s">
        <v>125</v>
      </c>
      <c r="BP712" s="2" t="s">
        <v>242</v>
      </c>
      <c r="BQ712" s="2" t="s">
        <v>124</v>
      </c>
      <c r="BR712" s="2" t="s">
        <v>126</v>
      </c>
      <c r="BS712" s="2" t="s">
        <v>127</v>
      </c>
      <c r="BT712" s="2" t="s">
        <v>174</v>
      </c>
      <c r="BU712" s="2" t="s">
        <v>175</v>
      </c>
      <c r="BV712" s="2" t="s">
        <v>150</v>
      </c>
      <c r="BW712" s="2" t="s">
        <v>151</v>
      </c>
      <c r="BX712" s="2" t="s">
        <v>91</v>
      </c>
      <c r="BY712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712" s="2">
        <f>IF(AND(Cases[[#This Row],[Priority Level]]&gt;=3,Cases[[#This Row],[System Role]]&lt;&gt;"Productive"),1,0)</f>
        <v>0</v>
      </c>
      <c r="CA712" s="2">
        <f>IFERROR(IF(Cases[[#This Row],[Days at Customer]]&gt;MAX(1,Cases[[#This Row],[Days at SAP]]*2),1,0),0)</f>
        <v>1</v>
      </c>
      <c r="CB712" s="2">
        <f>IF(AND(Cases[[#This Row],[Initial Component]]&lt;&gt;"",Cases[[#This Row],[Component]]&lt;&gt;"",Cases[[#This Row],[Initial Component]]&lt;&gt;Cases[[#This Row],[Component]]),1,0)</f>
        <v>1</v>
      </c>
      <c r="CC712" s="2">
        <f>IF(OR(Cases[[#This Row],[Is Reopened]]="X",Cases[[#This Row],[No. of Reopenings]]&gt;0),1,0)</f>
        <v>1</v>
      </c>
      <c r="CD712" s="2">
        <f>IF(Cases[[#This Row],[Confirmation Type]]="Automatic",1,0)</f>
        <v>1</v>
      </c>
      <c r="CE712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713" spans="1:83" x14ac:dyDescent="0.2">
      <c r="A713" s="1" t="s">
        <v>3929</v>
      </c>
      <c r="B713" s="2" t="s">
        <v>3930</v>
      </c>
      <c r="C713" s="2" t="s">
        <v>1556</v>
      </c>
      <c r="D713" s="2" t="s">
        <v>238</v>
      </c>
      <c r="E713" s="3">
        <v>86.97</v>
      </c>
      <c r="F713" s="3">
        <v>63.54</v>
      </c>
      <c r="G713" s="2" t="s">
        <v>79</v>
      </c>
      <c r="H713" s="2" t="s">
        <v>732</v>
      </c>
      <c r="I713" s="3" t="s">
        <v>114</v>
      </c>
      <c r="J713" s="3">
        <v>334</v>
      </c>
      <c r="K713" s="2" t="s">
        <v>3931</v>
      </c>
      <c r="L713" s="4">
        <v>46040</v>
      </c>
      <c r="M713" s="4">
        <v>45943</v>
      </c>
      <c r="N713" s="2" t="s">
        <v>2727</v>
      </c>
      <c r="O713" s="2" t="s">
        <v>1805</v>
      </c>
      <c r="P713" s="2" t="s">
        <v>2936</v>
      </c>
      <c r="Q713" s="2" t="s">
        <v>1806</v>
      </c>
      <c r="R713" s="2" t="s">
        <v>1555</v>
      </c>
      <c r="S713" s="4">
        <v>45793</v>
      </c>
      <c r="T713" s="2" t="s">
        <v>3902</v>
      </c>
      <c r="U713" s="2" t="s">
        <v>3868</v>
      </c>
      <c r="V713" s="2" t="s">
        <v>3927</v>
      </c>
      <c r="W713" s="2" t="s">
        <v>1806</v>
      </c>
      <c r="X713" s="2" t="s">
        <v>117</v>
      </c>
      <c r="Y713" s="3" t="s">
        <v>118</v>
      </c>
      <c r="Z713" s="3">
        <v>150.51</v>
      </c>
      <c r="AA713" s="2" t="s">
        <v>90</v>
      </c>
      <c r="AB713" s="2" t="s">
        <v>3932</v>
      </c>
      <c r="AC713" s="2" t="s">
        <v>3933</v>
      </c>
      <c r="AD713" t="str" cm="1">
        <f t="array" ref="AD713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713" s="2" t="s">
        <v>91</v>
      </c>
      <c r="AF713" s="2" t="s">
        <v>92</v>
      </c>
      <c r="AG713" s="2" t="s">
        <v>119</v>
      </c>
      <c r="AH713" s="2" t="s">
        <v>120</v>
      </c>
      <c r="AJ713" s="2" t="s">
        <v>122</v>
      </c>
      <c r="AK713" s="2" t="s">
        <v>3934</v>
      </c>
      <c r="AN713" s="3">
        <v>1</v>
      </c>
      <c r="AO713" s="3">
        <v>0</v>
      </c>
      <c r="AP713" s="3">
        <v>1</v>
      </c>
      <c r="AQ713" s="3">
        <v>1</v>
      </c>
      <c r="AR713" s="3">
        <v>1</v>
      </c>
      <c r="AS713" s="3">
        <v>0</v>
      </c>
      <c r="AT713" s="3">
        <v>0</v>
      </c>
      <c r="AU713" s="3">
        <v>0</v>
      </c>
      <c r="AV713" s="3">
        <v>1</v>
      </c>
      <c r="AW713" s="3">
        <v>0</v>
      </c>
      <c r="AX713" s="3">
        <v>1</v>
      </c>
      <c r="AY713" s="3">
        <v>0</v>
      </c>
      <c r="AZ713" s="3">
        <v>0</v>
      </c>
      <c r="BA713" s="3">
        <v>1</v>
      </c>
      <c r="BB713" s="3">
        <v>0</v>
      </c>
      <c r="BC713" s="3">
        <v>0</v>
      </c>
      <c r="BD713" s="3">
        <v>1</v>
      </c>
      <c r="BE713" s="3">
        <v>0</v>
      </c>
      <c r="BG713" s="2" t="s">
        <v>91</v>
      </c>
      <c r="BH713" s="3">
        <v>3</v>
      </c>
      <c r="BJ713" s="2" t="s">
        <v>96</v>
      </c>
      <c r="BL713" s="2" t="s">
        <v>123</v>
      </c>
      <c r="BM713" s="2" t="s">
        <v>123</v>
      </c>
      <c r="BN713" s="2" t="s">
        <v>124</v>
      </c>
      <c r="BO713" s="2" t="s">
        <v>125</v>
      </c>
      <c r="BP713" s="2" t="s">
        <v>242</v>
      </c>
      <c r="BQ713" s="2" t="s">
        <v>124</v>
      </c>
      <c r="BR713" s="2" t="s">
        <v>126</v>
      </c>
      <c r="BS713" s="2" t="s">
        <v>127</v>
      </c>
      <c r="BT713" s="2" t="s">
        <v>1395</v>
      </c>
      <c r="BU713" s="2" t="s">
        <v>1396</v>
      </c>
      <c r="BV713" s="2" t="s">
        <v>107</v>
      </c>
      <c r="BW713" s="2" t="s">
        <v>108</v>
      </c>
      <c r="BX713" s="2" t="s">
        <v>182</v>
      </c>
      <c r="BY713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713" s="2">
        <f>IF(AND(Cases[[#This Row],[Priority Level]]&gt;=3,Cases[[#This Row],[System Role]]&lt;&gt;"Productive"),1,0)</f>
        <v>1</v>
      </c>
      <c r="CA713" s="2">
        <f>IFERROR(IF(Cases[[#This Row],[Days at Customer]]&gt;MAX(1,Cases[[#This Row],[Days at SAP]]*2),1,0),0)</f>
        <v>0</v>
      </c>
      <c r="CB713" s="2">
        <f>IF(AND(Cases[[#This Row],[Initial Component]]&lt;&gt;"",Cases[[#This Row],[Component]]&lt;&gt;"",Cases[[#This Row],[Initial Component]]&lt;&gt;Cases[[#This Row],[Component]]),1,0)</f>
        <v>1</v>
      </c>
      <c r="CC713" s="2">
        <f>IF(OR(Cases[[#This Row],[Is Reopened]]="X",Cases[[#This Row],[No. of Reopenings]]&gt;0),1,0)</f>
        <v>1</v>
      </c>
      <c r="CD713" s="2">
        <f>IF(Cases[[#This Row],[Confirmation Type]]="Automatic",1,0)</f>
        <v>1</v>
      </c>
      <c r="CE713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714" spans="1:83" x14ac:dyDescent="0.2">
      <c r="A714" s="1" t="s">
        <v>719</v>
      </c>
      <c r="B714" s="2" t="s">
        <v>720</v>
      </c>
      <c r="C714" s="2" t="s">
        <v>111</v>
      </c>
      <c r="D714" s="2" t="s">
        <v>238</v>
      </c>
      <c r="E714" s="3">
        <v>0</v>
      </c>
      <c r="F714" s="3">
        <v>40.1</v>
      </c>
      <c r="G714" s="2" t="s">
        <v>112</v>
      </c>
      <c r="H714" s="2" t="s">
        <v>113</v>
      </c>
      <c r="I714" s="3" t="s">
        <v>114</v>
      </c>
      <c r="J714" s="3">
        <v>48</v>
      </c>
      <c r="K714" s="2" t="s">
        <v>721</v>
      </c>
      <c r="L714" s="4">
        <v>46127</v>
      </c>
      <c r="M714" s="4">
        <v>46127</v>
      </c>
      <c r="N714" s="2" t="s">
        <v>83</v>
      </c>
      <c r="O714" s="2" t="s">
        <v>84</v>
      </c>
      <c r="P714" s="2" t="s">
        <v>193</v>
      </c>
      <c r="Q714" s="2" t="s">
        <v>86</v>
      </c>
      <c r="R714" s="2" t="s">
        <v>116</v>
      </c>
      <c r="S714" s="4">
        <v>46079</v>
      </c>
      <c r="T714" s="2" t="s">
        <v>677</v>
      </c>
      <c r="U714" s="2" t="s">
        <v>181</v>
      </c>
      <c r="V714" s="2" t="s">
        <v>678</v>
      </c>
      <c r="W714" s="2" t="s">
        <v>86</v>
      </c>
      <c r="X714" s="2" t="s">
        <v>117</v>
      </c>
      <c r="Y714" s="3" t="s">
        <v>118</v>
      </c>
      <c r="Z714" s="3">
        <v>40.1</v>
      </c>
      <c r="AA714" s="2" t="s">
        <v>90</v>
      </c>
      <c r="AB714" s="2" t="s">
        <v>116</v>
      </c>
      <c r="AC714" s="2" t="s">
        <v>111</v>
      </c>
      <c r="AD714" t="str" cm="1">
        <f t="array" ref="AD714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PTP + OpenText</v>
      </c>
      <c r="AE714" s="2" t="s">
        <v>91</v>
      </c>
      <c r="AF714" s="2" t="s">
        <v>92</v>
      </c>
      <c r="AG714" s="2" t="s">
        <v>119</v>
      </c>
      <c r="AH714" s="2" t="s">
        <v>120</v>
      </c>
      <c r="AK714" s="2" t="s">
        <v>722</v>
      </c>
      <c r="AN714" s="3">
        <v>1</v>
      </c>
      <c r="AO714" s="3">
        <v>1</v>
      </c>
      <c r="AP714" s="3">
        <v>1</v>
      </c>
      <c r="AQ714" s="3">
        <v>1</v>
      </c>
      <c r="AR714" s="3">
        <v>1</v>
      </c>
      <c r="AS714" s="3">
        <v>0</v>
      </c>
      <c r="AT714" s="3">
        <v>0</v>
      </c>
      <c r="AU714" s="3">
        <v>0</v>
      </c>
      <c r="AV714" s="3">
        <v>1</v>
      </c>
      <c r="AW714" s="3">
        <v>0</v>
      </c>
      <c r="AX714" s="3">
        <v>1</v>
      </c>
      <c r="AY714" s="3">
        <v>0</v>
      </c>
      <c r="AZ714" s="3">
        <v>0</v>
      </c>
      <c r="BA714" s="3">
        <v>0</v>
      </c>
      <c r="BB714" s="3">
        <v>0</v>
      </c>
      <c r="BC714" s="3">
        <v>1</v>
      </c>
      <c r="BD714" s="3">
        <v>0</v>
      </c>
      <c r="BE714" s="3">
        <v>0</v>
      </c>
      <c r="BG714" s="2" t="s">
        <v>91</v>
      </c>
      <c r="BH714" s="3">
        <v>3</v>
      </c>
      <c r="BI714" s="2" t="s">
        <v>122</v>
      </c>
      <c r="BJ714" s="2" t="s">
        <v>96</v>
      </c>
      <c r="BL714" s="2" t="s">
        <v>123</v>
      </c>
      <c r="BM714" s="2" t="s">
        <v>123</v>
      </c>
      <c r="BN714" s="2" t="s">
        <v>124</v>
      </c>
      <c r="BO714" s="2" t="s">
        <v>125</v>
      </c>
      <c r="BP714" s="2" t="s">
        <v>242</v>
      </c>
      <c r="BQ714" s="2" t="s">
        <v>124</v>
      </c>
      <c r="BR714" s="2" t="s">
        <v>126</v>
      </c>
      <c r="BS714" s="2" t="s">
        <v>127</v>
      </c>
      <c r="BT714" s="2" t="s">
        <v>207</v>
      </c>
      <c r="BU714" s="2" t="s">
        <v>208</v>
      </c>
      <c r="BV714" s="2" t="s">
        <v>150</v>
      </c>
      <c r="BW714" s="2" t="s">
        <v>151</v>
      </c>
      <c r="BX714" s="2" t="s">
        <v>91</v>
      </c>
      <c r="BY714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714" s="2">
        <f>IF(AND(Cases[[#This Row],[Priority Level]]&gt;=3,Cases[[#This Row],[System Role]]&lt;&gt;"Productive"),1,0)</f>
        <v>0</v>
      </c>
      <c r="CA714" s="2">
        <f>IFERROR(IF(Cases[[#This Row],[Days at Customer]]&gt;MAX(1,Cases[[#This Row],[Days at SAP]]*2),1,0),0)</f>
        <v>1</v>
      </c>
      <c r="CB714" s="2">
        <f>IF(AND(Cases[[#This Row],[Initial Component]]&lt;&gt;"",Cases[[#This Row],[Component]]&lt;&gt;"",Cases[[#This Row],[Initial Component]]&lt;&gt;Cases[[#This Row],[Component]]),1,0)</f>
        <v>0</v>
      </c>
      <c r="CC714" s="2">
        <f>IF(OR(Cases[[#This Row],[Is Reopened]]="X",Cases[[#This Row],[No. of Reopenings]]&gt;0),1,0)</f>
        <v>0</v>
      </c>
      <c r="CD714" s="2">
        <f>IF(Cases[[#This Row],[Confirmation Type]]="Automatic",1,0)</f>
        <v>1</v>
      </c>
      <c r="CE714" s="2">
        <f>Cases[[#This Row],[Flag_HowToOrConsulting]]+Cases[[#This Row],[Flag_PriorityInflation]]+Cases[[#This Row],[Flag_CustomerDelay]]+Cases[[#This Row],[Flag_ComponentMismatch]]+Cases[[#This Row],[Flag_Reopened]]</f>
        <v>1</v>
      </c>
    </row>
    <row r="715" spans="1:83" x14ac:dyDescent="0.2">
      <c r="A715" s="1" t="s">
        <v>3941</v>
      </c>
      <c r="B715" s="2" t="s">
        <v>3942</v>
      </c>
      <c r="C715" s="2" t="s">
        <v>2908</v>
      </c>
      <c r="D715" s="2" t="s">
        <v>78</v>
      </c>
      <c r="E715" s="3">
        <v>54.09</v>
      </c>
      <c r="F715" s="3">
        <v>128.24</v>
      </c>
      <c r="G715" s="2" t="s">
        <v>725</v>
      </c>
      <c r="H715" s="2" t="s">
        <v>3943</v>
      </c>
      <c r="I715" s="3" t="s">
        <v>114</v>
      </c>
      <c r="J715" s="3">
        <v>363</v>
      </c>
      <c r="K715" s="2" t="s">
        <v>3944</v>
      </c>
      <c r="L715" s="4">
        <v>46040</v>
      </c>
      <c r="M715" s="4">
        <v>45946</v>
      </c>
      <c r="N715" s="2" t="s">
        <v>2727</v>
      </c>
      <c r="O715" s="2" t="s">
        <v>1805</v>
      </c>
      <c r="P715" s="2" t="s">
        <v>2936</v>
      </c>
      <c r="Q715" s="2" t="s">
        <v>1806</v>
      </c>
      <c r="R715" s="2" t="s">
        <v>2910</v>
      </c>
      <c r="S715" s="4">
        <v>45764</v>
      </c>
      <c r="T715" s="2" t="s">
        <v>3945</v>
      </c>
      <c r="U715" s="2" t="s">
        <v>3868</v>
      </c>
      <c r="V715" s="2" t="s">
        <v>3946</v>
      </c>
      <c r="W715" s="2" t="s">
        <v>1806</v>
      </c>
      <c r="X715" s="2" t="s">
        <v>117</v>
      </c>
      <c r="Y715" s="3" t="s">
        <v>118</v>
      </c>
      <c r="Z715" s="3">
        <v>182.32</v>
      </c>
      <c r="AA715" s="2" t="s">
        <v>90</v>
      </c>
      <c r="AB715" s="2" t="s">
        <v>1555</v>
      </c>
      <c r="AC715" s="2" t="s">
        <v>1556</v>
      </c>
      <c r="AD715" t="str" cm="1">
        <f t="array" ref="AD715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715" s="2" t="s">
        <v>91</v>
      </c>
      <c r="AF715" s="2" t="s">
        <v>92</v>
      </c>
      <c r="AG715" s="2" t="s">
        <v>119</v>
      </c>
      <c r="AH715" s="2" t="s">
        <v>120</v>
      </c>
      <c r="AJ715" s="2" t="s">
        <v>122</v>
      </c>
      <c r="AK715" s="2" t="s">
        <v>3947</v>
      </c>
      <c r="AN715" s="3">
        <v>1</v>
      </c>
      <c r="AO715" s="3">
        <v>0</v>
      </c>
      <c r="AP715" s="3">
        <v>1</v>
      </c>
      <c r="AQ715" s="3">
        <v>1</v>
      </c>
      <c r="AR715" s="3">
        <v>1</v>
      </c>
      <c r="AS715" s="3">
        <v>0</v>
      </c>
      <c r="AT715" s="3">
        <v>0</v>
      </c>
      <c r="AU715" s="3">
        <v>0</v>
      </c>
      <c r="AV715" s="3">
        <v>0</v>
      </c>
      <c r="AW715" s="3">
        <v>1</v>
      </c>
      <c r="AX715" s="3">
        <v>1</v>
      </c>
      <c r="AY715" s="3">
        <v>0</v>
      </c>
      <c r="AZ715" s="3">
        <v>0</v>
      </c>
      <c r="BA715" s="3">
        <v>0</v>
      </c>
      <c r="BB715" s="3">
        <v>0</v>
      </c>
      <c r="BC715" s="3">
        <v>1</v>
      </c>
      <c r="BD715" s="3">
        <v>3</v>
      </c>
      <c r="BE715" s="3">
        <v>0</v>
      </c>
      <c r="BG715" s="2" t="s">
        <v>91</v>
      </c>
      <c r="BH715" s="3">
        <v>3</v>
      </c>
      <c r="BJ715" s="2" t="s">
        <v>96</v>
      </c>
      <c r="BL715" s="2" t="s">
        <v>123</v>
      </c>
      <c r="BM715" s="2" t="s">
        <v>123</v>
      </c>
      <c r="BN715" s="2" t="s">
        <v>124</v>
      </c>
      <c r="BO715" s="2" t="s">
        <v>125</v>
      </c>
      <c r="BP715" s="2" t="s">
        <v>101</v>
      </c>
      <c r="BQ715" s="2" t="s">
        <v>124</v>
      </c>
      <c r="BR715" s="2" t="s">
        <v>126</v>
      </c>
      <c r="BS715" s="2" t="s">
        <v>127</v>
      </c>
      <c r="BT715" s="2" t="s">
        <v>174</v>
      </c>
      <c r="BU715" s="2" t="s">
        <v>175</v>
      </c>
      <c r="BV715" s="2" t="s">
        <v>150</v>
      </c>
      <c r="BW715" s="2" t="s">
        <v>151</v>
      </c>
      <c r="BX715" s="2" t="s">
        <v>91</v>
      </c>
      <c r="BY715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715" s="2">
        <f>IF(AND(Cases[[#This Row],[Priority Level]]&gt;=3,Cases[[#This Row],[System Role]]&lt;&gt;"Productive"),1,0)</f>
        <v>0</v>
      </c>
      <c r="CA715" s="2">
        <f>IFERROR(IF(Cases[[#This Row],[Days at Customer]]&gt;MAX(1,Cases[[#This Row],[Days at SAP]]*2),1,0),0)</f>
        <v>1</v>
      </c>
      <c r="CB715" s="2">
        <f>IF(AND(Cases[[#This Row],[Initial Component]]&lt;&gt;"",Cases[[#This Row],[Component]]&lt;&gt;"",Cases[[#This Row],[Initial Component]]&lt;&gt;Cases[[#This Row],[Component]]),1,0)</f>
        <v>1</v>
      </c>
      <c r="CC715" s="2">
        <f>IF(OR(Cases[[#This Row],[Is Reopened]]="X",Cases[[#This Row],[No. of Reopenings]]&gt;0),1,0)</f>
        <v>1</v>
      </c>
      <c r="CD715" s="2">
        <f>IF(Cases[[#This Row],[Confirmation Type]]="Automatic",1,0)</f>
        <v>0</v>
      </c>
      <c r="CE715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716" spans="1:83" x14ac:dyDescent="0.2">
      <c r="A716" s="1" t="s">
        <v>3948</v>
      </c>
      <c r="B716" s="2" t="s">
        <v>3949</v>
      </c>
      <c r="C716" s="2" t="s">
        <v>665</v>
      </c>
      <c r="D716" s="2" t="s">
        <v>238</v>
      </c>
      <c r="E716" s="3">
        <v>70.819999999999993</v>
      </c>
      <c r="F716" s="3">
        <v>186.68</v>
      </c>
      <c r="G716" s="2" t="s">
        <v>112</v>
      </c>
      <c r="H716" s="2" t="s">
        <v>113</v>
      </c>
      <c r="I716" s="3" t="s">
        <v>114</v>
      </c>
      <c r="J716" s="3">
        <v>364</v>
      </c>
      <c r="K716" s="2" t="s">
        <v>3950</v>
      </c>
      <c r="L716" s="4">
        <v>46026</v>
      </c>
      <c r="M716" s="4">
        <v>46021</v>
      </c>
      <c r="N716" s="2" t="s">
        <v>1804</v>
      </c>
      <c r="O716" s="2" t="s">
        <v>1805</v>
      </c>
      <c r="P716" s="2" t="s">
        <v>1334</v>
      </c>
      <c r="Q716" s="2" t="s">
        <v>1806</v>
      </c>
      <c r="R716" s="2" t="s">
        <v>668</v>
      </c>
      <c r="S716" s="4">
        <v>45763</v>
      </c>
      <c r="T716" s="2" t="s">
        <v>3945</v>
      </c>
      <c r="U716" s="2" t="s">
        <v>3868</v>
      </c>
      <c r="V716" s="2" t="s">
        <v>3946</v>
      </c>
      <c r="W716" s="2" t="s">
        <v>1806</v>
      </c>
      <c r="X716" s="2" t="s">
        <v>117</v>
      </c>
      <c r="Y716" s="3" t="s">
        <v>118</v>
      </c>
      <c r="Z716" s="3">
        <v>257.5</v>
      </c>
      <c r="AA716" s="2" t="s">
        <v>90</v>
      </c>
      <c r="AB716" s="2" t="s">
        <v>1448</v>
      </c>
      <c r="AC716" s="2" t="s">
        <v>1449</v>
      </c>
      <c r="AD716" t="str" cm="1">
        <f t="array" ref="AD716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Basis</v>
      </c>
      <c r="AE716" s="2" t="s">
        <v>91</v>
      </c>
      <c r="AF716" s="2" t="s">
        <v>92</v>
      </c>
      <c r="AG716" s="2" t="s">
        <v>119</v>
      </c>
      <c r="AH716" s="2" t="s">
        <v>120</v>
      </c>
      <c r="AJ716" s="2" t="s">
        <v>122</v>
      </c>
      <c r="AK716" s="2" t="s">
        <v>3951</v>
      </c>
      <c r="AN716" s="3">
        <v>1</v>
      </c>
      <c r="AO716" s="3">
        <v>0</v>
      </c>
      <c r="AP716" s="3">
        <v>1</v>
      </c>
      <c r="AQ716" s="3">
        <v>1</v>
      </c>
      <c r="AR716" s="3">
        <v>0</v>
      </c>
      <c r="AS716" s="3">
        <v>1</v>
      </c>
      <c r="AT716" s="3">
        <v>0</v>
      </c>
      <c r="AU716" s="3">
        <v>0</v>
      </c>
      <c r="AV716" s="3">
        <v>1</v>
      </c>
      <c r="AW716" s="3">
        <v>0</v>
      </c>
      <c r="AX716" s="3">
        <v>0</v>
      </c>
      <c r="AY716" s="3">
        <v>1</v>
      </c>
      <c r="AZ716" s="3">
        <v>0</v>
      </c>
      <c r="BA716" s="3">
        <v>1</v>
      </c>
      <c r="BB716" s="3">
        <v>0</v>
      </c>
      <c r="BC716" s="3">
        <v>0</v>
      </c>
      <c r="BD716" s="3">
        <v>2</v>
      </c>
      <c r="BE716" s="3">
        <v>0</v>
      </c>
      <c r="BG716" s="2" t="s">
        <v>158</v>
      </c>
      <c r="BH716" s="3">
        <v>1</v>
      </c>
      <c r="BJ716" s="2" t="s">
        <v>96</v>
      </c>
      <c r="BL716" s="2" t="s">
        <v>123</v>
      </c>
      <c r="BM716" s="2" t="s">
        <v>123</v>
      </c>
      <c r="BN716" s="2" t="s">
        <v>124</v>
      </c>
      <c r="BO716" s="2" t="s">
        <v>125</v>
      </c>
      <c r="BP716" s="2" t="s">
        <v>242</v>
      </c>
      <c r="BQ716" s="2" t="s">
        <v>124</v>
      </c>
      <c r="BR716" s="2" t="s">
        <v>126</v>
      </c>
      <c r="BS716" s="2" t="s">
        <v>127</v>
      </c>
      <c r="BT716" s="2" t="s">
        <v>1395</v>
      </c>
      <c r="BU716" s="2" t="s">
        <v>1396</v>
      </c>
      <c r="BV716" s="2" t="s">
        <v>107</v>
      </c>
      <c r="BW716" s="2" t="s">
        <v>108</v>
      </c>
      <c r="BX716" s="2" t="s">
        <v>91</v>
      </c>
      <c r="BY716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716" s="2">
        <f>IF(AND(Cases[[#This Row],[Priority Level]]&gt;=3,Cases[[#This Row],[System Role]]&lt;&gt;"Productive"),1,0)</f>
        <v>0</v>
      </c>
      <c r="CA716" s="2">
        <f>IFERROR(IF(Cases[[#This Row],[Days at Customer]]&gt;MAX(1,Cases[[#This Row],[Days at SAP]]*2),1,0),0)</f>
        <v>1</v>
      </c>
      <c r="CB716" s="2">
        <f>IF(AND(Cases[[#This Row],[Initial Component]]&lt;&gt;"",Cases[[#This Row],[Component]]&lt;&gt;"",Cases[[#This Row],[Initial Component]]&lt;&gt;Cases[[#This Row],[Component]]),1,0)</f>
        <v>1</v>
      </c>
      <c r="CC716" s="2">
        <f>IF(OR(Cases[[#This Row],[Is Reopened]]="X",Cases[[#This Row],[No. of Reopenings]]&gt;0),1,0)</f>
        <v>1</v>
      </c>
      <c r="CD716" s="2">
        <f>IF(Cases[[#This Row],[Confirmation Type]]="Automatic",1,0)</f>
        <v>1</v>
      </c>
      <c r="CE716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717" spans="1:83" x14ac:dyDescent="0.2">
      <c r="A717" s="1" t="s">
        <v>3952</v>
      </c>
      <c r="B717" s="2" t="s">
        <v>3953</v>
      </c>
      <c r="C717" s="2" t="s">
        <v>3765</v>
      </c>
      <c r="D717" s="2" t="s">
        <v>238</v>
      </c>
      <c r="E717" s="3">
        <v>142.21</v>
      </c>
      <c r="F717" s="3">
        <v>47.43</v>
      </c>
      <c r="G717" s="2" t="s">
        <v>79</v>
      </c>
      <c r="H717" s="2" t="s">
        <v>80</v>
      </c>
      <c r="I717" s="3" t="s">
        <v>114</v>
      </c>
      <c r="J717" s="3">
        <v>373</v>
      </c>
      <c r="K717" s="2" t="s">
        <v>3954</v>
      </c>
      <c r="L717" s="4">
        <v>46040</v>
      </c>
      <c r="M717" s="4">
        <v>45944</v>
      </c>
      <c r="N717" s="2" t="s">
        <v>2727</v>
      </c>
      <c r="O717" s="2" t="s">
        <v>1805</v>
      </c>
      <c r="P717" s="2" t="s">
        <v>2936</v>
      </c>
      <c r="Q717" s="2" t="s">
        <v>1806</v>
      </c>
      <c r="R717" s="2" t="s">
        <v>3767</v>
      </c>
      <c r="S717" s="4">
        <v>45754</v>
      </c>
      <c r="T717" s="2" t="s">
        <v>3945</v>
      </c>
      <c r="U717" s="2" t="s">
        <v>3868</v>
      </c>
      <c r="V717" s="2" t="s">
        <v>3955</v>
      </c>
      <c r="W717" s="2" t="s">
        <v>1806</v>
      </c>
      <c r="X717" s="2" t="s">
        <v>117</v>
      </c>
      <c r="Y717" s="3" t="s">
        <v>118</v>
      </c>
      <c r="Z717" s="3">
        <v>189.64</v>
      </c>
      <c r="AA717" s="2" t="s">
        <v>138</v>
      </c>
      <c r="AB717" s="2" t="s">
        <v>2853</v>
      </c>
      <c r="AC717" s="2" t="s">
        <v>2854</v>
      </c>
      <c r="AD717" t="str" cm="1">
        <f t="array" ref="AD717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EAM</v>
      </c>
      <c r="AE717" s="2" t="s">
        <v>139</v>
      </c>
      <c r="AF717" s="2" t="s">
        <v>92</v>
      </c>
      <c r="AG717" s="2" t="s">
        <v>274</v>
      </c>
      <c r="AH717" s="2" t="s">
        <v>275</v>
      </c>
      <c r="AJ717" s="2" t="s">
        <v>122</v>
      </c>
      <c r="AK717" s="2" t="s">
        <v>3956</v>
      </c>
      <c r="AN717" s="3">
        <v>1</v>
      </c>
      <c r="AO717" s="3">
        <v>0</v>
      </c>
      <c r="AP717" s="3">
        <v>1</v>
      </c>
      <c r="AQ717" s="3">
        <v>1</v>
      </c>
      <c r="AR717" s="3">
        <v>1</v>
      </c>
      <c r="AS717" s="3">
        <v>0</v>
      </c>
      <c r="AT717" s="3">
        <v>0</v>
      </c>
      <c r="AU717" s="3">
        <v>0</v>
      </c>
      <c r="AV717" s="3">
        <v>1</v>
      </c>
      <c r="AW717" s="3">
        <v>0</v>
      </c>
      <c r="AX717" s="3">
        <v>1</v>
      </c>
      <c r="AY717" s="3">
        <v>0</v>
      </c>
      <c r="AZ717" s="3">
        <v>0</v>
      </c>
      <c r="BA717" s="3">
        <v>0</v>
      </c>
      <c r="BB717" s="3">
        <v>0</v>
      </c>
      <c r="BC717" s="3">
        <v>1</v>
      </c>
      <c r="BD717" s="3">
        <v>3</v>
      </c>
      <c r="BE717" s="3">
        <v>0</v>
      </c>
      <c r="BG717" s="2" t="s">
        <v>91</v>
      </c>
      <c r="BH717" s="3">
        <v>3</v>
      </c>
      <c r="BJ717" s="2" t="s">
        <v>96</v>
      </c>
      <c r="BL717" s="2" t="s">
        <v>931</v>
      </c>
      <c r="BM717" s="2" t="s">
        <v>932</v>
      </c>
      <c r="BN717" s="2" t="s">
        <v>279</v>
      </c>
      <c r="BO717" s="2" t="s">
        <v>280</v>
      </c>
      <c r="BP717" s="2" t="s">
        <v>242</v>
      </c>
      <c r="BQ717" s="2" t="s">
        <v>448</v>
      </c>
      <c r="BR717" s="2" t="s">
        <v>449</v>
      </c>
      <c r="BS717" s="2" t="s">
        <v>450</v>
      </c>
      <c r="BT717" s="2" t="s">
        <v>148</v>
      </c>
      <c r="BU717" s="2" t="s">
        <v>3957</v>
      </c>
      <c r="BV717" s="2" t="s">
        <v>150</v>
      </c>
      <c r="BW717" s="2" t="s">
        <v>151</v>
      </c>
      <c r="BX717" s="2" t="s">
        <v>91</v>
      </c>
      <c r="BY717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717" s="2">
        <f>IF(AND(Cases[[#This Row],[Priority Level]]&gt;=3,Cases[[#This Row],[System Role]]&lt;&gt;"Productive"),1,0)</f>
        <v>0</v>
      </c>
      <c r="CA717" s="2">
        <f>IFERROR(IF(Cases[[#This Row],[Days at Customer]]&gt;MAX(1,Cases[[#This Row],[Days at SAP]]*2),1,0),0)</f>
        <v>0</v>
      </c>
      <c r="CB717" s="2">
        <f>IF(AND(Cases[[#This Row],[Initial Component]]&lt;&gt;"",Cases[[#This Row],[Component]]&lt;&gt;"",Cases[[#This Row],[Initial Component]]&lt;&gt;Cases[[#This Row],[Component]]),1,0)</f>
        <v>1</v>
      </c>
      <c r="CC717" s="2">
        <f>IF(OR(Cases[[#This Row],[Is Reopened]]="X",Cases[[#This Row],[No. of Reopenings]]&gt;0),1,0)</f>
        <v>1</v>
      </c>
      <c r="CD717" s="2">
        <f>IF(Cases[[#This Row],[Confirmation Type]]="Automatic",1,0)</f>
        <v>1</v>
      </c>
      <c r="CE717" s="2">
        <f>Cases[[#This Row],[Flag_HowToOrConsulting]]+Cases[[#This Row],[Flag_PriorityInflation]]+Cases[[#This Row],[Flag_CustomerDelay]]+Cases[[#This Row],[Flag_ComponentMismatch]]+Cases[[#This Row],[Flag_Reopened]]</f>
        <v>2</v>
      </c>
    </row>
    <row r="718" spans="1:83" x14ac:dyDescent="0.2">
      <c r="A718" s="1" t="s">
        <v>3958</v>
      </c>
      <c r="B718" s="2" t="s">
        <v>3959</v>
      </c>
      <c r="C718" s="2" t="s">
        <v>2908</v>
      </c>
      <c r="D718" s="2" t="s">
        <v>238</v>
      </c>
      <c r="E718" s="3">
        <v>55.96</v>
      </c>
      <c r="F718" s="3">
        <v>175.64</v>
      </c>
      <c r="G718" s="2" t="s">
        <v>190</v>
      </c>
      <c r="H718" s="2" t="s">
        <v>1205</v>
      </c>
      <c r="I718" s="3" t="s">
        <v>114</v>
      </c>
      <c r="J718" s="3">
        <v>415</v>
      </c>
      <c r="K718" s="2" t="s">
        <v>3960</v>
      </c>
      <c r="L718" s="4">
        <v>46040</v>
      </c>
      <c r="M718" s="4">
        <v>45943</v>
      </c>
      <c r="N718" s="2" t="s">
        <v>2727</v>
      </c>
      <c r="O718" s="2" t="s">
        <v>1805</v>
      </c>
      <c r="P718" s="2" t="s">
        <v>2936</v>
      </c>
      <c r="Q718" s="2" t="s">
        <v>1806</v>
      </c>
      <c r="R718" s="2" t="s">
        <v>2910</v>
      </c>
      <c r="S718" s="4">
        <v>45712</v>
      </c>
      <c r="T718" s="2" t="s">
        <v>3961</v>
      </c>
      <c r="U718" s="2" t="s">
        <v>3962</v>
      </c>
      <c r="V718" s="2" t="s">
        <v>3264</v>
      </c>
      <c r="W718" s="2" t="s">
        <v>1806</v>
      </c>
      <c r="X718" s="2" t="s">
        <v>117</v>
      </c>
      <c r="Y718" s="3" t="s">
        <v>118</v>
      </c>
      <c r="Z718" s="3">
        <v>231.6</v>
      </c>
      <c r="AA718" s="2" t="s">
        <v>90</v>
      </c>
      <c r="AB718" s="2" t="s">
        <v>3963</v>
      </c>
      <c r="AC718" s="2" t="s">
        <v>3964</v>
      </c>
      <c r="AD718" t="str" cm="1">
        <f t="array" ref="AD718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Cash/Treasury</v>
      </c>
      <c r="AE718" s="2" t="s">
        <v>91</v>
      </c>
      <c r="AF718" s="2" t="s">
        <v>92</v>
      </c>
      <c r="AG718" s="2" t="s">
        <v>119</v>
      </c>
      <c r="AH718" s="2" t="s">
        <v>120</v>
      </c>
      <c r="AJ718" s="2" t="s">
        <v>122</v>
      </c>
      <c r="AK718" s="2" t="s">
        <v>3965</v>
      </c>
      <c r="AN718" s="3">
        <v>1</v>
      </c>
      <c r="AO718" s="3">
        <v>0</v>
      </c>
      <c r="AP718" s="3">
        <v>1</v>
      </c>
      <c r="AQ718" s="3">
        <v>1</v>
      </c>
      <c r="AR718" s="3">
        <v>1</v>
      </c>
      <c r="AS718" s="3">
        <v>0</v>
      </c>
      <c r="AT718" s="3">
        <v>0</v>
      </c>
      <c r="AU718" s="3">
        <v>0</v>
      </c>
      <c r="AV718" s="3">
        <v>1</v>
      </c>
      <c r="AW718" s="3">
        <v>0</v>
      </c>
      <c r="AX718" s="3">
        <v>1</v>
      </c>
      <c r="AY718" s="3">
        <v>0</v>
      </c>
      <c r="AZ718" s="3">
        <v>0</v>
      </c>
      <c r="BA718" s="3">
        <v>0</v>
      </c>
      <c r="BB718" s="3">
        <v>0</v>
      </c>
      <c r="BC718" s="3">
        <v>1</v>
      </c>
      <c r="BD718" s="3">
        <v>1</v>
      </c>
      <c r="BE718" s="3">
        <v>0</v>
      </c>
      <c r="BG718" s="2" t="s">
        <v>91</v>
      </c>
      <c r="BH718" s="3">
        <v>3</v>
      </c>
      <c r="BJ718" s="2" t="s">
        <v>96</v>
      </c>
      <c r="BL718" s="2" t="s">
        <v>123</v>
      </c>
      <c r="BM718" s="2" t="s">
        <v>123</v>
      </c>
      <c r="BN718" s="2" t="s">
        <v>124</v>
      </c>
      <c r="BO718" s="2" t="s">
        <v>125</v>
      </c>
      <c r="BP718" s="2" t="s">
        <v>242</v>
      </c>
      <c r="BQ718" s="2" t="s">
        <v>124</v>
      </c>
      <c r="BR718" s="2" t="s">
        <v>126</v>
      </c>
      <c r="BS718" s="2" t="s">
        <v>127</v>
      </c>
      <c r="BT718" s="2" t="s">
        <v>174</v>
      </c>
      <c r="BU718" s="2" t="s">
        <v>175</v>
      </c>
      <c r="BV718" s="2" t="s">
        <v>150</v>
      </c>
      <c r="BW718" s="2" t="s">
        <v>151</v>
      </c>
      <c r="BX718" s="2" t="s">
        <v>91</v>
      </c>
      <c r="BY718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718" s="2">
        <f>IF(AND(Cases[[#This Row],[Priority Level]]&gt;=3,Cases[[#This Row],[System Role]]&lt;&gt;"Productive"),1,0)</f>
        <v>0</v>
      </c>
      <c r="CA718" s="2">
        <f>IFERROR(IF(Cases[[#This Row],[Days at Customer]]&gt;MAX(1,Cases[[#This Row],[Days at SAP]]*2),1,0),0)</f>
        <v>1</v>
      </c>
      <c r="CB718" s="2">
        <f>IF(AND(Cases[[#This Row],[Initial Component]]&lt;&gt;"",Cases[[#This Row],[Component]]&lt;&gt;"",Cases[[#This Row],[Initial Component]]&lt;&gt;Cases[[#This Row],[Component]]),1,0)</f>
        <v>1</v>
      </c>
      <c r="CC718" s="2">
        <f>IF(OR(Cases[[#This Row],[Is Reopened]]="X",Cases[[#This Row],[No. of Reopenings]]&gt;0),1,0)</f>
        <v>1</v>
      </c>
      <c r="CD718" s="2">
        <f>IF(Cases[[#This Row],[Confirmation Type]]="Automatic",1,0)</f>
        <v>1</v>
      </c>
      <c r="CE718" s="2">
        <f>Cases[[#This Row],[Flag_HowToOrConsulting]]+Cases[[#This Row],[Flag_PriorityInflation]]+Cases[[#This Row],[Flag_CustomerDelay]]+Cases[[#This Row],[Flag_ComponentMismatch]]+Cases[[#This Row],[Flag_Reopened]]</f>
        <v>3</v>
      </c>
    </row>
    <row r="719" spans="1:83" x14ac:dyDescent="0.2">
      <c r="A719" s="1" t="s">
        <v>3966</v>
      </c>
      <c r="B719" s="2" t="s">
        <v>3967</v>
      </c>
      <c r="C719" s="2" t="s">
        <v>1540</v>
      </c>
      <c r="D719" s="2" t="s">
        <v>238</v>
      </c>
      <c r="E719" s="3">
        <v>223.66</v>
      </c>
      <c r="F719" s="3">
        <v>68.88</v>
      </c>
      <c r="G719" s="2" t="s">
        <v>190</v>
      </c>
      <c r="H719" s="2" t="s">
        <v>666</v>
      </c>
      <c r="I719" s="3" t="s">
        <v>114</v>
      </c>
      <c r="J719" s="3">
        <v>433</v>
      </c>
      <c r="K719" s="2" t="s">
        <v>3968</v>
      </c>
      <c r="L719" s="4">
        <v>46009</v>
      </c>
      <c r="M719" s="4">
        <v>45987</v>
      </c>
      <c r="N719" s="2" t="s">
        <v>2274</v>
      </c>
      <c r="O719" s="2" t="s">
        <v>1805</v>
      </c>
      <c r="P719" s="2" t="s">
        <v>2275</v>
      </c>
      <c r="Q719" s="2" t="s">
        <v>1806</v>
      </c>
      <c r="R719" s="2" t="s">
        <v>1542</v>
      </c>
      <c r="S719" s="4">
        <v>45694</v>
      </c>
      <c r="T719" s="2" t="s">
        <v>3961</v>
      </c>
      <c r="U719" s="2" t="s">
        <v>3962</v>
      </c>
      <c r="V719" s="2" t="s">
        <v>3867</v>
      </c>
      <c r="W719" s="2" t="s">
        <v>1806</v>
      </c>
      <c r="X719" s="2" t="s">
        <v>117</v>
      </c>
      <c r="Y719" s="3" t="s">
        <v>118</v>
      </c>
      <c r="Z719" s="3">
        <v>292.54000000000002</v>
      </c>
      <c r="AA719" s="2" t="s">
        <v>90</v>
      </c>
      <c r="AB719" s="2" t="s">
        <v>3969</v>
      </c>
      <c r="AC719" s="2" t="s">
        <v>3970</v>
      </c>
      <c r="AD719" t="str" cm="1">
        <f t="array" ref="AD719">_xlfn.LET(_xlpm.c,UPPER(Cases[[#This Row],[Component ID]]&amp;""),_xlpm.r,UPPER(Cases[[#This Row],[Component]]&amp;""),_xlpm.ic,UPPER(Cases[[#This Row],[Initial Component ID]]&amp;""),_xlpm.ib,UPPER(Cases[[#This Row],[Initial Component]]&amp;""),_xlpm.d,UPPER(Cases[[#This Row],[Description]]&amp;""),_xlpm.k,IF(_xlpm.c="",_xlpm.ic,_xlpm.c),_xlpm.kk,IF(AND(LEFT(_xlpm.c,12)="XX-PART-OPT-",LEFT(_xlpm.ic,12)&lt;&gt;"XX-PART-OPT-",_xlpm.ic&lt;&gt;""),_xlpm.ic,_xlpm.k),_xlfn.IFS(OR(LEFT(_xlpm.kk,15)="CA-GTF-CSC-EDO-",_xlpm.kk="CA-GTF-FCC",LEFT(_xlpm.kk,7)="FI-LOC-",LEFT(_xlpm.kk,6)="FI-CAX",_xlpm.kk="FI-CA",LEFT(_xlpm.kk,8)="FI-CA-IN",LEFT(_xlpm.kk,7)="FI-CA-T",LEFT(_xlpm.kk,11)="LOD-LH-DRC-",LEFT(_xlpm.kk,8)="SLL-ITR-",LEFT(_xlpm.kk,9)="XX-PROJ-GR",LEFT(_xlpm.kk,14)="CA-GTF-CSC-SPL",LEFT(_xlpm.kk,7)="IS-U-CA",ISNUMBER(SEARCH("E-INVOIC",_xlpm.d)),ISNUMBER(SEARCH("INTRASTAT",_xlpm.d)),ISNUMBER(SEARCH("SAF-T",_xlpm.d))),"Tax &amp; E-Invoicing",OR(LEFT(_xlpm.kk,7)="CA-MDG-",LEFT(_xlpm.kk,6)="LO-MD-",LEFT(_xlpm.kk,11)="CRM-S4-MD-",LEFT(_xlpm.kk,9)="AP-MD-BP-",LEFT(_xlpm.kk,14)="CA-HR-S4-OP-BP"),"MDG",OR(LEFT(_xlpm.kk,6)="FI-RA-",LEFT(_xlpm.kk,13)="CA-GTF-TS-PPM",LEFT(_xlpm.kk,6)="FI-GL-",LEFT(_xlpm.kk,6)="FI-AA-",LEFT(_xlpm.kk,3)="CO-",LEFT(_xlpm.kk,3)="EC-",LEFT(_xlpm.kk,10)="FI-FIO-GL-",_xlpm.kk="CA-GTF-FCC-FCLOCO",_xlpm.kk="CA-GTF-SCM",ISNUMBER(SEARCH("CLOSING COCKPIT",_xlpm.d)),ISNUMBER(SEARCH("CLOCO",_xlpm.d))),"ATR + RAR",OR(LEFT(_xlpm.kk,6)="FI-AP-",LEFT(_xlpm.kk,3)="MM-",LEFT(_xlpm.kk,4)="SRM-",_xlpm.kk="CA-AP-LBY"),"PTP + OpenText",OR(LEFT(_xlpm.kk,3)="SD-",LEFT(_xlpm.kk,6)="FI-AR-",LEFT(_xlpm.kk,6)="FI-BL-",LEFT(_xlpm.kk,11)="FIN-FSCM-CR",LEFT(_xlpm.kk,11)="FIN-FIO-CCD",_xlpm.kk="LO-INT-TM-IV"),"OTC",OR(LEFT(_xlpm.kk,3)="TM-",LEFT(_xlpm.kk,8)="FIN-FSCM"),"Cash/Treasury",LEFT(_xlpm.kk,4)="GRC-","GRC",OR(LEFT(_xlpm.kk,4)="MOB-",LEFT(_xlpm.kk,3)="PM-"),"EAM",OR(LEFT(_xlpm.kk,8)="LOD-HCI-",LEFT(_xlpm.kk,6)="BC-XI-",LEFT(_xlpm.kk,7)="BC-MID-",_xlpm.kk="AC-INT",LEFT(_xlpm.kk,8)="BNS-CON-",_xlpm.kk="CA-GTF-AIF"),"Integration",OR(LEFT(_xlpm.kk,3)="BW-",LEFT(_xlpm.kk,4)="BW4-",LEFT(_xlpm.kk,8)="LOD-ANA-",LEFT(_xlpm.kk,6)="BPI-PA",LEFT(_xlpm.kk,7)="BI-BIP-",LEFT(_xlpm.kk,6)="EIM-IS",_xlpm.kk="CA-DI",LEFT(_xlpm.kk,7)="CA-ML-I",LEFT(_xlpm.kk,9)="CA-ML-BDP",LEFT(_xlpm.kk,7)="LOD-SF-"),"Reporting &amp; Analytics (BW)",AND(LEFT(_xlpm.ic,12)="XX-PART-OPT-",OR(LEFT(_xlpm.c,12)="XX-PART-OPT-",_xlpm.c="")),"PTP + OpenText",OR(LEFT(_xlpm.kk,7)="BC-CP-A",LEFT(_xlpm.kk,7)="BC-DWB-",LEFT(_xlpm.kk,8)="BC-SRV-F",_xlpm.kk="BC-SRV-AIF",_xlpm.kk="BC-SRV-BAL",_xlpm.kk="BC-SRV-COM",LEFT(_xlpm.kk,11)="BC-SRV-ASF-",LEFT(_xlpm.kk,10)="BC-SRV-TIM",LEFT(_xlpm.kk,11)="BC-SRV-APS-",LEFT(_xlpm.kk,7)="BC-BMT-",LEFT(_xlpm.kk,7)="BC-ILM-",LEFT(_xlpm.kk,7)="BC-UPG-",LEFT(_xlpm.kk,7)="BC-CTS-",_xlpm.kk="BC-BW-ODP",LEFT(_xlpm.kk,7)="CA-FLP-",LEFT(_xlpm.kk,6)="CA-UI5",LEFT(_xlpm.kk,6)="CA-BAS",LEFT(_xlpm.kk,5)="CA-UX",LEFT(_xlpm.kk,6)="CA-FLE",LEFT(_xlpm.kk,10)="SV-SCS-CCM",LEFT(_xlpm.kk,10)="SV-SMG-CCM",LEFT(_xlpm.kk,10)="SV-SMG-TWB",LEFT(_xlpm.kk,9)="SV-SMG-CM"),"ABAP",OR(LEFT(_xlpm.kk,4)="HAN-",LEFT(_xlpm.kk,3)="BC-",LEFT(_xlpm.kk,3)="SV-",LEFT(_xlpm.kk,6)="KM-SEN",LEFT(_xlpm.kk,7)="LOD-PER",LEFT(_xlpm.kk,7)="LOD-OCN",LEFT(_xlpm.kk,4)="OPU-",LEFT(_xlpm.kk,7)="XX-SER-",LEFT(_xlpm.kk,11)="XX-PART-TRI",LEFT(_xlpm.kk,7)="PCO-OPS",LEFT(_xlpm.kk,6)="EP-WZ-",LEFT(_xlpm.kk,8)="SCM-BAS-"),"Basis",TRUE,"Others"))</f>
        <v>Tax &amp; E-Invoicing</v>
      </c>
      <c r="AE719" s="2" t="s">
        <v>139</v>
      </c>
      <c r="AF719" s="2" t="s">
        <v>92</v>
      </c>
      <c r="AG719" s="2" t="s">
        <v>119</v>
      </c>
      <c r="AH719" s="2" t="s">
        <v>120</v>
      </c>
      <c r="AJ719" s="2" t="s">
        <v>122</v>
      </c>
      <c r="AK719" s="2" t="s">
        <v>3971</v>
      </c>
      <c r="AN719" s="3">
        <v>1</v>
      </c>
      <c r="AO719" s="3">
        <v>0</v>
      </c>
      <c r="AP719" s="3">
        <v>1</v>
      </c>
      <c r="AQ719" s="3">
        <v>1</v>
      </c>
      <c r="AR719" s="3">
        <v>1</v>
      </c>
      <c r="AS719" s="3">
        <v>0</v>
      </c>
      <c r="AT719" s="3">
        <v>0</v>
      </c>
      <c r="AU719" s="3">
        <v>0</v>
      </c>
      <c r="AV719" s="3">
        <v>1</v>
      </c>
      <c r="AW719" s="3">
        <v>0</v>
      </c>
      <c r="AX719" s="3">
        <v>1</v>
      </c>
      <c r="AY719" s="3">
        <v>0</v>
      </c>
      <c r="AZ719" s="3">
        <v>0</v>
      </c>
      <c r="BA719" s="3">
        <v>1</v>
      </c>
      <c r="BB719" s="3">
        <v>0</v>
      </c>
      <c r="BC719" s="3">
        <v>0</v>
      </c>
      <c r="BD719" s="3">
        <v>7</v>
      </c>
      <c r="BE719" s="3">
        <v>0</v>
      </c>
      <c r="BG719" s="2" t="s">
        <v>91</v>
      </c>
      <c r="BH719" s="3">
        <v>3</v>
      </c>
      <c r="BJ719" s="2" t="s">
        <v>96</v>
      </c>
      <c r="BL719" s="2" t="s">
        <v>123</v>
      </c>
      <c r="BM719" s="2" t="s">
        <v>123</v>
      </c>
      <c r="BN719" s="2" t="s">
        <v>124</v>
      </c>
      <c r="BO719" s="2" t="s">
        <v>125</v>
      </c>
      <c r="BP719" s="2" t="s">
        <v>242</v>
      </c>
      <c r="BQ719" s="2" t="s">
        <v>124</v>
      </c>
      <c r="BR719" s="2" t="s">
        <v>126</v>
      </c>
      <c r="BS719" s="2" t="s">
        <v>127</v>
      </c>
      <c r="BT719" s="2" t="s">
        <v>199</v>
      </c>
      <c r="BU719" s="2" t="s">
        <v>200</v>
      </c>
      <c r="BV719" s="2" t="s">
        <v>166</v>
      </c>
      <c r="BW719" s="2" t="s">
        <v>167</v>
      </c>
      <c r="BX719" s="2" t="s">
        <v>91</v>
      </c>
      <c r="BY719" s="2">
        <f>IF(OR(Cases[[#This Row],[Error Category]]="Service Request",Cases[[#This Row],[Error Subcategory]]="How-to-request",Cases[[#This Row],[Error Subcategory]]="Consulting / implementation request",Cases[[#This Row],[Error Subcategory]]="Other service request",Cases[[#This Row],[Error Subcategory]]="System, client, tenant, instance request/refresh",Cases[[#This Row],[Error Subcategory]]="Improper user handling"),1,0)</f>
        <v>0</v>
      </c>
      <c r="BZ719" s="2">
        <f>IF(AND(Cases[[#This Row],[Priority Level]]&gt;=3,Cases[[#This Row],[System Role]]&lt;&gt;"Productive"),1,0)</f>
        <v>1</v>
      </c>
      <c r="CA719" s="2">
        <f>IFERROR(IF(Cases[[#This Row],[Days at Customer]]&gt;MAX(1,Cases[[#This Row],[Days at SAP]]*2),1,0),0)</f>
        <v>0</v>
      </c>
      <c r="CB719" s="2">
        <f>IF(AND(Cases[[#This Row],[Initial Component]]&lt;&gt;"",Cases[[#This Row],[Component]]&lt;&gt;"",Cases[[#This Row],[Initial Component]]&lt;&gt;Cases[[#This Row],[Component]]),1,0)</f>
        <v>1</v>
      </c>
      <c r="CC719" s="2">
        <f>IF(OR(Cases[[#This Row],[Is Reopened]]="X",Cases[[#This Row],[No. of Reopenings]]&gt;0),1,0)</f>
        <v>1</v>
      </c>
      <c r="CD719" s="2">
        <f>IF(Cases[[#This Row],[Confirmation Type]]="Automatic",1,0)</f>
        <v>1</v>
      </c>
      <c r="CE719" s="2">
        <f>Cases[[#This Row],[Flag_HowToOrConsulting]]+Cases[[#This Row],[Flag_PriorityInflation]]+Cases[[#This Row],[Flag_CustomerDelay]]+Cases[[#This Row],[Flag_ComponentMismatch]]+Cases[[#This Row],[Flag_Reopened]]</f>
        <v>3</v>
      </c>
    </row>
  </sheetData>
  <pageMargins left="0.75" right="0.75" top="1" bottom="1" header="0.5" footer="0.5"/>
  <headerFooter>
    <oddFooter>&amp;L_x000D_&amp;1#&amp;"Aptos"&amp;10&amp;K000000 Classification: 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90216-9A8D-4F7B-A8E7-8D717AE44780}">
  <dimension ref="A1:N43"/>
  <sheetViews>
    <sheetView tabSelected="1" topLeftCell="A12" workbookViewId="0">
      <selection activeCell="A34" sqref="A33:XFD34"/>
    </sheetView>
  </sheetViews>
  <sheetFormatPr defaultRowHeight="14.25" x14ac:dyDescent="0.2"/>
  <cols>
    <col min="1" max="1" width="46.625" customWidth="1"/>
    <col min="2" max="2" width="15.875" customWidth="1"/>
    <col min="3" max="3" width="30.75" style="5" customWidth="1"/>
    <col min="4" max="4" width="15.875" customWidth="1"/>
    <col min="5" max="5" width="66.625" style="5" customWidth="1"/>
    <col min="6" max="9" width="15.875" customWidth="1"/>
    <col min="12" max="12" width="33.375" customWidth="1"/>
    <col min="13" max="14" width="21.625" customWidth="1"/>
  </cols>
  <sheetData>
    <row r="1" spans="1:14" ht="18" x14ac:dyDescent="0.25">
      <c r="A1" s="13" t="s">
        <v>3979</v>
      </c>
      <c r="B1" s="12"/>
      <c r="C1" s="12"/>
      <c r="D1" s="12"/>
      <c r="E1" s="12"/>
      <c r="F1" s="12"/>
      <c r="G1" s="12"/>
      <c r="H1" s="12"/>
      <c r="I1" s="12"/>
      <c r="J1" s="12"/>
    </row>
    <row r="2" spans="1:14" x14ac:dyDescent="0.2">
      <c r="A2" s="14" t="s">
        <v>4025</v>
      </c>
      <c r="B2" s="12"/>
      <c r="C2" s="12"/>
      <c r="D2" s="12"/>
      <c r="E2" s="12"/>
      <c r="F2" s="12"/>
      <c r="G2" s="12"/>
      <c r="H2" s="12"/>
      <c r="I2" s="12"/>
      <c r="J2" s="12"/>
    </row>
    <row r="4" spans="1:14" ht="15" x14ac:dyDescent="0.25">
      <c r="A4" s="16" t="s">
        <v>3980</v>
      </c>
      <c r="B4" s="16" t="s">
        <v>3981</v>
      </c>
      <c r="C4" s="17" t="s">
        <v>3982</v>
      </c>
      <c r="L4" s="16" t="s">
        <v>4011</v>
      </c>
      <c r="M4" s="16" t="s">
        <v>4013</v>
      </c>
      <c r="N4" s="16" t="s">
        <v>4014</v>
      </c>
    </row>
    <row r="5" spans="1:14" x14ac:dyDescent="0.2">
      <c r="A5" t="s">
        <v>3983</v>
      </c>
      <c r="B5">
        <f>ROWS(Cases[Case No.])</f>
        <v>718</v>
      </c>
      <c r="C5" s="5" t="s">
        <v>3984</v>
      </c>
      <c r="L5" t="s">
        <v>117</v>
      </c>
      <c r="M5">
        <f>COUNTIF(Cases[Customer Name],L5)</f>
        <v>649</v>
      </c>
      <c r="N5">
        <f>SUMIF(Cases[Customer Name],L5,Cases[Flag_TotalCoaching])</f>
        <v>1196</v>
      </c>
    </row>
    <row r="6" spans="1:14" x14ac:dyDescent="0.2">
      <c r="A6" t="s">
        <v>3985</v>
      </c>
      <c r="B6" s="10">
        <f>AVERAGE(Cases[Flag_TotalCoaching])</f>
        <v>1.8384401114206128</v>
      </c>
      <c r="C6" s="5" t="s">
        <v>3986</v>
      </c>
      <c r="L6" t="s">
        <v>88</v>
      </c>
      <c r="M6">
        <f>COUNTIF(Cases[Customer Name],L6)</f>
        <v>69</v>
      </c>
      <c r="N6">
        <f>SUMIF(Cases[Customer Name],L6,Cases[Flag_TotalCoaching])</f>
        <v>124</v>
      </c>
    </row>
    <row r="7" spans="1:14" ht="29.25" x14ac:dyDescent="0.25">
      <c r="A7" t="s">
        <v>4026</v>
      </c>
      <c r="B7" s="9">
        <f>AVERAGE(Cases[Flag_HowToOrConsulting])</f>
        <v>0.33147632311977715</v>
      </c>
      <c r="C7" s="5" t="s">
        <v>3987</v>
      </c>
      <c r="L7" s="15" t="s">
        <v>4012</v>
      </c>
      <c r="M7" s="15">
        <f>ROWS(Cases[Case No.])</f>
        <v>718</v>
      </c>
      <c r="N7" s="15">
        <f>SUM(Cases[Flag_TotalCoaching])</f>
        <v>1320</v>
      </c>
    </row>
    <row r="8" spans="1:14" ht="28.5" x14ac:dyDescent="0.2">
      <c r="A8" t="s">
        <v>4027</v>
      </c>
      <c r="B8" s="9">
        <f>AVERAGE(Cases[Flag_PriorityInflation])</f>
        <v>0.19916434540389971</v>
      </c>
      <c r="C8" s="5" t="s">
        <v>3988</v>
      </c>
    </row>
    <row r="9" spans="1:14" ht="28.5" x14ac:dyDescent="0.2">
      <c r="A9" t="s">
        <v>3989</v>
      </c>
      <c r="B9" s="9">
        <f>AVERAGE(Cases[Flag_CustomerDelay])</f>
        <v>0.77019498607242343</v>
      </c>
      <c r="C9" s="5" t="s">
        <v>3990</v>
      </c>
    </row>
    <row r="10" spans="1:14" ht="28.5" x14ac:dyDescent="0.2">
      <c r="A10" t="s">
        <v>3991</v>
      </c>
      <c r="B10" s="9">
        <f>AVERAGE(Cases[Flag_ComponentMismatch])</f>
        <v>0.33565459610027853</v>
      </c>
      <c r="C10" s="5" t="s">
        <v>3992</v>
      </c>
    </row>
    <row r="11" spans="1:14" x14ac:dyDescent="0.2">
      <c r="A11" t="s">
        <v>3993</v>
      </c>
      <c r="B11" s="9">
        <f>AVERAGE(Cases[Flag_Reopened])</f>
        <v>0.20194986072423399</v>
      </c>
      <c r="C11" s="5" t="s">
        <v>3994</v>
      </c>
    </row>
    <row r="12" spans="1:14" ht="28.5" x14ac:dyDescent="0.2">
      <c r="A12" t="s">
        <v>4023</v>
      </c>
      <c r="B12" s="9">
        <f>AVERAGE(Cases[Flag_AutoConfirmed])</f>
        <v>0.71727019498607247</v>
      </c>
      <c r="C12" s="5" t="s">
        <v>3995</v>
      </c>
    </row>
    <row r="13" spans="1:14" x14ac:dyDescent="0.2">
      <c r="A13" t="s">
        <v>3996</v>
      </c>
      <c r="B13" s="10">
        <f>MEDIAN(Cases[Days at Customer])</f>
        <v>22.47</v>
      </c>
      <c r="C13" s="5" t="s">
        <v>3997</v>
      </c>
    </row>
    <row r="14" spans="1:14" ht="28.5" x14ac:dyDescent="0.2">
      <c r="A14" t="s">
        <v>3998</v>
      </c>
      <c r="B14" s="10">
        <f>MEDIAN(Cases[Days at SAP])</f>
        <v>2.9350000000000001</v>
      </c>
      <c r="C14" s="5" t="s">
        <v>3999</v>
      </c>
    </row>
    <row r="15" spans="1:14" ht="28.5" x14ac:dyDescent="0.2">
      <c r="A15" t="s">
        <v>4046</v>
      </c>
      <c r="B15" s="11" cm="1">
        <f t="array" ref="B15">SUMPRODUCT((Cases[Workstream]&lt;&gt;"")/COUNTIF(Cases[Workstream],Cases[Workstream]&amp;""))</f>
        <v>13.000000000000048</v>
      </c>
      <c r="C15" s="5" t="s">
        <v>4047</v>
      </c>
    </row>
    <row r="16" spans="1:14" ht="28.5" x14ac:dyDescent="0.2">
      <c r="A16" t="s">
        <v>4048</v>
      </c>
      <c r="B16" s="10" t="str">
        <f>INDEX(A29:A41,MATCH(LARGE(B29:B41,1),B29:B41,0))</f>
        <v>Tax &amp; E-Invoicing</v>
      </c>
      <c r="C16" s="5" t="s">
        <v>4049</v>
      </c>
    </row>
    <row r="17" spans="1:9" ht="28.5" x14ac:dyDescent="0.2">
      <c r="A17" t="s">
        <v>4050</v>
      </c>
      <c r="B17" s="9">
        <f>LARGE(B29:B41,1)/ROWS(Cases[Case No.])</f>
        <v>0.20334261838440112</v>
      </c>
      <c r="C17" s="5" t="s">
        <v>4051</v>
      </c>
    </row>
    <row r="19" spans="1:9" ht="15" x14ac:dyDescent="0.25">
      <c r="A19" s="16" t="s">
        <v>4000</v>
      </c>
      <c r="B19" s="16" t="s">
        <v>4001</v>
      </c>
      <c r="C19" s="17" t="s">
        <v>4002</v>
      </c>
      <c r="D19" s="16" t="s">
        <v>4003</v>
      </c>
      <c r="E19" s="17" t="s">
        <v>4004</v>
      </c>
      <c r="F19" s="16" t="s">
        <v>4052</v>
      </c>
      <c r="G19" s="17" t="s">
        <v>4053</v>
      </c>
    </row>
    <row r="20" spans="1:9" ht="28.5" x14ac:dyDescent="0.2">
      <c r="A20" t="s">
        <v>4028</v>
      </c>
      <c r="B20">
        <f>SUM(Cases[Flag_HowToOrConsulting])</f>
        <v>238</v>
      </c>
      <c r="C20" s="7">
        <f>B20/ROWS(Cases[Case No.])</f>
        <v>0.33147632311977715</v>
      </c>
      <c r="D20" t="str">
        <f>INDEX(Cases[Case No.],MATCH(1,Cases[Flag_HowToOrConsulting],0))</f>
        <v>0000424055</v>
      </c>
      <c r="E20" s="5" t="s">
        <v>4029</v>
      </c>
      <c r="F20" t="str" cm="1">
        <f t="array" ref="F20">INDEX($A$29:$A$41,MATCH(MAX(COUNTIFS(Cases[Workstream],$A$29:$A$41,Cases[Flag_HowToOrConsulting],1)),COUNTIFS(Cases[Workstream],$A$29:$A$41,Cases[Flag_HowToOrConsulting],1),0))</f>
        <v>Tax &amp; E-Invoicing</v>
      </c>
      <c r="G20" cm="1">
        <f t="array" ref="G20">MAX(COUNTIFS(Cases[Workstream],$A$29:$A$41,Cases[Flag_HowToOrConsulting],1))</f>
        <v>71</v>
      </c>
    </row>
    <row r="21" spans="1:9" ht="28.5" x14ac:dyDescent="0.2">
      <c r="A21" t="s">
        <v>4030</v>
      </c>
      <c r="B21">
        <f>SUM(Cases[Flag_PriorityInflation])</f>
        <v>143</v>
      </c>
      <c r="C21" s="7">
        <f>B21/ROWS(Cases[Case No.])</f>
        <v>0.19916434540389971</v>
      </c>
      <c r="D21" t="str">
        <f>INDEX(Cases[Case No.],MATCH(1,Cases[Flag_PriorityInflation],0))</f>
        <v>0000460822</v>
      </c>
      <c r="E21" s="5" t="s">
        <v>4005</v>
      </c>
      <c r="F21" t="str" cm="1">
        <f t="array" ref="F21">INDEX($A$29:$A$41,MATCH(MAX(COUNTIFS(Cases[Workstream],$A$29:$A$41,Cases[Flag_PriorityInflation],1)),COUNTIFS(Cases[Workstream],$A$29:$A$41,Cases[Flag_PriorityInflation],1),0))</f>
        <v>Tax &amp; E-Invoicing</v>
      </c>
      <c r="G21" cm="1">
        <f t="array" ref="G21">MAX(COUNTIFS(Cases[Workstream],$A$29:$A$41,Cases[Flag_PriorityInflation],1))</f>
        <v>72</v>
      </c>
    </row>
    <row r="22" spans="1:9" ht="28.5" x14ac:dyDescent="0.2">
      <c r="A22" t="s">
        <v>4006</v>
      </c>
      <c r="B22">
        <f>SUM(Cases[Flag_CustomerDelay])</f>
        <v>553</v>
      </c>
      <c r="C22" s="7">
        <f>B22/ROWS(Cases[Case No.])</f>
        <v>0.77019498607242343</v>
      </c>
      <c r="D22" t="str">
        <f>INDEX(Cases[Case No.],MATCH(1,Cases[Flag_CustomerDelay],0))</f>
        <v>0000424055</v>
      </c>
      <c r="E22" s="5" t="s">
        <v>4031</v>
      </c>
      <c r="F22" t="str" cm="1">
        <f t="array" ref="F22">INDEX($A$29:$A$41,MATCH(MAX(COUNTIFS(Cases[Workstream],$A$29:$A$41,Cases[Flag_CustomerDelay],1)),COUNTIFS(Cases[Workstream],$A$29:$A$41,Cases[Flag_CustomerDelay],1),0))</f>
        <v>PTP + OpenText</v>
      </c>
      <c r="G22" cm="1">
        <f t="array" ref="G22">MAX(COUNTIFS(Cases[Workstream],$A$29:$A$41,Cases[Flag_CustomerDelay],1))</f>
        <v>104</v>
      </c>
    </row>
    <row r="23" spans="1:9" ht="28.5" x14ac:dyDescent="0.2">
      <c r="A23" t="s">
        <v>4007</v>
      </c>
      <c r="B23">
        <f>SUM(Cases[Flag_ComponentMismatch])</f>
        <v>241</v>
      </c>
      <c r="C23" s="7">
        <f>B23/ROWS(Cases[Case No.])</f>
        <v>0.33565459610027853</v>
      </c>
      <c r="D23" t="str">
        <f>INDEX(Cases[Case No.],MATCH(1,Cases[Flag_ComponentMismatch],0))</f>
        <v>0000415017</v>
      </c>
      <c r="E23" s="5" t="s">
        <v>4032</v>
      </c>
      <c r="F23" t="str" cm="1">
        <f t="array" ref="F23">INDEX($A$29:$A$41,MATCH(MAX(COUNTIFS(Cases[Workstream],$A$29:$A$41,Cases[Flag_ComponentMismatch],1)),COUNTIFS(Cases[Workstream],$A$29:$A$41,Cases[Flag_ComponentMismatch],1),0))</f>
        <v>Basis</v>
      </c>
      <c r="G23" cm="1">
        <f t="array" ref="G23">MAX(COUNTIFS(Cases[Workstream],$A$29:$A$41,Cases[Flag_ComponentMismatch],1))</f>
        <v>50</v>
      </c>
    </row>
    <row r="24" spans="1:9" ht="28.5" x14ac:dyDescent="0.2">
      <c r="A24" t="s">
        <v>4008</v>
      </c>
      <c r="B24">
        <f>SUM(Cases[Flag_Reopened])</f>
        <v>145</v>
      </c>
      <c r="C24" s="7">
        <f>B24/ROWS(Cases[Case No.])</f>
        <v>0.20194986072423399</v>
      </c>
      <c r="D24" t="str">
        <f>INDEX(Cases[Case No.],MATCH(1,Cases[Flag_Reopened],0))</f>
        <v>0000375374</v>
      </c>
      <c r="E24" s="5" t="s">
        <v>4009</v>
      </c>
      <c r="F24" t="str" cm="1">
        <f t="array" ref="F24">INDEX($A$29:$A$41,MATCH(MAX(COUNTIFS(Cases[Workstream],$A$29:$A$41,Cases[Flag_Reopened],1)),COUNTIFS(Cases[Workstream],$A$29:$A$41,Cases[Flag_Reopened],1),0))</f>
        <v>Tax &amp; E-Invoicing</v>
      </c>
      <c r="G24" cm="1">
        <f t="array" ref="G24">MAX(COUNTIFS(Cases[Workstream],$A$29:$A$41,Cases[Flag_Reopened],1))</f>
        <v>38</v>
      </c>
    </row>
    <row r="25" spans="1:9" ht="28.5" x14ac:dyDescent="0.2">
      <c r="A25" t="s">
        <v>4033</v>
      </c>
      <c r="B25">
        <f>SUM(Cases[Flag_AutoConfirmed])</f>
        <v>515</v>
      </c>
      <c r="C25" s="7">
        <f>B25/ROWS(Cases[Case No.])</f>
        <v>0.71727019498607247</v>
      </c>
      <c r="D25" t="str">
        <f>INDEX(Cases[Case No.],MATCH(1,Cases[Flag_AutoConfirmed],0))</f>
        <v>0000370416</v>
      </c>
      <c r="E25" s="5" t="s">
        <v>4010</v>
      </c>
      <c r="F25" t="str" cm="1">
        <f t="array" ref="F25">INDEX($A$29:$A$41,MATCH(MAX(COUNTIFS(Cases[Workstream],$A$29:$A$41,Cases[Flag_AutoConfirmed],1)),COUNTIFS(Cases[Workstream],$A$29:$A$41,Cases[Flag_AutoConfirmed],1),0))</f>
        <v>Basis</v>
      </c>
      <c r="G25" cm="1">
        <f t="array" ref="G25">MAX(COUNTIFS(Cases[Workstream],$A$29:$A$41,Cases[Flag_AutoConfirmed],1))</f>
        <v>86</v>
      </c>
    </row>
    <row r="28" spans="1:9" ht="15" x14ac:dyDescent="0.25">
      <c r="A28" s="16" t="s">
        <v>4024</v>
      </c>
      <c r="B28" s="16" t="s">
        <v>4016</v>
      </c>
      <c r="C28" s="17" t="s">
        <v>4017</v>
      </c>
      <c r="D28" s="16" t="s">
        <v>4018</v>
      </c>
      <c r="E28" s="17" t="s">
        <v>4019</v>
      </c>
      <c r="F28" s="16" t="s">
        <v>4020</v>
      </c>
      <c r="G28" s="16" t="s">
        <v>4021</v>
      </c>
      <c r="H28" s="16" t="s">
        <v>4022</v>
      </c>
      <c r="I28" s="16" t="s">
        <v>4023</v>
      </c>
    </row>
    <row r="29" spans="1:9" x14ac:dyDescent="0.2">
      <c r="A29" t="s">
        <v>4041</v>
      </c>
      <c r="B29" s="18">
        <f>COUNTIF(Cases[Workstream],$A29)</f>
        <v>146</v>
      </c>
      <c r="C29" s="6">
        <f>IFERROR(AVERAGEIF(Cases[Workstream],$A29,Cases[Flag_TotalCoaching]),0)</f>
        <v>2.2191780821917808</v>
      </c>
      <c r="D29" s="9">
        <f>IFERROR(AVERAGEIF(Cases[Workstream],$A29,Cases[Flag_HowToOrConsulting]),0)</f>
        <v>0.4863013698630137</v>
      </c>
      <c r="E29" s="7">
        <f>IFERROR(AVERAGEIF(Cases[Workstream],$A29,Cases[Flag_PriorityInflation]),0)</f>
        <v>0.49315068493150682</v>
      </c>
      <c r="F29" s="9">
        <f>IFERROR(AVERAGEIF(Cases[Workstream],$A29,Cases[Flag_CustomerDelay]),0)</f>
        <v>0.65753424657534243</v>
      </c>
      <c r="G29" s="9">
        <f>IFERROR(AVERAGEIF(Cases[Workstream],$A29,Cases[Flag_ComponentMismatch]),0)</f>
        <v>0.32191780821917809</v>
      </c>
      <c r="H29" s="9">
        <f>IFERROR(AVERAGEIF(Cases[Workstream],$A29,Cases[Flag_Reopened]),0)</f>
        <v>0.26027397260273971</v>
      </c>
      <c r="I29" s="9">
        <f>IFERROR(AVERAGEIF(Cases[Workstream],$A29,Cases[Flag_AutoConfirmed]),0)</f>
        <v>0.54109589041095896</v>
      </c>
    </row>
    <row r="30" spans="1:9" x14ac:dyDescent="0.2">
      <c r="A30" t="s">
        <v>4045</v>
      </c>
      <c r="B30" s="18">
        <f>COUNTIF(Cases[Workstream],$A30)</f>
        <v>115</v>
      </c>
      <c r="C30" s="6">
        <f>IFERROR(AVERAGEIF(Cases[Workstream],$A30,Cases[Flag_TotalCoaching]),0)</f>
        <v>1.2521739130434784</v>
      </c>
      <c r="D30" s="9">
        <f>IFERROR(AVERAGEIF(Cases[Workstream],$A30,Cases[Flag_HowToOrConsulting]),0)</f>
        <v>7.8260869565217397E-2</v>
      </c>
      <c r="E30" s="7">
        <f>IFERROR(AVERAGEIF(Cases[Workstream],$A30,Cases[Flag_PriorityInflation]),0)</f>
        <v>6.0869565217391307E-2</v>
      </c>
      <c r="F30" s="9">
        <f>IFERROR(AVERAGEIF(Cases[Workstream],$A30,Cases[Flag_CustomerDelay]),0)</f>
        <v>0.90434782608695652</v>
      </c>
      <c r="G30" s="9">
        <f>IFERROR(AVERAGEIF(Cases[Workstream],$A30,Cases[Flag_ComponentMismatch]),0)</f>
        <v>0.14782608695652175</v>
      </c>
      <c r="H30" s="9">
        <f>IFERROR(AVERAGEIF(Cases[Workstream],$A30,Cases[Flag_Reopened]),0)</f>
        <v>6.0869565217391307E-2</v>
      </c>
      <c r="I30" s="9">
        <f>IFERROR(AVERAGEIF(Cases[Workstream],$A30,Cases[Flag_AutoConfirmed]),0)</f>
        <v>0.71304347826086956</v>
      </c>
    </row>
    <row r="31" spans="1:9" x14ac:dyDescent="0.2">
      <c r="A31" t="s">
        <v>4042</v>
      </c>
      <c r="B31" s="18">
        <f>COUNTIF(Cases[Workstream],$A31)</f>
        <v>110</v>
      </c>
      <c r="C31" s="6">
        <f>IFERROR(AVERAGEIF(Cases[Workstream],$A31,Cases[Flag_TotalCoaching]),0)</f>
        <v>1.9272727272727272</v>
      </c>
      <c r="D31" s="9">
        <f>IFERROR(AVERAGEIF(Cases[Workstream],$A31,Cases[Flag_HowToOrConsulting]),0)</f>
        <v>0.31818181818181818</v>
      </c>
      <c r="E31" s="7">
        <f>IFERROR(AVERAGEIF(Cases[Workstream],$A31,Cases[Flag_PriorityInflation]),0)</f>
        <v>0.1</v>
      </c>
      <c r="F31" s="9">
        <f>IFERROR(AVERAGEIF(Cases[Workstream],$A31,Cases[Flag_CustomerDelay]),0)</f>
        <v>0.80909090909090908</v>
      </c>
      <c r="G31" s="9">
        <f>IFERROR(AVERAGEIF(Cases[Workstream],$A31,Cases[Flag_ComponentMismatch]),0)</f>
        <v>0.45454545454545453</v>
      </c>
      <c r="H31" s="9">
        <f>IFERROR(AVERAGEIF(Cases[Workstream],$A31,Cases[Flag_Reopened]),0)</f>
        <v>0.24545454545454545</v>
      </c>
      <c r="I31" s="9">
        <f>IFERROR(AVERAGEIF(Cases[Workstream],$A31,Cases[Flag_AutoConfirmed]),0)</f>
        <v>0.78181818181818186</v>
      </c>
    </row>
    <row r="32" spans="1:9" x14ac:dyDescent="0.2">
      <c r="A32" t="s">
        <v>4043</v>
      </c>
      <c r="B32" s="18">
        <f>COUNTIF(Cases[Workstream],$A32)</f>
        <v>64</v>
      </c>
      <c r="C32" s="6">
        <f>IFERROR(AVERAGEIF(Cases[Workstream],$A32,Cases[Flag_TotalCoaching]),0)</f>
        <v>1.859375</v>
      </c>
      <c r="D32" s="9">
        <f>IFERROR(AVERAGEIF(Cases[Workstream],$A32,Cases[Flag_HowToOrConsulting]),0)</f>
        <v>0.40625</v>
      </c>
      <c r="E32" s="7">
        <f>IFERROR(AVERAGEIF(Cases[Workstream],$A32,Cases[Flag_PriorityInflation]),0)</f>
        <v>0.125</v>
      </c>
      <c r="F32" s="9">
        <f>IFERROR(AVERAGEIF(Cases[Workstream],$A32,Cases[Flag_CustomerDelay]),0)</f>
        <v>0.875</v>
      </c>
      <c r="G32" s="9">
        <f>IFERROR(AVERAGEIF(Cases[Workstream],$A32,Cases[Flag_ComponentMismatch]),0)</f>
        <v>0.328125</v>
      </c>
      <c r="H32" s="9">
        <f>IFERROR(AVERAGEIF(Cases[Workstream],$A32,Cases[Flag_Reopened]),0)</f>
        <v>0.125</v>
      </c>
      <c r="I32" s="9">
        <f>IFERROR(AVERAGEIF(Cases[Workstream],$A32,Cases[Flag_AutoConfirmed]),0)</f>
        <v>0.875</v>
      </c>
    </row>
    <row r="33" spans="1:9" x14ac:dyDescent="0.2">
      <c r="A33" t="s">
        <v>4044</v>
      </c>
      <c r="B33" s="18">
        <f>COUNTIF(Cases[Workstream],$A33)</f>
        <v>54</v>
      </c>
      <c r="C33" s="6">
        <f>IFERROR(AVERAGEIF(Cases[Workstream],$A33,Cases[Flag_TotalCoaching]),0)</f>
        <v>2.2962962962962963</v>
      </c>
      <c r="D33" s="9">
        <f>IFERROR(AVERAGEIF(Cases[Workstream],$A33,Cases[Flag_HowToOrConsulting]),0)</f>
        <v>0.48148148148148145</v>
      </c>
      <c r="E33" s="7">
        <f>IFERROR(AVERAGEIF(Cases[Workstream],$A33,Cases[Flag_PriorityInflation]),0)</f>
        <v>0.33333333333333331</v>
      </c>
      <c r="F33" s="9">
        <f>IFERROR(AVERAGEIF(Cases[Workstream],$A33,Cases[Flag_CustomerDelay]),0)</f>
        <v>0.79629629629629628</v>
      </c>
      <c r="G33" s="9">
        <f>IFERROR(AVERAGEIF(Cases[Workstream],$A33,Cases[Flag_ComponentMismatch]),0)</f>
        <v>0.44444444444444442</v>
      </c>
      <c r="H33" s="9">
        <f>IFERROR(AVERAGEIF(Cases[Workstream],$A33,Cases[Flag_Reopened]),0)</f>
        <v>0.24074074074074073</v>
      </c>
      <c r="I33" s="9">
        <f>IFERROR(AVERAGEIF(Cases[Workstream],$A33,Cases[Flag_AutoConfirmed]),0)</f>
        <v>0.70370370370370372</v>
      </c>
    </row>
    <row r="34" spans="1:9" x14ac:dyDescent="0.2">
      <c r="A34" t="s">
        <v>4034</v>
      </c>
      <c r="B34" s="18">
        <f>COUNTIF(Cases[Workstream],$A34)</f>
        <v>47</v>
      </c>
      <c r="C34" s="6">
        <f>IFERROR(AVERAGEIF(Cases[Workstream],$A34,Cases[Flag_TotalCoaching]),0)</f>
        <v>1.6595744680851063</v>
      </c>
      <c r="D34" s="9">
        <f>IFERROR(AVERAGEIF(Cases[Workstream],$A34,Cases[Flag_HowToOrConsulting]),0)</f>
        <v>0.23404255319148937</v>
      </c>
      <c r="E34" s="7">
        <f>IFERROR(AVERAGEIF(Cases[Workstream],$A34,Cases[Flag_PriorityInflation]),0)</f>
        <v>0.19148936170212766</v>
      </c>
      <c r="F34" s="9">
        <f>IFERROR(AVERAGEIF(Cases[Workstream],$A34,Cases[Flag_CustomerDelay]),0)</f>
        <v>0.61702127659574468</v>
      </c>
      <c r="G34" s="9">
        <f>IFERROR(AVERAGEIF(Cases[Workstream],$A34,Cases[Flag_ComponentMismatch]),0)</f>
        <v>0.38297872340425532</v>
      </c>
      <c r="H34" s="9">
        <f>IFERROR(AVERAGEIF(Cases[Workstream],$A34,Cases[Flag_Reopened]),0)</f>
        <v>0.23404255319148937</v>
      </c>
      <c r="I34" s="9">
        <f>IFERROR(AVERAGEIF(Cases[Workstream],$A34,Cases[Flag_AutoConfirmed]),0)</f>
        <v>0.63829787234042556</v>
      </c>
    </row>
    <row r="35" spans="1:9" x14ac:dyDescent="0.2">
      <c r="A35" t="s">
        <v>4035</v>
      </c>
      <c r="B35" s="18">
        <f>COUNTIF(Cases[Workstream],$A35)</f>
        <v>46</v>
      </c>
      <c r="C35" s="6">
        <f>IFERROR(AVERAGEIF(Cases[Workstream],$A35,Cases[Flag_TotalCoaching]),0)</f>
        <v>1.6304347826086956</v>
      </c>
      <c r="D35" s="9">
        <f>IFERROR(AVERAGEIF(Cases[Workstream],$A35,Cases[Flag_HowToOrConsulting]),0)</f>
        <v>0.19565217391304349</v>
      </c>
      <c r="E35" s="7">
        <f>IFERROR(AVERAGEIF(Cases[Workstream],$A35,Cases[Flag_PriorityInflation]),0)</f>
        <v>0.13043478260869565</v>
      </c>
      <c r="F35" s="9">
        <f>IFERROR(AVERAGEIF(Cases[Workstream],$A35,Cases[Flag_CustomerDelay]),0)</f>
        <v>0.52173913043478259</v>
      </c>
      <c r="G35" s="9">
        <f>IFERROR(AVERAGEIF(Cases[Workstream],$A35,Cases[Flag_ComponentMismatch]),0)</f>
        <v>0.39130434782608697</v>
      </c>
      <c r="H35" s="9">
        <f>IFERROR(AVERAGEIF(Cases[Workstream],$A35,Cases[Flag_Reopened]),0)</f>
        <v>0.39130434782608697</v>
      </c>
      <c r="I35" s="9">
        <f>IFERROR(AVERAGEIF(Cases[Workstream],$A35,Cases[Flag_AutoConfirmed]),0)</f>
        <v>0.69565217391304346</v>
      </c>
    </row>
    <row r="36" spans="1:9" x14ac:dyDescent="0.2">
      <c r="A36" t="s">
        <v>4039</v>
      </c>
      <c r="B36" s="18">
        <f>COUNTIF(Cases[Workstream],$A36)</f>
        <v>38</v>
      </c>
      <c r="C36" s="6">
        <f>IFERROR(AVERAGEIF(Cases[Workstream],$A36,Cases[Flag_TotalCoaching]),0)</f>
        <v>1.8947368421052631</v>
      </c>
      <c r="D36" s="9">
        <f>IFERROR(AVERAGEIF(Cases[Workstream],$A36,Cases[Flag_HowToOrConsulting]),0)</f>
        <v>0.21052631578947367</v>
      </c>
      <c r="E36" s="7">
        <f>IFERROR(AVERAGEIF(Cases[Workstream],$A36,Cases[Flag_PriorityInflation]),0)</f>
        <v>2.6315789473684209E-2</v>
      </c>
      <c r="F36" s="9">
        <f>IFERROR(AVERAGEIF(Cases[Workstream],$A36,Cases[Flag_CustomerDelay]),0)</f>
        <v>0.86842105263157898</v>
      </c>
      <c r="G36" s="9">
        <f>IFERROR(AVERAGEIF(Cases[Workstream],$A36,Cases[Flag_ComponentMismatch]),0)</f>
        <v>0.60526315789473684</v>
      </c>
      <c r="H36" s="9">
        <f>IFERROR(AVERAGEIF(Cases[Workstream],$A36,Cases[Flag_Reopened]),0)</f>
        <v>0.18421052631578946</v>
      </c>
      <c r="I36" s="9">
        <f>IFERROR(AVERAGEIF(Cases[Workstream],$A36,Cases[Flag_AutoConfirmed]),0)</f>
        <v>0.84210526315789469</v>
      </c>
    </row>
    <row r="37" spans="1:9" x14ac:dyDescent="0.2">
      <c r="A37" t="s">
        <v>4036</v>
      </c>
      <c r="B37" s="18">
        <f>COUNTIF(Cases[Workstream],$A37)</f>
        <v>31</v>
      </c>
      <c r="C37" s="6">
        <f>IFERROR(AVERAGEIF(Cases[Workstream],$A37,Cases[Flag_TotalCoaching]),0)</f>
        <v>1.3870967741935485</v>
      </c>
      <c r="D37" s="9">
        <f>IFERROR(AVERAGEIF(Cases[Workstream],$A37,Cases[Flag_HowToOrConsulting]),0)</f>
        <v>0.41935483870967744</v>
      </c>
      <c r="E37" s="7">
        <f>IFERROR(AVERAGEIF(Cases[Workstream],$A37,Cases[Flag_PriorityInflation]),0)</f>
        <v>0.19354838709677419</v>
      </c>
      <c r="F37" s="9">
        <f>IFERROR(AVERAGEIF(Cases[Workstream],$A37,Cases[Flag_CustomerDelay]),0)</f>
        <v>0.61290322580645162</v>
      </c>
      <c r="G37" s="9">
        <f>IFERROR(AVERAGEIF(Cases[Workstream],$A37,Cases[Flag_ComponentMismatch]),0)</f>
        <v>9.6774193548387094E-2</v>
      </c>
      <c r="H37" s="9">
        <f>IFERROR(AVERAGEIF(Cases[Workstream],$A37,Cases[Flag_Reopened]),0)</f>
        <v>6.4516129032258063E-2</v>
      </c>
      <c r="I37" s="9">
        <f>IFERROR(AVERAGEIF(Cases[Workstream],$A37,Cases[Flag_AutoConfirmed]),0)</f>
        <v>0.67741935483870963</v>
      </c>
    </row>
    <row r="38" spans="1:9" x14ac:dyDescent="0.2">
      <c r="A38" t="s">
        <v>4038</v>
      </c>
      <c r="B38" s="18">
        <f>COUNTIF(Cases[Workstream],$A38)</f>
        <v>31</v>
      </c>
      <c r="C38" s="6">
        <f>IFERROR(AVERAGEIF(Cases[Workstream],$A38,Cases[Flag_TotalCoaching]),0)</f>
        <v>2</v>
      </c>
      <c r="D38" s="9">
        <f>IFERROR(AVERAGEIF(Cases[Workstream],$A38,Cases[Flag_HowToOrConsulting]),0)</f>
        <v>0.45161290322580644</v>
      </c>
      <c r="E38" s="7">
        <f>IFERROR(AVERAGEIF(Cases[Workstream],$A38,Cases[Flag_PriorityInflation]),0)</f>
        <v>6.4516129032258063E-2</v>
      </c>
      <c r="F38" s="9">
        <f>IFERROR(AVERAGEIF(Cases[Workstream],$A38,Cases[Flag_CustomerDelay]),0)</f>
        <v>0.90322580645161288</v>
      </c>
      <c r="G38" s="9">
        <f>IFERROR(AVERAGEIF(Cases[Workstream],$A38,Cases[Flag_ComponentMismatch]),0)</f>
        <v>0.32258064516129031</v>
      </c>
      <c r="H38" s="9">
        <f>IFERROR(AVERAGEIF(Cases[Workstream],$A38,Cases[Flag_Reopened]),0)</f>
        <v>0.25806451612903225</v>
      </c>
      <c r="I38" s="9">
        <f>IFERROR(AVERAGEIF(Cases[Workstream],$A38,Cases[Flag_AutoConfirmed]),0)</f>
        <v>0.87096774193548387</v>
      </c>
    </row>
    <row r="39" spans="1:9" x14ac:dyDescent="0.2">
      <c r="A39" t="s">
        <v>4037</v>
      </c>
      <c r="B39" s="18">
        <f>COUNTIF(Cases[Workstream],$A39)</f>
        <v>23</v>
      </c>
      <c r="C39" s="6">
        <f>IFERROR(AVERAGEIF(Cases[Workstream],$A39,Cases[Flag_TotalCoaching]),0)</f>
        <v>1.8695652173913044</v>
      </c>
      <c r="D39" s="9">
        <f>IFERROR(AVERAGEIF(Cases[Workstream],$A39,Cases[Flag_HowToOrConsulting]),0)</f>
        <v>0.43478260869565216</v>
      </c>
      <c r="E39" s="7">
        <f>IFERROR(AVERAGEIF(Cases[Workstream],$A39,Cases[Flag_PriorityInflation]),0)</f>
        <v>0.13043478260869565</v>
      </c>
      <c r="F39" s="9">
        <f>IFERROR(AVERAGEIF(Cases[Workstream],$A39,Cases[Flag_CustomerDelay]),0)</f>
        <v>1</v>
      </c>
      <c r="G39" s="9">
        <f>IFERROR(AVERAGEIF(Cases[Workstream],$A39,Cases[Flag_ComponentMismatch]),0)</f>
        <v>0.21739130434782608</v>
      </c>
      <c r="H39" s="9">
        <f>IFERROR(AVERAGEIF(Cases[Workstream],$A39,Cases[Flag_Reopened]),0)</f>
        <v>8.6956521739130432E-2</v>
      </c>
      <c r="I39" s="9">
        <f>IFERROR(AVERAGEIF(Cases[Workstream],$A39,Cases[Flag_AutoConfirmed]),0)</f>
        <v>0.91304347826086951</v>
      </c>
    </row>
    <row r="40" spans="1:9" x14ac:dyDescent="0.2">
      <c r="A40" t="s">
        <v>4040</v>
      </c>
      <c r="B40" s="18">
        <f>COUNTIF(Cases[Workstream],$A40)</f>
        <v>12</v>
      </c>
      <c r="C40" s="6">
        <f>IFERROR(AVERAGEIF(Cases[Workstream],$A40,Cases[Flag_TotalCoaching]),0)</f>
        <v>1.8333333333333333</v>
      </c>
      <c r="D40" s="9">
        <f>IFERROR(AVERAGEIF(Cases[Workstream],$A40,Cases[Flag_HowToOrConsulting]),0)</f>
        <v>0.41666666666666669</v>
      </c>
      <c r="E40" s="7">
        <f>IFERROR(AVERAGEIF(Cases[Workstream],$A40,Cases[Flag_PriorityInflation]),0)</f>
        <v>0</v>
      </c>
      <c r="F40" s="9">
        <f>IFERROR(AVERAGEIF(Cases[Workstream],$A40,Cases[Flag_CustomerDelay]),0)</f>
        <v>0.66666666666666663</v>
      </c>
      <c r="G40" s="9">
        <f>IFERROR(AVERAGEIF(Cases[Workstream],$A40,Cases[Flag_ComponentMismatch]),0)</f>
        <v>0.41666666666666669</v>
      </c>
      <c r="H40" s="9">
        <f>IFERROR(AVERAGEIF(Cases[Workstream],$A40,Cases[Flag_Reopened]),0)</f>
        <v>0.33333333333333331</v>
      </c>
      <c r="I40" s="9">
        <f>IFERROR(AVERAGEIF(Cases[Workstream],$A40,Cases[Flag_AutoConfirmed]),0)</f>
        <v>0.83333333333333337</v>
      </c>
    </row>
    <row r="41" spans="1:9" x14ac:dyDescent="0.2">
      <c r="A41" t="s">
        <v>133</v>
      </c>
      <c r="B41" s="18">
        <f>COUNTIF(Cases[Workstream],$A41)</f>
        <v>1</v>
      </c>
      <c r="C41" s="6">
        <f>IFERROR(AVERAGEIF(Cases[Workstream],$A41,Cases[Flag_TotalCoaching]),0)</f>
        <v>2</v>
      </c>
      <c r="D41" s="9">
        <f>IFERROR(AVERAGEIF(Cases[Workstream],$A41,Cases[Flag_HowToOrConsulting]),0)</f>
        <v>1</v>
      </c>
      <c r="E41" s="7">
        <f>IFERROR(AVERAGEIF(Cases[Workstream],$A41,Cases[Flag_PriorityInflation]),0)</f>
        <v>0</v>
      </c>
      <c r="F41" s="9">
        <f>IFERROR(AVERAGEIF(Cases[Workstream],$A41,Cases[Flag_CustomerDelay]),0)</f>
        <v>1</v>
      </c>
      <c r="G41" s="9">
        <f>IFERROR(AVERAGEIF(Cases[Workstream],$A41,Cases[Flag_ComponentMismatch]),0)</f>
        <v>0</v>
      </c>
      <c r="H41" s="9">
        <f>IFERROR(AVERAGEIF(Cases[Workstream],$A41,Cases[Flag_Reopened]),0)</f>
        <v>0</v>
      </c>
      <c r="I41" s="9">
        <f>IFERROR(AVERAGEIF(Cases[Workstream],$A41,Cases[Flag_AutoConfirmed]),0)</f>
        <v>1</v>
      </c>
    </row>
    <row r="42" spans="1:9" ht="15" x14ac:dyDescent="0.25">
      <c r="A42" s="15" t="s">
        <v>4012</v>
      </c>
      <c r="B42" s="19">
        <f>ROWS(Cases[Workstream])</f>
        <v>718</v>
      </c>
      <c r="C42" s="20">
        <f>AVERAGE(Cases[Flag_TotalCoaching])</f>
        <v>1.8384401114206128</v>
      </c>
      <c r="D42" s="21">
        <f>AVERAGE(Cases[Flag_HowToOrConsulting])</f>
        <v>0.33147632311977715</v>
      </c>
      <c r="E42" s="21">
        <f>AVERAGE(Cases[Flag_PriorityInflation])</f>
        <v>0.19916434540389971</v>
      </c>
      <c r="F42" s="21">
        <f>AVERAGE(Cases[Flag_CustomerDelay])</f>
        <v>0.77019498607242343</v>
      </c>
      <c r="G42" s="21">
        <f>AVERAGE(Cases[Flag_ComponentMismatch])</f>
        <v>0.33565459610027853</v>
      </c>
      <c r="H42" s="21">
        <f>AVERAGE(Cases[Flag_Reopened])</f>
        <v>0.20194986072423399</v>
      </c>
      <c r="I42" s="21">
        <f>AVERAGE(Cases[Flag_AutoConfirmed])</f>
        <v>0.71727019498607247</v>
      </c>
    </row>
    <row r="43" spans="1:9" x14ac:dyDescent="0.2">
      <c r="C43"/>
      <c r="E43"/>
    </row>
  </sheetData>
  <mergeCells count="2">
    <mergeCell ref="A1:J1"/>
    <mergeCell ref="A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SAPUI5 Export</vt:lpstr>
      <vt:lpstr>Insights &amp; Coaching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Closed Cases Detail</dc:title>
  <dc:creator>SAP UI5 Document Export</dc:creator>
  <cp:keywords>SAP UI5 EXPORT</cp:keywords>
  <cp:lastModifiedBy>Arvind Swaminathan</cp:lastModifiedBy>
  <dcterms:created xsi:type="dcterms:W3CDTF">2026-04-15T12:35:12Z</dcterms:created>
  <dcterms:modified xsi:type="dcterms:W3CDTF">2026-05-18T11:37:14Z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2026-04-22T08:42:53Z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20aa4cfa-462e-4921-a0dd-34422e77c6e2</vt:lpwstr>
  </property>
  <property fmtid="{D5CDD505-2E9C-101B-9397-08002B2CF9AE}" pid="8" name="MSIP_Label_71bba39d-4745-4e9d-97db-0c1927b54242_ContentBits">
    <vt:lpwstr>2</vt:lpwstr>
  </property>
  <property fmtid="{D5CDD505-2E9C-101B-9397-08002B2CF9AE}" pid="9" name="MSIP_Label_71bba39d-4745-4e9d-97db-0c1927b54242_Tag">
    <vt:lpwstr>10, 0, 1, 1</vt:lpwstr>
  </property>
</Properties>
</file>